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788\Desktop\Python\Data Science\prj_cricket\testing\"/>
    </mc:Choice>
  </mc:AlternateContent>
  <xr:revisionPtr revIDLastSave="0" documentId="13_ncr:1_{140CABC3-07BD-42D0-88F5-5471996F5592}" xr6:coauthVersionLast="36" xr6:coauthVersionMax="36" xr10:uidLastSave="{00000000-0000-0000-0000-000000000000}"/>
  <bookViews>
    <workbookView xWindow="0" yWindow="0" windowWidth="23040" windowHeight="9060" tabRatio="616" activeTab="6" xr2:uid="{60CC4235-F829-4F1C-A6D4-8F5BFD029EB7}"/>
  </bookViews>
  <sheets>
    <sheet name="raw_data" sheetId="1" r:id="rId1"/>
    <sheet name="cleaned_data" sheetId="2" r:id="rId2"/>
    <sheet name="model_ready_data" sheetId="3" r:id="rId3"/>
    <sheet name="model_comparison" sheetId="5" r:id="rId4"/>
    <sheet name="feature_importance" sheetId="4" r:id="rId5"/>
    <sheet name="performance_stability_index" sheetId="6" r:id="rId6"/>
    <sheet name="prediction_unseen_data" sheetId="7" r:id="rId7"/>
  </sheets>
  <definedNames>
    <definedName name="_xlnm._FilterDatabase" localSheetId="1" hidden="1">cleaned_data!$A$1:$K$760</definedName>
    <definedName name="_xlnm._FilterDatabase" localSheetId="4" hidden="1">feature_importance!$A$1:$B$10</definedName>
    <definedName name="_xlnm._FilterDatabase" localSheetId="2" hidden="1">model_ready_data!$A$1:$AP$760</definedName>
    <definedName name="_xlnm._FilterDatabase" localSheetId="5" hidden="1">performance_stability_index!$B$3:$E$3</definedName>
    <definedName name="_xlnm._FilterDatabase" localSheetId="6" hidden="1">prediction_unseen_data!$A$1:$D$760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6" l="1"/>
  <c r="M26" i="6"/>
  <c r="L26" i="6"/>
  <c r="N26" i="6" s="1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N18" i="6" s="1"/>
  <c r="M17" i="6"/>
  <c r="L17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N19" i="6" l="1"/>
  <c r="N23" i="6"/>
  <c r="N22" i="6"/>
  <c r="N24" i="6"/>
  <c r="N17" i="6"/>
  <c r="N21" i="6"/>
  <c r="N20" i="6"/>
  <c r="N25" i="6"/>
  <c r="N27" i="6" l="1"/>
</calcChain>
</file>

<file path=xl/sharedStrings.xml><?xml version="1.0" encoding="utf-8"?>
<sst xmlns="http://schemas.openxmlformats.org/spreadsheetml/2006/main" count="14250" uniqueCount="1833">
  <si>
    <t>Format</t>
  </si>
  <si>
    <t>Venue</t>
  </si>
  <si>
    <t>Indian Premier League 2026</t>
  </si>
  <si>
    <t>5(6)</t>
  </si>
  <si>
    <t>RR</t>
  </si>
  <si>
    <t>T20</t>
  </si>
  <si>
    <t>Guwahati</t>
  </si>
  <si>
    <t>35(26)</t>
  </si>
  <si>
    <t>DC</t>
  </si>
  <si>
    <t>Delhi</t>
  </si>
  <si>
    <t>78(38)</t>
  </si>
  <si>
    <t>KKR</t>
  </si>
  <si>
    <t>Mumbai</t>
  </si>
  <si>
    <t>New Zealand tour of India, 2026</t>
  </si>
  <si>
    <t>11(13)</t>
  </si>
  <si>
    <t>NZ</t>
  </si>
  <si>
    <t>ODI</t>
  </si>
  <si>
    <t>Indore</t>
  </si>
  <si>
    <t>24(38)</t>
  </si>
  <si>
    <t>Rajkot</t>
  </si>
  <si>
    <t>26(29)</t>
  </si>
  <si>
    <t>Vadodara</t>
  </si>
  <si>
    <t>South Africa tour of India, 2025</t>
  </si>
  <si>
    <t>75(73)</t>
  </si>
  <si>
    <t>RSA</t>
  </si>
  <si>
    <t>Visakhapatnam</t>
  </si>
  <si>
    <t>14(8)</t>
  </si>
  <si>
    <t>Raipur</t>
  </si>
  <si>
    <t>57(51)</t>
  </si>
  <si>
    <t>Ranchi</t>
  </si>
  <si>
    <t>India tour of Australia, 2025</t>
  </si>
  <si>
    <t>121*(125)</t>
  </si>
  <si>
    <t>AUS</t>
  </si>
  <si>
    <t>Sydney</t>
  </si>
  <si>
    <t>73(97)</t>
  </si>
  <si>
    <t>Adelaide</t>
  </si>
  <si>
    <t>8(14)</t>
  </si>
  <si>
    <t>Perth</t>
  </si>
  <si>
    <t>Indian Premier League 2025</t>
  </si>
  <si>
    <t>8(7)</t>
  </si>
  <si>
    <t>PBKS</t>
  </si>
  <si>
    <t>Ahmedabad</t>
  </si>
  <si>
    <t>81(50)</t>
  </si>
  <si>
    <t>GT</t>
  </si>
  <si>
    <t>New Chandigarh</t>
  </si>
  <si>
    <t>24(21)</t>
  </si>
  <si>
    <t>Jaipur</t>
  </si>
  <si>
    <t>5(5)</t>
  </si>
  <si>
    <t>7(8)</t>
  </si>
  <si>
    <t>53(36)</t>
  </si>
  <si>
    <t>12(5)</t>
  </si>
  <si>
    <t>LSG</t>
  </si>
  <si>
    <t>70(46)</t>
  </si>
  <si>
    <t>SRH</t>
  </si>
  <si>
    <t>Hyderabad</t>
  </si>
  <si>
    <t>76*(45)</t>
  </si>
  <si>
    <t>CSK</t>
  </si>
  <si>
    <t>26(16)</t>
  </si>
  <si>
    <t>18(12)</t>
  </si>
  <si>
    <t>17(9)</t>
  </si>
  <si>
    <t>RCB</t>
  </si>
  <si>
    <t>13(12)</t>
  </si>
  <si>
    <t>8(4)</t>
  </si>
  <si>
    <t>0(4)</t>
  </si>
  <si>
    <t>Chennai</t>
  </si>
  <si>
    <t>ICC Champions Trophy, 2025</t>
  </si>
  <si>
    <t>76(83)</t>
  </si>
  <si>
    <t>Dubai</t>
  </si>
  <si>
    <t>28(29)</t>
  </si>
  <si>
    <t>15(17)</t>
  </si>
  <si>
    <t>20(15)</t>
  </si>
  <si>
    <t>PAK</t>
  </si>
  <si>
    <t>41(36)</t>
  </si>
  <si>
    <t>BAN</t>
  </si>
  <si>
    <t>England tour of India, 2025</t>
  </si>
  <si>
    <t>1(2)</t>
  </si>
  <si>
    <t>ENG</t>
  </si>
  <si>
    <t>119(90)</t>
  </si>
  <si>
    <t>Cuttack</t>
  </si>
  <si>
    <t>2(7)</t>
  </si>
  <si>
    <t>Nagpur</t>
  </si>
  <si>
    <t>India tour of Australia, 2024-25</t>
  </si>
  <si>
    <t>3 &amp; 9</t>
  </si>
  <si>
    <t>Test</t>
  </si>
  <si>
    <t>Melbourne</t>
  </si>
  <si>
    <t>60 &amp; 22.5</t>
  </si>
  <si>
    <t>0 &amp; 0</t>
  </si>
  <si>
    <t>10 &amp; DNB</t>
  </si>
  <si>
    <t>Brisbane</t>
  </si>
  <si>
    <t>37 &amp; DNB</t>
  </si>
  <si>
    <t>2 &amp; DNB</t>
  </si>
  <si>
    <t>0 &amp; DNB</t>
  </si>
  <si>
    <t>3 &amp; 6</t>
  </si>
  <si>
    <t>13 &amp; 40</t>
  </si>
  <si>
    <t>0 &amp; 1</t>
  </si>
  <si>
    <t>New Zealand tour of India, 2024</t>
  </si>
  <si>
    <t>18 &amp; 11</t>
  </si>
  <si>
    <t>100 &amp; 100</t>
  </si>
  <si>
    <t>3 &amp; 2</t>
  </si>
  <si>
    <t>0 &amp; 8</t>
  </si>
  <si>
    <t>Pune</t>
  </si>
  <si>
    <t>0 &amp; 50</t>
  </si>
  <si>
    <t>2 &amp; 52</t>
  </si>
  <si>
    <t>Bengaluru</t>
  </si>
  <si>
    <t>12.5 &amp; 82.5</t>
  </si>
  <si>
    <t>Bangladesh tour of India, 2024</t>
  </si>
  <si>
    <t>23 &amp; 8</t>
  </si>
  <si>
    <t>Kanpur</t>
  </si>
  <si>
    <t>209 &amp; 114.2</t>
  </si>
  <si>
    <t>1 &amp; 1</t>
  </si>
  <si>
    <t>3 &amp; 0</t>
  </si>
  <si>
    <t>6 &amp; 5</t>
  </si>
  <si>
    <t>31.5 &amp; 71.4</t>
  </si>
  <si>
    <t>India tour of Sri Lanka, 2024</t>
  </si>
  <si>
    <t>35(20)</t>
  </si>
  <si>
    <t>SL</t>
  </si>
  <si>
    <t>Colombo</t>
  </si>
  <si>
    <t>64(44)</t>
  </si>
  <si>
    <t>58(47)</t>
  </si>
  <si>
    <t>ICC Mens T20 World Cup 2024</t>
  </si>
  <si>
    <t>9(5)</t>
  </si>
  <si>
    <t>T20I</t>
  </si>
  <si>
    <t>Bridgetown, Barbados</t>
  </si>
  <si>
    <t>57(39)</t>
  </si>
  <si>
    <t>Guyana</t>
  </si>
  <si>
    <t>92(41)</t>
  </si>
  <si>
    <t>Gros Islet, St Lucia</t>
  </si>
  <si>
    <t>23(11)</t>
  </si>
  <si>
    <t>North Sound, Antigua</t>
  </si>
  <si>
    <t>8(13)</t>
  </si>
  <si>
    <t>AFG</t>
  </si>
  <si>
    <t>3(6)</t>
  </si>
  <si>
    <t>USA</t>
  </si>
  <si>
    <t>New York</t>
  </si>
  <si>
    <t>52(37)</t>
  </si>
  <si>
    <t>IRE</t>
  </si>
  <si>
    <t>Indian Premier League 2024</t>
  </si>
  <si>
    <t>68(38)</t>
  </si>
  <si>
    <t>19(24)</t>
  </si>
  <si>
    <t>Kolkata</t>
  </si>
  <si>
    <t>4(5)</t>
  </si>
  <si>
    <t>11(12)</t>
  </si>
  <si>
    <t>Lucknow</t>
  </si>
  <si>
    <t>8(8)</t>
  </si>
  <si>
    <t>6(5)</t>
  </si>
  <si>
    <t>36(25)</t>
  </si>
  <si>
    <t>105*(63)</t>
  </si>
  <si>
    <t>38(24)</t>
  </si>
  <si>
    <t>49(27)</t>
  </si>
  <si>
    <t>0(1)</t>
  </si>
  <si>
    <t>26(12)</t>
  </si>
  <si>
    <t>43(29)</t>
  </si>
  <si>
    <t>England tour of India, 2024</t>
  </si>
  <si>
    <t>103 &amp; DNB</t>
  </si>
  <si>
    <t>Dharamsala</t>
  </si>
  <si>
    <t>63.5 &amp; DNB</t>
  </si>
  <si>
    <t>13 &amp; DNB</t>
  </si>
  <si>
    <t>3 &amp; DNB</t>
  </si>
  <si>
    <t>2 &amp; 55</t>
  </si>
  <si>
    <t>22.2 &amp; 67.9</t>
  </si>
  <si>
    <t>0 &amp; 5</t>
  </si>
  <si>
    <t>131 &amp; 19</t>
  </si>
  <si>
    <t>66.8 &amp; 67.8</t>
  </si>
  <si>
    <t>14 &amp; 3</t>
  </si>
  <si>
    <t>14 &amp; 13</t>
  </si>
  <si>
    <t>34.1 &amp; 61.9</t>
  </si>
  <si>
    <t>0 &amp; 3</t>
  </si>
  <si>
    <t>24 &amp; 39</t>
  </si>
  <si>
    <t>88.8 &amp; 67.2</t>
  </si>
  <si>
    <t>3 &amp; 7</t>
  </si>
  <si>
    <t>Afghanistan tour of India, 2024</t>
  </si>
  <si>
    <t>121*(69)</t>
  </si>
  <si>
    <t>0(2)</t>
  </si>
  <si>
    <t>Mohali</t>
  </si>
  <si>
    <t>India tour of South Africa, 2023-24</t>
  </si>
  <si>
    <t>39 &amp; 16*</t>
  </si>
  <si>
    <t>Cape Town</t>
  </si>
  <si>
    <t>78 &amp; 72.7</t>
  </si>
  <si>
    <t>7 &amp; 2</t>
  </si>
  <si>
    <t>5 &amp; 0</t>
  </si>
  <si>
    <t>Centurion</t>
  </si>
  <si>
    <t>35.7 &amp; 0</t>
  </si>
  <si>
    <t>1 &amp; 0</t>
  </si>
  <si>
    <t>ICC Cricket World Cup 2023</t>
  </si>
  <si>
    <t>47(31)</t>
  </si>
  <si>
    <t>47(29)</t>
  </si>
  <si>
    <t>61(54)</t>
  </si>
  <si>
    <t>NED</t>
  </si>
  <si>
    <t>40(24)</t>
  </si>
  <si>
    <t>4(2)</t>
  </si>
  <si>
    <t>87(101)</t>
  </si>
  <si>
    <t>46(40)</t>
  </si>
  <si>
    <t>48(40)</t>
  </si>
  <si>
    <t>86(63)</t>
  </si>
  <si>
    <t>131(84)</t>
  </si>
  <si>
    <t>0(6)</t>
  </si>
  <si>
    <t>Australia tour of India, 2023</t>
  </si>
  <si>
    <t>81(57)</t>
  </si>
  <si>
    <t>Asia Cup, 2023</t>
  </si>
  <si>
    <t>DNB</t>
  </si>
  <si>
    <t>53(48)</t>
  </si>
  <si>
    <t>56(49)</t>
  </si>
  <si>
    <t>74*(59)</t>
  </si>
  <si>
    <t>NEP</t>
  </si>
  <si>
    <t>Pallekele</t>
  </si>
  <si>
    <t>11(22)</t>
  </si>
  <si>
    <t>India tour of West Indies, 2023</t>
  </si>
  <si>
    <t>12*(19)</t>
  </si>
  <si>
    <t>WI</t>
  </si>
  <si>
    <t>80 &amp; 57</t>
  </si>
  <si>
    <t>Port of Spain, Trinidad</t>
  </si>
  <si>
    <t>55.9 &amp; 129.5</t>
  </si>
  <si>
    <t>9 &amp; 5</t>
  </si>
  <si>
    <t>2 &amp; 3</t>
  </si>
  <si>
    <t>Roseau, Dominica</t>
  </si>
  <si>
    <t>46.6 &amp; DNB</t>
  </si>
  <si>
    <t>ICC World Test Championship Final 2023</t>
  </si>
  <si>
    <t>15 &amp; 43</t>
  </si>
  <si>
    <t>London</t>
  </si>
  <si>
    <t>57.6 &amp; 71.6</t>
  </si>
  <si>
    <t>2 &amp; 7</t>
  </si>
  <si>
    <t>Indian Premier League 2023</t>
  </si>
  <si>
    <t>11(10)</t>
  </si>
  <si>
    <t>56(37)</t>
  </si>
  <si>
    <t>37(25)</t>
  </si>
  <si>
    <t>29(18)</t>
  </si>
  <si>
    <t>0(3)</t>
  </si>
  <si>
    <t>3(5)</t>
  </si>
  <si>
    <t>2(8)</t>
  </si>
  <si>
    <t>44(27)</t>
  </si>
  <si>
    <t>28(18)</t>
  </si>
  <si>
    <t>20(13)</t>
  </si>
  <si>
    <t>65(45)</t>
  </si>
  <si>
    <t>21(13)</t>
  </si>
  <si>
    <t>1(10)</t>
  </si>
  <si>
    <t>30(17)</t>
  </si>
  <si>
    <t>13(15)</t>
  </si>
  <si>
    <t>35 &amp; DNB</t>
  </si>
  <si>
    <t>60.3 &amp; DNB</t>
  </si>
  <si>
    <t>1 &amp; DNB</t>
  </si>
  <si>
    <t>12 &amp; 12</t>
  </si>
  <si>
    <t>52.1 &amp; 36.3</t>
  </si>
  <si>
    <t>32 &amp; 31</t>
  </si>
  <si>
    <t>46.3 &amp; 155</t>
  </si>
  <si>
    <t>0 &amp; 2</t>
  </si>
  <si>
    <t>120 &amp; DNB</t>
  </si>
  <si>
    <t>56.6 &amp; DNB</t>
  </si>
  <si>
    <t>15 &amp; DNB</t>
  </si>
  <si>
    <t>New Zealand tour of India, 2023</t>
  </si>
  <si>
    <t>101(85)</t>
  </si>
  <si>
    <t>51(50)</t>
  </si>
  <si>
    <t>34(38)</t>
  </si>
  <si>
    <t>Sri Lanka tour of India, 2023</t>
  </si>
  <si>
    <t>42(49)</t>
  </si>
  <si>
    <t>Thiruvananthapuram</t>
  </si>
  <si>
    <t>17(21)</t>
  </si>
  <si>
    <t>83(67)</t>
  </si>
  <si>
    <t>India tour of Bangladesh, 2022</t>
  </si>
  <si>
    <t>51*(28)</t>
  </si>
  <si>
    <t>Dhaka</t>
  </si>
  <si>
    <t>27(31)</t>
  </si>
  <si>
    <t>ICC Mens T20 World Cup 2022</t>
  </si>
  <si>
    <t>27(28)</t>
  </si>
  <si>
    <t>15(13)</t>
  </si>
  <si>
    <t>ZIM</t>
  </si>
  <si>
    <t>15(14)</t>
  </si>
  <si>
    <t>53(39)</t>
  </si>
  <si>
    <t>4(7)</t>
  </si>
  <si>
    <t>South Africa tour of India, 2022</t>
  </si>
  <si>
    <t>43(37)</t>
  </si>
  <si>
    <t>Australia tour of India, 2022</t>
  </si>
  <si>
    <t>17(14)</t>
  </si>
  <si>
    <t>46*(20)</t>
  </si>
  <si>
    <t>11(9)</t>
  </si>
  <si>
    <t>Asia Cup, 2022</t>
  </si>
  <si>
    <t>72(41)</t>
  </si>
  <si>
    <t>28(16)</t>
  </si>
  <si>
    <t>HKC</t>
  </si>
  <si>
    <t>12(18)</t>
  </si>
  <si>
    <t>India tour of West Indies, 2022</t>
  </si>
  <si>
    <t>33(16)</t>
  </si>
  <si>
    <t>Lauderhill, Florida</t>
  </si>
  <si>
    <t>11(5)</t>
  </si>
  <si>
    <t>Basseterre, St Kitts</t>
  </si>
  <si>
    <t>Tarouba, Trinidad</t>
  </si>
  <si>
    <t>India tour of England, 2022</t>
  </si>
  <si>
    <t>17(17)</t>
  </si>
  <si>
    <t>Manchester</t>
  </si>
  <si>
    <t>0(10)</t>
  </si>
  <si>
    <t>76*(58)</t>
  </si>
  <si>
    <t>Nottingham</t>
  </si>
  <si>
    <t>31(20)</t>
  </si>
  <si>
    <t>Birmingham</t>
  </si>
  <si>
    <t>24(14)</t>
  </si>
  <si>
    <t>Southampton</t>
  </si>
  <si>
    <t>Indian Premier League 2022</t>
  </si>
  <si>
    <t>2(13)</t>
  </si>
  <si>
    <t>48(36)</t>
  </si>
  <si>
    <t>18(14)</t>
  </si>
  <si>
    <t>2(6)</t>
  </si>
  <si>
    <t>Navi Mumbai</t>
  </si>
  <si>
    <t>43(28)</t>
  </si>
  <si>
    <t>2(5)</t>
  </si>
  <si>
    <t>39(31)</t>
  </si>
  <si>
    <t>6(7)</t>
  </si>
  <si>
    <t>28(17)</t>
  </si>
  <si>
    <t>26(15)</t>
  </si>
  <si>
    <t>3(12)</t>
  </si>
  <si>
    <t>10(5)</t>
  </si>
  <si>
    <t>41(32)</t>
  </si>
  <si>
    <t>Sri Lanka tour of India, 2022</t>
  </si>
  <si>
    <t>15 &amp; 46</t>
  </si>
  <si>
    <t>60 &amp; 58.2</t>
  </si>
  <si>
    <t>1 &amp; 4</t>
  </si>
  <si>
    <t>29 &amp; DNB</t>
  </si>
  <si>
    <t>103.5 &amp; DNB</t>
  </si>
  <si>
    <t>6 &amp; DNB</t>
  </si>
  <si>
    <t>5(9)</t>
  </si>
  <si>
    <t>44(32)</t>
  </si>
  <si>
    <t>West Indies tour of India, 2022</t>
  </si>
  <si>
    <t>7(15)</t>
  </si>
  <si>
    <t>19(18)</t>
  </si>
  <si>
    <t>40(19)</t>
  </si>
  <si>
    <t>5(8)</t>
  </si>
  <si>
    <t>60(51)</t>
  </si>
  <si>
    <t>New Zealand tour of India, 2021</t>
  </si>
  <si>
    <t>56(31)</t>
  </si>
  <si>
    <t>55(36)</t>
  </si>
  <si>
    <t>ICC Mens T20 World Cup 2021</t>
  </si>
  <si>
    <t>NAM</t>
  </si>
  <si>
    <t>30(16)</t>
  </si>
  <si>
    <t>SCO</t>
  </si>
  <si>
    <t>74(47)</t>
  </si>
  <si>
    <t>Abu Dhabi</t>
  </si>
  <si>
    <t>14(14)</t>
  </si>
  <si>
    <t>Indian Premier League 2021</t>
  </si>
  <si>
    <t>18(13)</t>
  </si>
  <si>
    <t>22(13)</t>
  </si>
  <si>
    <t>Sharjah</t>
  </si>
  <si>
    <t>7(10)</t>
  </si>
  <si>
    <t>8(10)</t>
  </si>
  <si>
    <t>33(30)</t>
  </si>
  <si>
    <t>India tour of England, 2021</t>
  </si>
  <si>
    <t>11 &amp; 127</t>
  </si>
  <si>
    <t>40.7 &amp; 49.6</t>
  </si>
  <si>
    <t>1 &amp; 14</t>
  </si>
  <si>
    <t>19 &amp; 59</t>
  </si>
  <si>
    <t>Leeds</t>
  </si>
  <si>
    <t>18.1 &amp; 37.8</t>
  </si>
  <si>
    <t>1 &amp; 7</t>
  </si>
  <si>
    <t>83 &amp; 21</t>
  </si>
  <si>
    <t>57.2 &amp; 58.3</t>
  </si>
  <si>
    <t>11 &amp; 2</t>
  </si>
  <si>
    <t>36 &amp; 12*</t>
  </si>
  <si>
    <t>33.6 &amp; 35.2</t>
  </si>
  <si>
    <t>6 &amp; 0</t>
  </si>
  <si>
    <t>ICC World Test Championship Final 2021</t>
  </si>
  <si>
    <t>34 &amp; 30</t>
  </si>
  <si>
    <t>50 &amp; 37</t>
  </si>
  <si>
    <t>6 &amp; 2</t>
  </si>
  <si>
    <t>35(24)</t>
  </si>
  <si>
    <t>14(17)</t>
  </si>
  <si>
    <t>63(52)</t>
  </si>
  <si>
    <t>44(30)</t>
  </si>
  <si>
    <t>32(25)</t>
  </si>
  <si>
    <t>43(32)</t>
  </si>
  <si>
    <t>19(15)</t>
  </si>
  <si>
    <t>England tour of India, 2021</t>
  </si>
  <si>
    <t>37(37)</t>
  </si>
  <si>
    <t>25(25)</t>
  </si>
  <si>
    <t>28(42)</t>
  </si>
  <si>
    <t>64(34)</t>
  </si>
  <si>
    <t>12(12)</t>
  </si>
  <si>
    <t>49 &amp; DNB</t>
  </si>
  <si>
    <t>34 &amp; DNB</t>
  </si>
  <si>
    <t>7 &amp; DNB</t>
  </si>
  <si>
    <t>66 &amp; 25*</t>
  </si>
  <si>
    <t>68.7 &amp; 100</t>
  </si>
  <si>
    <t>11 &amp; 3</t>
  </si>
  <si>
    <t>161 &amp; 26</t>
  </si>
  <si>
    <t>69.7 &amp; 37.1</t>
  </si>
  <si>
    <t>18 &amp; 2</t>
  </si>
  <si>
    <t>2 &amp; 1</t>
  </si>
  <si>
    <t>6 &amp; 12</t>
  </si>
  <si>
    <t>66.6 &amp; 60</t>
  </si>
  <si>
    <t>India tour of Australia, 2020-21</t>
  </si>
  <si>
    <t>44 &amp; 7</t>
  </si>
  <si>
    <t>59.4 &amp; 33.3</t>
  </si>
  <si>
    <t>6 &amp; 1</t>
  </si>
  <si>
    <t>26 &amp; 52</t>
  </si>
  <si>
    <t>33.7 &amp; 53</t>
  </si>
  <si>
    <t>3 &amp; 5</t>
  </si>
  <si>
    <t>Indian Premier League 2020</t>
  </si>
  <si>
    <t>68(51)</t>
  </si>
  <si>
    <t>9(8)</t>
  </si>
  <si>
    <t>35(36)</t>
  </si>
  <si>
    <t>5(12)</t>
  </si>
  <si>
    <t>35(23)</t>
  </si>
  <si>
    <t>70(45)</t>
  </si>
  <si>
    <t>80(54)</t>
  </si>
  <si>
    <t>12(10)</t>
  </si>
  <si>
    <t>India tour of New Zealand, 2020</t>
  </si>
  <si>
    <t>60(41)</t>
  </si>
  <si>
    <t>Mount Maunganui</t>
  </si>
  <si>
    <t>65(40)</t>
  </si>
  <si>
    <t>Hamilton</t>
  </si>
  <si>
    <t>8(6)</t>
  </si>
  <si>
    <t>Auckland</t>
  </si>
  <si>
    <t>7(6)</t>
  </si>
  <si>
    <t>Australia tour of India, 2020</t>
  </si>
  <si>
    <t>119(128)</t>
  </si>
  <si>
    <t>42(44)</t>
  </si>
  <si>
    <t>10(15)</t>
  </si>
  <si>
    <t>West Indies tour of India, 2019</t>
  </si>
  <si>
    <t>63(63)</t>
  </si>
  <si>
    <t>159(138)</t>
  </si>
  <si>
    <t>36(56)</t>
  </si>
  <si>
    <t>71(34)</t>
  </si>
  <si>
    <t>15(18)</t>
  </si>
  <si>
    <t>Bangladesh tour of India, 2019</t>
  </si>
  <si>
    <t>21 &amp; DNB</t>
  </si>
  <si>
    <t>60 &amp; DNB</t>
  </si>
  <si>
    <t>42.8 &amp; DNB</t>
  </si>
  <si>
    <t>85(43)</t>
  </si>
  <si>
    <t>South Africa tour of India, 2019</t>
  </si>
  <si>
    <t>212 &amp; DNB</t>
  </si>
  <si>
    <t>83.1 &amp; DNB</t>
  </si>
  <si>
    <t>28 &amp; DNB</t>
  </si>
  <si>
    <t>14 &amp; DNB</t>
  </si>
  <si>
    <t>40 &amp; DNB</t>
  </si>
  <si>
    <t>176 &amp; 127</t>
  </si>
  <si>
    <t>72.1 &amp; 85.2</t>
  </si>
  <si>
    <t>23 &amp; 10</t>
  </si>
  <si>
    <t>6 &amp; 7</t>
  </si>
  <si>
    <t>India tour of West Indies, 2019</t>
  </si>
  <si>
    <t>10(6)</t>
  </si>
  <si>
    <t>18(34)</t>
  </si>
  <si>
    <t>67(51)</t>
  </si>
  <si>
    <t>24(25)</t>
  </si>
  <si>
    <t>ICC Cricket World Cup 2019</t>
  </si>
  <si>
    <t>1(4)</t>
  </si>
  <si>
    <t>103(94)</t>
  </si>
  <si>
    <t>104(92)</t>
  </si>
  <si>
    <t>102(109)</t>
  </si>
  <si>
    <t>18(23)</t>
  </si>
  <si>
    <t>140(113)</t>
  </si>
  <si>
    <t>57(70)</t>
  </si>
  <si>
    <t>122*(144)</t>
  </si>
  <si>
    <t>Indian Premier League 2019</t>
  </si>
  <si>
    <t>55*(48)</t>
  </si>
  <si>
    <t>24(18)</t>
  </si>
  <si>
    <t>12(9)</t>
  </si>
  <si>
    <t>67(48)</t>
  </si>
  <si>
    <t>5(7)</t>
  </si>
  <si>
    <t>30(22)</t>
  </si>
  <si>
    <t>28(19)</t>
  </si>
  <si>
    <t>47(32)</t>
  </si>
  <si>
    <t>11(14)</t>
  </si>
  <si>
    <t>13(18)</t>
  </si>
  <si>
    <t>32(18)</t>
  </si>
  <si>
    <t>48(33)</t>
  </si>
  <si>
    <t>14(13)</t>
  </si>
  <si>
    <t>Australia tour of India, 2019</t>
  </si>
  <si>
    <t>56(89)</t>
  </si>
  <si>
    <t>95(92)</t>
  </si>
  <si>
    <t>37(66)</t>
  </si>
  <si>
    <t>India tour of New Zealand, 2019</t>
  </si>
  <si>
    <t>38(32)</t>
  </si>
  <si>
    <t>50(29)</t>
  </si>
  <si>
    <t>1(5)</t>
  </si>
  <si>
    <t>Wellington</t>
  </si>
  <si>
    <t>2(16)</t>
  </si>
  <si>
    <t>7(23)</t>
  </si>
  <si>
    <t>62(77)</t>
  </si>
  <si>
    <t>87(96)</t>
  </si>
  <si>
    <t>11(24)</t>
  </si>
  <si>
    <t>Napier</t>
  </si>
  <si>
    <t>India tour of Australia, 2018-19</t>
  </si>
  <si>
    <t>9(17)</t>
  </si>
  <si>
    <t>43(52)</t>
  </si>
  <si>
    <t>133(129)</t>
  </si>
  <si>
    <t>63* &amp; 5</t>
  </si>
  <si>
    <t>55.2 &amp; 27.7</t>
  </si>
  <si>
    <t>37 &amp; 1</t>
  </si>
  <si>
    <t>60.6 &amp; 16.6</t>
  </si>
  <si>
    <t>2 &amp; 0</t>
  </si>
  <si>
    <t>23(16)</t>
  </si>
  <si>
    <t>Windies tour of India, 2018</t>
  </si>
  <si>
    <t>4(6)</t>
  </si>
  <si>
    <t>111*(61)</t>
  </si>
  <si>
    <t>6(6)</t>
  </si>
  <si>
    <t>63*(56)</t>
  </si>
  <si>
    <t>162(137)</t>
  </si>
  <si>
    <t>8(9)</t>
  </si>
  <si>
    <t>4(8)</t>
  </si>
  <si>
    <t>152*(117)</t>
  </si>
  <si>
    <t>Asia Cup, 2018</t>
  </si>
  <si>
    <t>48(55)</t>
  </si>
  <si>
    <t>111*(119)</t>
  </si>
  <si>
    <t>83*(104)</t>
  </si>
  <si>
    <t>52(39)</t>
  </si>
  <si>
    <t>23(22)</t>
  </si>
  <si>
    <t>India tour of England, 2018</t>
  </si>
  <si>
    <t>2(18)</t>
  </si>
  <si>
    <t>15(26)</t>
  </si>
  <si>
    <t>137*(114)</t>
  </si>
  <si>
    <t>100*(56)</t>
  </si>
  <si>
    <t>Bristol</t>
  </si>
  <si>
    <t>Cardiff</t>
  </si>
  <si>
    <t>32(30)</t>
  </si>
  <si>
    <t>India tour of Ireland, 2018</t>
  </si>
  <si>
    <t>Dublin</t>
  </si>
  <si>
    <t>97(61)</t>
  </si>
  <si>
    <t>Indian Premier League, 2018</t>
  </si>
  <si>
    <t>13(11)</t>
  </si>
  <si>
    <t>6(10)</t>
  </si>
  <si>
    <t>36(31)</t>
  </si>
  <si>
    <t>11(11)</t>
  </si>
  <si>
    <t>24*(15)</t>
  </si>
  <si>
    <t>56*(33)</t>
  </si>
  <si>
    <t>94(52)</t>
  </si>
  <si>
    <t>18(15)</t>
  </si>
  <si>
    <t>India and Bangladesh in Sri Lanka T20I Tri-Series, 2018</t>
  </si>
  <si>
    <t>56(42)</t>
  </si>
  <si>
    <t>89(61)</t>
  </si>
  <si>
    <t>11(7)</t>
  </si>
  <si>
    <t>17(13)</t>
  </si>
  <si>
    <t>India tour of South Africa, 2017-18</t>
  </si>
  <si>
    <t>11(8)</t>
  </si>
  <si>
    <t>21(9)</t>
  </si>
  <si>
    <t>Johannesburg</t>
  </si>
  <si>
    <t>115(126)</t>
  </si>
  <si>
    <t>Gqeberha</t>
  </si>
  <si>
    <t>5(13)</t>
  </si>
  <si>
    <t>20(30)</t>
  </si>
  <si>
    <t>Durban</t>
  </si>
  <si>
    <t>10 &amp; 47</t>
  </si>
  <si>
    <t>37 &amp; 63.5</t>
  </si>
  <si>
    <t>2 &amp; 6</t>
  </si>
  <si>
    <t>11 &amp; 10</t>
  </si>
  <si>
    <t>18.6 &amp; 33.3</t>
  </si>
  <si>
    <t>Sri Lanka tour of India, 2017</t>
  </si>
  <si>
    <t>27(20)</t>
  </si>
  <si>
    <t>118(43)</t>
  </si>
  <si>
    <t>7(14)</t>
  </si>
  <si>
    <t>208*(153)</t>
  </si>
  <si>
    <t>65 &amp; 50*</t>
  </si>
  <si>
    <t>63.7 &amp; 102</t>
  </si>
  <si>
    <t>7 &amp; 5</t>
  </si>
  <si>
    <t>102* &amp; DNB</t>
  </si>
  <si>
    <t>63.7 &amp; DNB</t>
  </si>
  <si>
    <t>8 &amp; DNB</t>
  </si>
  <si>
    <t>New Zealand tour of India, 2017</t>
  </si>
  <si>
    <t>80(55)</t>
  </si>
  <si>
    <t>147(138)</t>
  </si>
  <si>
    <t>7(19)</t>
  </si>
  <si>
    <t>20(18)</t>
  </si>
  <si>
    <t>Australia tour of India, 2017</t>
  </si>
  <si>
    <t>125(109)</t>
  </si>
  <si>
    <t>65(55)</t>
  </si>
  <si>
    <t>71(62)</t>
  </si>
  <si>
    <t>28(44)</t>
  </si>
  <si>
    <t>India tour of Sri Lanka, 2017</t>
  </si>
  <si>
    <t>16(20)</t>
  </si>
  <si>
    <t>104(88)</t>
  </si>
  <si>
    <t>124*(145)</t>
  </si>
  <si>
    <t>54(45)</t>
  </si>
  <si>
    <t>4(13)</t>
  </si>
  <si>
    <t>Dambulla</t>
  </si>
  <si>
    <t>ICC Champions Trophy, 2017</t>
  </si>
  <si>
    <t>123*(129)</t>
  </si>
  <si>
    <t>12(20)</t>
  </si>
  <si>
    <t>78(79)</t>
  </si>
  <si>
    <t>91(119)</t>
  </si>
  <si>
    <t>Indian Premier League, 2017</t>
  </si>
  <si>
    <t>24(22)</t>
  </si>
  <si>
    <t>RPS</t>
  </si>
  <si>
    <t>26(24)</t>
  </si>
  <si>
    <t>27(21)</t>
  </si>
  <si>
    <t>67(45)</t>
  </si>
  <si>
    <t>56*(37)</t>
  </si>
  <si>
    <t>GL</t>
  </si>
  <si>
    <t>58(39)</t>
  </si>
  <si>
    <t>40*(29)</t>
  </si>
  <si>
    <t>4(4)</t>
  </si>
  <si>
    <t>3(7)</t>
  </si>
  <si>
    <t>New Zealand tour of India, 2016</t>
  </si>
  <si>
    <t>70(65)</t>
  </si>
  <si>
    <t>11(19)</t>
  </si>
  <si>
    <t>13(21)</t>
  </si>
  <si>
    <t>15(27)</t>
  </si>
  <si>
    <t>14(26)</t>
  </si>
  <si>
    <t>51* &amp; DNB</t>
  </si>
  <si>
    <t>80.9 &amp; DNB</t>
  </si>
  <si>
    <t>2 &amp; 82</t>
  </si>
  <si>
    <t>16.6 &amp; 62.1</t>
  </si>
  <si>
    <t>0 &amp; 9</t>
  </si>
  <si>
    <t>35 &amp; 68*</t>
  </si>
  <si>
    <t>52.2 &amp; 73.1</t>
  </si>
  <si>
    <t>3 &amp; 8</t>
  </si>
  <si>
    <t>India v West Indies in USA, 2016</t>
  </si>
  <si>
    <t>10*(8)</t>
  </si>
  <si>
    <t>62(28)</t>
  </si>
  <si>
    <t>India tour of West indies, 2016</t>
  </si>
  <si>
    <t>9 &amp; 41</t>
  </si>
  <si>
    <t>39.1 &amp; 69.4</t>
  </si>
  <si>
    <t>Indian Premier League, 2016</t>
  </si>
  <si>
    <t>31(21)</t>
  </si>
  <si>
    <t>15(24)</t>
  </si>
  <si>
    <t>25(24)</t>
  </si>
  <si>
    <t>5(3)</t>
  </si>
  <si>
    <t>85*(60)</t>
  </si>
  <si>
    <t>68*(49)</t>
  </si>
  <si>
    <t>65(48)</t>
  </si>
  <si>
    <t>62(44)</t>
  </si>
  <si>
    <t>7(9)</t>
  </si>
  <si>
    <t>84*(54)</t>
  </si>
  <si>
    <t>7(5)</t>
  </si>
  <si>
    <t>ICC World T20, 2016</t>
  </si>
  <si>
    <t>43(31)</t>
  </si>
  <si>
    <t>12(17)</t>
  </si>
  <si>
    <t>18(16)</t>
  </si>
  <si>
    <t>10(11)</t>
  </si>
  <si>
    <t>Asia Cup, 2016</t>
  </si>
  <si>
    <t>39(28)</t>
  </si>
  <si>
    <t>UAE</t>
  </si>
  <si>
    <t>83(55)</t>
  </si>
  <si>
    <t>Sri Lanka tour of India, 2016</t>
  </si>
  <si>
    <t>13(13)</t>
  </si>
  <si>
    <t>43(36)</t>
  </si>
  <si>
    <t>India tour of Australia, 2016</t>
  </si>
  <si>
    <t>52(38)</t>
  </si>
  <si>
    <t>60(47)</t>
  </si>
  <si>
    <t>99(108)</t>
  </si>
  <si>
    <t>41(25)</t>
  </si>
  <si>
    <t>Canberra</t>
  </si>
  <si>
    <t>6(11)</t>
  </si>
  <si>
    <t>124(127)</t>
  </si>
  <si>
    <t>171*(163)</t>
  </si>
  <si>
    <t>South Africa tour of India, 2015</t>
  </si>
  <si>
    <t>16.6 &amp; 0</t>
  </si>
  <si>
    <t>2 &amp; 23</t>
  </si>
  <si>
    <t>7.1 &amp; 58.9</t>
  </si>
  <si>
    <t>21(19)</t>
  </si>
  <si>
    <t>65(74)</t>
  </si>
  <si>
    <t>3(10)</t>
  </si>
  <si>
    <t>150(133)</t>
  </si>
  <si>
    <t>22(24)</t>
  </si>
  <si>
    <t>106(66)</t>
  </si>
  <si>
    <t>India tour of Sri Lanka, 2015 - Cricbuzz Cup</t>
  </si>
  <si>
    <t>26 &amp; 50</t>
  </si>
  <si>
    <t>40 &amp; 69.4</t>
  </si>
  <si>
    <t>3 &amp; 4</t>
  </si>
  <si>
    <t>79 &amp; 34</t>
  </si>
  <si>
    <t>59.8 &amp; 61.8</t>
  </si>
  <si>
    <t>5 &amp; 2</t>
  </si>
  <si>
    <t>9 &amp; 4</t>
  </si>
  <si>
    <t>Galle</t>
  </si>
  <si>
    <t>37.5 &amp; 25</t>
  </si>
  <si>
    <t>India tour of Bangladesh, 2015</t>
  </si>
  <si>
    <t>29(29)</t>
  </si>
  <si>
    <t>63(68)</t>
  </si>
  <si>
    <t>Fatullah</t>
  </si>
  <si>
    <t>66.6 &amp; DNB</t>
  </si>
  <si>
    <t>Indian Premier League 2015</t>
  </si>
  <si>
    <t>50(26)</t>
  </si>
  <si>
    <t>19(14)</t>
  </si>
  <si>
    <t>7*(2)</t>
  </si>
  <si>
    <t>30(21)</t>
  </si>
  <si>
    <t>18(22)</t>
  </si>
  <si>
    <t>46(37)</t>
  </si>
  <si>
    <t>26(20)</t>
  </si>
  <si>
    <t>24(15)</t>
  </si>
  <si>
    <t>30(24)</t>
  </si>
  <si>
    <t>42(15)</t>
  </si>
  <si>
    <t>50(31)</t>
  </si>
  <si>
    <t>0(5)</t>
  </si>
  <si>
    <t>98*(65)</t>
  </si>
  <si>
    <t>ICC Cricket World Cup 2015</t>
  </si>
  <si>
    <t>34(48)</t>
  </si>
  <si>
    <t>137(126)</t>
  </si>
  <si>
    <t>16(21)</t>
  </si>
  <si>
    <t>64(66)</t>
  </si>
  <si>
    <t>7(18)</t>
  </si>
  <si>
    <t>57*(55)</t>
  </si>
  <si>
    <t>15(20)</t>
  </si>
  <si>
    <t>India and England in Australia Tri-Series, 2015</t>
  </si>
  <si>
    <t>138(139)</t>
  </si>
  <si>
    <t>India tour of Australia, 2014-15</t>
  </si>
  <si>
    <t>53 &amp; 39</t>
  </si>
  <si>
    <t>39.8 &amp; 43.3</t>
  </si>
  <si>
    <t>2 &amp; 2</t>
  </si>
  <si>
    <t>32 &amp; 0</t>
  </si>
  <si>
    <t>58.1 &amp; 0</t>
  </si>
  <si>
    <t>43 &amp; 6</t>
  </si>
  <si>
    <t>48.3 &amp; 33.3</t>
  </si>
  <si>
    <t>5 &amp; 1</t>
  </si>
  <si>
    <t>Sri Lanka tour of India, 2014</t>
  </si>
  <si>
    <t>9(12)</t>
  </si>
  <si>
    <t>264(173)</t>
  </si>
  <si>
    <t>India tour of England 2014</t>
  </si>
  <si>
    <t>52(87)</t>
  </si>
  <si>
    <t>28 &amp; 6</t>
  </si>
  <si>
    <t>45.9 &amp; 21.4</t>
  </si>
  <si>
    <t>Indian Premier League 2014</t>
  </si>
  <si>
    <t>20(16)</t>
  </si>
  <si>
    <t>16(11)</t>
  </si>
  <si>
    <t>18(20)</t>
  </si>
  <si>
    <t>51(45)</t>
  </si>
  <si>
    <t>14*(6)</t>
  </si>
  <si>
    <t>19(19)</t>
  </si>
  <si>
    <t>59*(35)</t>
  </si>
  <si>
    <t>39(34)</t>
  </si>
  <si>
    <t>50(41)</t>
  </si>
  <si>
    <t>ICC World Twenty20 2014</t>
  </si>
  <si>
    <t>29(26)</t>
  </si>
  <si>
    <t>24(13)</t>
  </si>
  <si>
    <t>56(44)</t>
  </si>
  <si>
    <t>62*(55)</t>
  </si>
  <si>
    <t>Asia Cup, 2014</t>
  </si>
  <si>
    <t>18*(24)</t>
  </si>
  <si>
    <t>56(58)</t>
  </si>
  <si>
    <t>13(28)</t>
  </si>
  <si>
    <t>21(29)</t>
  </si>
  <si>
    <t>India tour of New Zealand 2014</t>
  </si>
  <si>
    <t>0 &amp; 31*</t>
  </si>
  <si>
    <t>0 &amp; 31.9</t>
  </si>
  <si>
    <t>0 &amp; 4</t>
  </si>
  <si>
    <t>72 &amp; 19</t>
  </si>
  <si>
    <t>60 &amp; 32.2</t>
  </si>
  <si>
    <t>8 &amp; 2</t>
  </si>
  <si>
    <t>79(94)</t>
  </si>
  <si>
    <t>39(38)</t>
  </si>
  <si>
    <t>20(34)</t>
  </si>
  <si>
    <t>3(23)</t>
  </si>
  <si>
    <t>India in South Africa 2013</t>
  </si>
  <si>
    <t>0 &amp; 25</t>
  </si>
  <si>
    <t>0 &amp; 54.3</t>
  </si>
  <si>
    <t>14 &amp; 6</t>
  </si>
  <si>
    <t>33.3 &amp; 46.1</t>
  </si>
  <si>
    <t>19(26)</t>
  </si>
  <si>
    <t>18(43)</t>
  </si>
  <si>
    <t>West Indies in India 2013</t>
  </si>
  <si>
    <t>4(14)</t>
  </si>
  <si>
    <t>12(19)</t>
  </si>
  <si>
    <t>72(81)</t>
  </si>
  <si>
    <t>Kochi</t>
  </si>
  <si>
    <t>111* &amp; DNB</t>
  </si>
  <si>
    <t>87.4 &amp; DNB</t>
  </si>
  <si>
    <t>11 &amp; DNB</t>
  </si>
  <si>
    <t>177 &amp; DNB</t>
  </si>
  <si>
    <t>58.8 &amp; DNB</t>
  </si>
  <si>
    <t>23 &amp; DNB</t>
  </si>
  <si>
    <t>Australia tour of India 2013</t>
  </si>
  <si>
    <t>209(158)</t>
  </si>
  <si>
    <t>79(89)</t>
  </si>
  <si>
    <t>9*(13)</t>
  </si>
  <si>
    <t>141*(123)</t>
  </si>
  <si>
    <t>42(47)</t>
  </si>
  <si>
    <t>India tour of Zimbabwe 2013</t>
  </si>
  <si>
    <t>64*(90)</t>
  </si>
  <si>
    <t>Bulawayo</t>
  </si>
  <si>
    <t>14(21)</t>
  </si>
  <si>
    <t>Harare</t>
  </si>
  <si>
    <t>1(7)</t>
  </si>
  <si>
    <t>20(40)</t>
  </si>
  <si>
    <t>India and Sri Lanka in West Indies Tri-Series 2013</t>
  </si>
  <si>
    <t>58(89)</t>
  </si>
  <si>
    <t>48*(83)</t>
  </si>
  <si>
    <t>46(78)</t>
  </si>
  <si>
    <t>Kingston, Jamaica</t>
  </si>
  <si>
    <t>60(89)</t>
  </si>
  <si>
    <t>ICC Champions Trophy 2013</t>
  </si>
  <si>
    <t>9(14)</t>
  </si>
  <si>
    <t>33(50)</t>
  </si>
  <si>
    <t>18(32)</t>
  </si>
  <si>
    <t>52(56)</t>
  </si>
  <si>
    <t>65(81)</t>
  </si>
  <si>
    <t>Indian Premier League 2013</t>
  </si>
  <si>
    <t>8(15)</t>
  </si>
  <si>
    <t>14(9)</t>
  </si>
  <si>
    <t>20*(15)</t>
  </si>
  <si>
    <t>37(41)</t>
  </si>
  <si>
    <t>PWI</t>
  </si>
  <si>
    <t>39*(30)</t>
  </si>
  <si>
    <t>22(22)</t>
  </si>
  <si>
    <t>79*(39)</t>
  </si>
  <si>
    <t>10(8)</t>
  </si>
  <si>
    <t>34(28)</t>
  </si>
  <si>
    <t>73(43)</t>
  </si>
  <si>
    <t>62*(32)</t>
  </si>
  <si>
    <t>74*(50)</t>
  </si>
  <si>
    <t>England tour of India 2012-13</t>
  </si>
  <si>
    <t>4(9)</t>
  </si>
  <si>
    <t>83(93)</t>
  </si>
  <si>
    <t>Pakistan in India 2012-13</t>
  </si>
  <si>
    <t>4*(2)</t>
  </si>
  <si>
    <t>2(2)</t>
  </si>
  <si>
    <t>24(19)</t>
  </si>
  <si>
    <t>ICC World T20 2012</t>
  </si>
  <si>
    <t>25(27)</t>
  </si>
  <si>
    <t>55*(33)</t>
  </si>
  <si>
    <t>1*(1)</t>
  </si>
  <si>
    <t>New Zealand tour of India, 2012</t>
  </si>
  <si>
    <t>India tour of Sri Lanka, 2012</t>
  </si>
  <si>
    <t>Hambantota</t>
  </si>
  <si>
    <t>Indian Premier League 2012</t>
  </si>
  <si>
    <t>14(19)</t>
  </si>
  <si>
    <t>12(14)</t>
  </si>
  <si>
    <t>109*(60)</t>
  </si>
  <si>
    <t>60(46)</t>
  </si>
  <si>
    <t>42(48)</t>
  </si>
  <si>
    <t>DCG</t>
  </si>
  <si>
    <t>12(6)</t>
  </si>
  <si>
    <t>50(30)</t>
  </si>
  <si>
    <t>29(27)</t>
  </si>
  <si>
    <t>73*(50)</t>
  </si>
  <si>
    <t>1(6)</t>
  </si>
  <si>
    <t>India in South Africa one-off T20I, 2012</t>
  </si>
  <si>
    <t>Asia Cup, 2012</t>
  </si>
  <si>
    <t>68(83)</t>
  </si>
  <si>
    <t>India and Sri Lanka in Australia Tri-Series 2012</t>
  </si>
  <si>
    <t>33(41)</t>
  </si>
  <si>
    <t>10(17)</t>
  </si>
  <si>
    <t>21(21)</t>
  </si>
  <si>
    <t>India in Australia T20I Series 2012</t>
  </si>
  <si>
    <t>Homebush Bay, Sydney</t>
  </si>
  <si>
    <t>West Indies in India 2011</t>
  </si>
  <si>
    <t>21(26)</t>
  </si>
  <si>
    <t>27(16)</t>
  </si>
  <si>
    <t>95(100)</t>
  </si>
  <si>
    <t>90*(98)</t>
  </si>
  <si>
    <t>72(99)</t>
  </si>
  <si>
    <t>India in England, 2011</t>
  </si>
  <si>
    <t>0*(1)</t>
  </si>
  <si>
    <t>Chester-le-Street</t>
  </si>
  <si>
    <t>1(3)</t>
  </si>
  <si>
    <t>India in West Indies, 2011</t>
  </si>
  <si>
    <t>57(72)</t>
  </si>
  <si>
    <t>39(47)</t>
  </si>
  <si>
    <t>86*(91)</t>
  </si>
  <si>
    <t>7*(14)</t>
  </si>
  <si>
    <t>68*(75)</t>
  </si>
  <si>
    <t>26(23)</t>
  </si>
  <si>
    <t>Indian Premier League 2011</t>
  </si>
  <si>
    <t>10(9)</t>
  </si>
  <si>
    <t>49(32)</t>
  </si>
  <si>
    <t>18(11)</t>
  </si>
  <si>
    <t>13(22)</t>
  </si>
  <si>
    <t>56*(34)</t>
  </si>
  <si>
    <t>87(48)</t>
  </si>
  <si>
    <t>20*(18)</t>
  </si>
  <si>
    <t>KTK</t>
  </si>
  <si>
    <t>27*(30)</t>
  </si>
  <si>
    <t>India in South Africa, 2010-11</t>
  </si>
  <si>
    <t>23(45)</t>
  </si>
  <si>
    <t>11(27)</t>
  </si>
  <si>
    <t>53(34)</t>
  </si>
  <si>
    <t>New Zealand in India, 2010</t>
  </si>
  <si>
    <t>44(48)</t>
  </si>
  <si>
    <t>Tri-Series in Sri Lanka, 2010</t>
  </si>
  <si>
    <t>11(21)</t>
  </si>
  <si>
    <t>4(11)</t>
  </si>
  <si>
    <t>Asia Cup, 2010</t>
  </si>
  <si>
    <t>41(52)</t>
  </si>
  <si>
    <t>69(73)</t>
  </si>
  <si>
    <t>Zimbabwe v India T20I Series, 2010</t>
  </si>
  <si>
    <t>Tri-Series In Zimbabwe, 2010</t>
  </si>
  <si>
    <t>32(40)</t>
  </si>
  <si>
    <t>13(25)</t>
  </si>
  <si>
    <t>101*(100)</t>
  </si>
  <si>
    <t>114(119)</t>
  </si>
  <si>
    <t>ICC World T20, 2010</t>
  </si>
  <si>
    <t>79*(46)</t>
  </si>
  <si>
    <t>Indian Premier League 2010</t>
  </si>
  <si>
    <t>68*(38)</t>
  </si>
  <si>
    <t>51(46)</t>
  </si>
  <si>
    <t>73(44)</t>
  </si>
  <si>
    <t>MI</t>
  </si>
  <si>
    <t>45(28)</t>
  </si>
  <si>
    <t>49(35)</t>
  </si>
  <si>
    <t>45(30)</t>
  </si>
  <si>
    <t>19*(10)</t>
  </si>
  <si>
    <t>South Africa in India ODI Series, 2010</t>
  </si>
  <si>
    <t>48(61)</t>
  </si>
  <si>
    <t>Sri Lanka in India T20I Series, 2009</t>
  </si>
  <si>
    <t>3(4)</t>
  </si>
  <si>
    <t>India in West Indies ODI Series</t>
  </si>
  <si>
    <t>4(12)</t>
  </si>
  <si>
    <t>ICC World T20, 2009</t>
  </si>
  <si>
    <t>29(28)</t>
  </si>
  <si>
    <t>52*(45)</t>
  </si>
  <si>
    <t>36(23)</t>
  </si>
  <si>
    <t>Indian Premier League 2009</t>
  </si>
  <si>
    <t>24(23)</t>
  </si>
  <si>
    <t>5*(11)</t>
  </si>
  <si>
    <t>42(26)</t>
  </si>
  <si>
    <t>32*(13)</t>
  </si>
  <si>
    <t>Kimberley</t>
  </si>
  <si>
    <t>9(15)</t>
  </si>
  <si>
    <t>38(36)</t>
  </si>
  <si>
    <t>21(20)</t>
  </si>
  <si>
    <t>East London</t>
  </si>
  <si>
    <t>17(20)</t>
  </si>
  <si>
    <t>18(19)</t>
  </si>
  <si>
    <t>52(30)</t>
  </si>
  <si>
    <t>36*(32)</t>
  </si>
  <si>
    <t>India in New Zealand ODI Series</t>
  </si>
  <si>
    <t>43*(74)</t>
  </si>
  <si>
    <t>India in New Zealand T20I Series, 2009</t>
  </si>
  <si>
    <t>7(7)</t>
  </si>
  <si>
    <t>Christchurch</t>
  </si>
  <si>
    <t>India in Sri Lanka T20I Match, 2009</t>
  </si>
  <si>
    <t>India in Sri Lanka ODI Series</t>
  </si>
  <si>
    <t>15(22)</t>
  </si>
  <si>
    <t>4*(6)</t>
  </si>
  <si>
    <t>25*(30)</t>
  </si>
  <si>
    <t>England in India ODI Series</t>
  </si>
  <si>
    <t>8*(10)</t>
  </si>
  <si>
    <t>28(41)</t>
  </si>
  <si>
    <t>3(13)</t>
  </si>
  <si>
    <t>11*(8)</t>
  </si>
  <si>
    <t>32(32)</t>
  </si>
  <si>
    <t>19(31)</t>
  </si>
  <si>
    <t>Asia Cup, 2008</t>
  </si>
  <si>
    <t>3(8)</t>
  </si>
  <si>
    <t>Karachi</t>
  </si>
  <si>
    <t>22*(28)</t>
  </si>
  <si>
    <t>58(71)</t>
  </si>
  <si>
    <t>22(23)</t>
  </si>
  <si>
    <t>11(29)</t>
  </si>
  <si>
    <t>Bangladesh, India, Pakistan in Bangladesh</t>
  </si>
  <si>
    <t>24(27)</t>
  </si>
  <si>
    <t>26(43)</t>
  </si>
  <si>
    <t>9(27)</t>
  </si>
  <si>
    <t>Indian Premier League 2008</t>
  </si>
  <si>
    <t>17(16)</t>
  </si>
  <si>
    <t>50(27)</t>
  </si>
  <si>
    <t>35(18)</t>
  </si>
  <si>
    <t>33(24)</t>
  </si>
  <si>
    <t>23(17)</t>
  </si>
  <si>
    <t>57(42)</t>
  </si>
  <si>
    <t>76*(42)</t>
  </si>
  <si>
    <t>36(30)</t>
  </si>
  <si>
    <t>66(36)</t>
  </si>
  <si>
    <t>Australia, India, Sri Lanka in Australia</t>
  </si>
  <si>
    <t>66(87)</t>
  </si>
  <si>
    <t>3*(7)</t>
  </si>
  <si>
    <t>Hobart</t>
  </si>
  <si>
    <t>24(36)</t>
  </si>
  <si>
    <t>70*(64)</t>
  </si>
  <si>
    <t>39*(61)</t>
  </si>
  <si>
    <t>29(43)</t>
  </si>
  <si>
    <t>India in Australia T20I Match, 2008</t>
  </si>
  <si>
    <t>Pakistan in India ODI Series</t>
  </si>
  <si>
    <t>52(61)</t>
  </si>
  <si>
    <t>Australia in India T20I Match, 2007</t>
  </si>
  <si>
    <t>Australia in India ODI Series</t>
  </si>
  <si>
    <t>ICC World T20, 2007</t>
  </si>
  <si>
    <t>30*(16)</t>
  </si>
  <si>
    <t>8*(5)</t>
  </si>
  <si>
    <t>50*(40)</t>
  </si>
  <si>
    <t>India, South Africa in Ireland, 2007</t>
  </si>
  <si>
    <t>Belfast</t>
  </si>
  <si>
    <t>India in Ireland ODI Match</t>
  </si>
  <si>
    <t>DN</t>
  </si>
  <si>
    <t>Match_ID</t>
  </si>
  <si>
    <t>Opponent</t>
  </si>
  <si>
    <t>Month</t>
  </si>
  <si>
    <t>Year</t>
  </si>
  <si>
    <t>Strike_rate</t>
  </si>
  <si>
    <t>Fours</t>
  </si>
  <si>
    <t>Sixes</t>
  </si>
  <si>
    <t>Balls</t>
  </si>
  <si>
    <t>runs</t>
  </si>
  <si>
    <t>Above 30</t>
  </si>
  <si>
    <t>Match251</t>
  </si>
  <si>
    <t>October</t>
  </si>
  <si>
    <t>2019</t>
  </si>
  <si>
    <t>Yes</t>
  </si>
  <si>
    <t>Match493</t>
  </si>
  <si>
    <t>November</t>
  </si>
  <si>
    <t>2014</t>
  </si>
  <si>
    <t>Match249</t>
  </si>
  <si>
    <t>Match537</t>
  </si>
  <si>
    <t>2013</t>
  </si>
  <si>
    <t>Match358</t>
  </si>
  <si>
    <t>December</t>
  </si>
  <si>
    <t>2017</t>
  </si>
  <si>
    <t>Match215</t>
  </si>
  <si>
    <t>February</t>
  </si>
  <si>
    <t>2021</t>
  </si>
  <si>
    <t>Match536</t>
  </si>
  <si>
    <t>Match447</t>
  </si>
  <si>
    <t>January</t>
  </si>
  <si>
    <t>2016</t>
  </si>
  <si>
    <t>Match307</t>
  </si>
  <si>
    <t>2018</t>
  </si>
  <si>
    <t>Match239</t>
  </si>
  <si>
    <t>Match310</t>
  </si>
  <si>
    <t>Match071</t>
  </si>
  <si>
    <t>2024</t>
  </si>
  <si>
    <t>Match454</t>
  </si>
  <si>
    <t>2015</t>
  </si>
  <si>
    <t>Match365</t>
  </si>
  <si>
    <t>Match541</t>
  </si>
  <si>
    <t>Match264</t>
  </si>
  <si>
    <t>June</t>
  </si>
  <si>
    <t>Match195</t>
  </si>
  <si>
    <t>September</t>
  </si>
  <si>
    <t>Match488</t>
  </si>
  <si>
    <t>Match097</t>
  </si>
  <si>
    <t>July</t>
  </si>
  <si>
    <t>2023</t>
  </si>
  <si>
    <t>Match318</t>
  </si>
  <si>
    <t>Match481</t>
  </si>
  <si>
    <t>March</t>
  </si>
  <si>
    <t>Match298</t>
  </si>
  <si>
    <t>Match088</t>
  </si>
  <si>
    <t>Match370</t>
  </si>
  <si>
    <t>Match378</t>
  </si>
  <si>
    <t>August</t>
  </si>
  <si>
    <t>Match446</t>
  </si>
  <si>
    <t>Match382</t>
  </si>
  <si>
    <t>Match266</t>
  </si>
  <si>
    <t>Match010</t>
  </si>
  <si>
    <t>2025</t>
  </si>
  <si>
    <t>Match074</t>
  </si>
  <si>
    <t>Match121</t>
  </si>
  <si>
    <t>Match034</t>
  </si>
  <si>
    <t>Match235</t>
  </si>
  <si>
    <t>2020</t>
  </si>
  <si>
    <t>Match355</t>
  </si>
  <si>
    <t>Match347</t>
  </si>
  <si>
    <t>Match360</t>
  </si>
  <si>
    <t>Match662</t>
  </si>
  <si>
    <t>May</t>
  </si>
  <si>
    <t>2010</t>
  </si>
  <si>
    <t>Match458</t>
  </si>
  <si>
    <t>Match304</t>
  </si>
  <si>
    <t>Match312</t>
  </si>
  <si>
    <t>Match535</t>
  </si>
  <si>
    <t>Match596</t>
  </si>
  <si>
    <t>IPL</t>
  </si>
  <si>
    <t>2012</t>
  </si>
  <si>
    <t>Match456</t>
  </si>
  <si>
    <t>Match063</t>
  </si>
  <si>
    <t>April</t>
  </si>
  <si>
    <t>Match197</t>
  </si>
  <si>
    <t>Match260</t>
  </si>
  <si>
    <t>Match377</t>
  </si>
  <si>
    <t>Match069</t>
  </si>
  <si>
    <t>Match098</t>
  </si>
  <si>
    <t>Match259</t>
  </si>
  <si>
    <t>Match409</t>
  </si>
  <si>
    <t>Match261</t>
  </si>
  <si>
    <t>Match361</t>
  </si>
  <si>
    <t>Match122</t>
  </si>
  <si>
    <t>Match661</t>
  </si>
  <si>
    <t>Match319</t>
  </si>
  <si>
    <t>Match443</t>
  </si>
  <si>
    <t>Match479</t>
  </si>
  <si>
    <t>Match323</t>
  </si>
  <si>
    <t>Match283</t>
  </si>
  <si>
    <t>Match619</t>
  </si>
  <si>
    <t>2011</t>
  </si>
  <si>
    <t>Match334</t>
  </si>
  <si>
    <t>Match049</t>
  </si>
  <si>
    <t>Match489</t>
  </si>
  <si>
    <t>Match214</t>
  </si>
  <si>
    <t>Match385</t>
  </si>
  <si>
    <t>Match522</t>
  </si>
  <si>
    <t>Match620</t>
  </si>
  <si>
    <t>Match339</t>
  </si>
  <si>
    <t>Match084</t>
  </si>
  <si>
    <t>Match294</t>
  </si>
  <si>
    <t>Match640</t>
  </si>
  <si>
    <t>Match087</t>
  </si>
  <si>
    <t>Match626</t>
  </si>
  <si>
    <t>Match247</t>
  </si>
  <si>
    <t>Match418</t>
  </si>
  <si>
    <t>Match408</t>
  </si>
  <si>
    <t>Match425</t>
  </si>
  <si>
    <t>Match127</t>
  </si>
  <si>
    <t>Match313</t>
  </si>
  <si>
    <t>Match436</t>
  </si>
  <si>
    <t>Match578</t>
  </si>
  <si>
    <t>Match014</t>
  </si>
  <si>
    <t>Match090</t>
  </si>
  <si>
    <t>Match229</t>
  </si>
  <si>
    <t>Match364</t>
  </si>
  <si>
    <t>Match524</t>
  </si>
  <si>
    <t>Match538</t>
  </si>
  <si>
    <t>Match568</t>
  </si>
  <si>
    <t>Match664</t>
  </si>
  <si>
    <t>Match003</t>
  </si>
  <si>
    <t>2026</t>
  </si>
  <si>
    <t>Match196</t>
  </si>
  <si>
    <t>Match218</t>
  </si>
  <si>
    <t>Match384</t>
  </si>
  <si>
    <t>Match021</t>
  </si>
  <si>
    <t>Match028</t>
  </si>
  <si>
    <t>Match152</t>
  </si>
  <si>
    <t>2022</t>
  </si>
  <si>
    <t>Match457</t>
  </si>
  <si>
    <t>Match739</t>
  </si>
  <si>
    <t>2008</t>
  </si>
  <si>
    <t>Match007</t>
  </si>
  <si>
    <t>Match094</t>
  </si>
  <si>
    <t>Match186</t>
  </si>
  <si>
    <t>Match574</t>
  </si>
  <si>
    <t>Match011</t>
  </si>
  <si>
    <t>Match571</t>
  </si>
  <si>
    <t>Match606</t>
  </si>
  <si>
    <t>Match672</t>
  </si>
  <si>
    <t>Match142</t>
  </si>
  <si>
    <t>Match534</t>
  </si>
  <si>
    <t>Match621</t>
  </si>
  <si>
    <t>Match241</t>
  </si>
  <si>
    <t>Match372</t>
  </si>
  <si>
    <t>Match020</t>
  </si>
  <si>
    <t>Match227</t>
  </si>
  <si>
    <t>Match402</t>
  </si>
  <si>
    <t>Match749</t>
  </si>
  <si>
    <t>Match655</t>
  </si>
  <si>
    <t>Match055</t>
  </si>
  <si>
    <t>Match219</t>
  </si>
  <si>
    <t>Match299</t>
  </si>
  <si>
    <t>Match419</t>
  </si>
  <si>
    <t>Match609</t>
  </si>
  <si>
    <t>Match628</t>
  </si>
  <si>
    <t>Match668</t>
  </si>
  <si>
    <t>Match256</t>
  </si>
  <si>
    <t>Match272</t>
  </si>
  <si>
    <t>Match391</t>
  </si>
  <si>
    <t>Match741</t>
  </si>
  <si>
    <t>Match744</t>
  </si>
  <si>
    <t>Match113</t>
  </si>
  <si>
    <t>Match232</t>
  </si>
  <si>
    <t>Match371</t>
  </si>
  <si>
    <t>Match421</t>
  </si>
  <si>
    <t>Match452</t>
  </si>
  <si>
    <t>Match557</t>
  </si>
  <si>
    <t>Match045</t>
  </si>
  <si>
    <t>Match149</t>
  </si>
  <si>
    <t>Match199</t>
  </si>
  <si>
    <t>Match210</t>
  </si>
  <si>
    <t>Match483</t>
  </si>
  <si>
    <t>Match544</t>
  </si>
  <si>
    <t>Match073</t>
  </si>
  <si>
    <t>Match120</t>
  </si>
  <si>
    <t>Match202</t>
  </si>
  <si>
    <t>Match238</t>
  </si>
  <si>
    <t>Match306</t>
  </si>
  <si>
    <t>Match462</t>
  </si>
  <si>
    <t>Match293</t>
  </si>
  <si>
    <t>Match411</t>
  </si>
  <si>
    <t>Match422</t>
  </si>
  <si>
    <t>Match515</t>
  </si>
  <si>
    <t>Match573</t>
  </si>
  <si>
    <t>Match081</t>
  </si>
  <si>
    <t>Match170</t>
  </si>
  <si>
    <t>Match180</t>
  </si>
  <si>
    <t>Match231</t>
  </si>
  <si>
    <t>Match441</t>
  </si>
  <si>
    <t>Match552</t>
  </si>
  <si>
    <t>Match598</t>
  </si>
  <si>
    <t>Match504</t>
  </si>
  <si>
    <t>Match046</t>
  </si>
  <si>
    <t>Match099</t>
  </si>
  <si>
    <t>Match395</t>
  </si>
  <si>
    <t>Match548</t>
  </si>
  <si>
    <t>Match632</t>
  </si>
  <si>
    <t>Match724</t>
  </si>
  <si>
    <t>Match009</t>
  </si>
  <si>
    <t>Match048</t>
  </si>
  <si>
    <t>Match070</t>
  </si>
  <si>
    <t>Match265</t>
  </si>
  <si>
    <t>Match352</t>
  </si>
  <si>
    <t>Match485</t>
  </si>
  <si>
    <t>Match624</t>
  </si>
  <si>
    <t>Match738</t>
  </si>
  <si>
    <t>Match093</t>
  </si>
  <si>
    <t>Match102</t>
  </si>
  <si>
    <t>Match181</t>
  </si>
  <si>
    <t>Match184</t>
  </si>
  <si>
    <t>Match282</t>
  </si>
  <si>
    <t>Match331</t>
  </si>
  <si>
    <t>Match338</t>
  </si>
  <si>
    <t>Match393</t>
  </si>
  <si>
    <t>Match514</t>
  </si>
  <si>
    <t>Match518</t>
  </si>
  <si>
    <t>Match639</t>
  </si>
  <si>
    <t>Match077</t>
  </si>
  <si>
    <t>Match182</t>
  </si>
  <si>
    <t>Match269</t>
  </si>
  <si>
    <t>Match585</t>
  </si>
  <si>
    <t>Match041</t>
  </si>
  <si>
    <t>Match379</t>
  </si>
  <si>
    <t>Match018</t>
  </si>
  <si>
    <t>Match092</t>
  </si>
  <si>
    <t>Match134</t>
  </si>
  <si>
    <t>Match648</t>
  </si>
  <si>
    <t>Match054</t>
  </si>
  <si>
    <t>Match314</t>
  </si>
  <si>
    <t>Match440</t>
  </si>
  <si>
    <t>Match494</t>
  </si>
  <si>
    <t>Match556</t>
  </si>
  <si>
    <t>Match689</t>
  </si>
  <si>
    <t>2009</t>
  </si>
  <si>
    <t>Match705</t>
  </si>
  <si>
    <t>Match754</t>
  </si>
  <si>
    <t>2007</t>
  </si>
  <si>
    <t>Match123</t>
  </si>
  <si>
    <t>Match128</t>
  </si>
  <si>
    <t>Match217</t>
  </si>
  <si>
    <t>Match407</t>
  </si>
  <si>
    <t>Match501</t>
  </si>
  <si>
    <t>Match669</t>
  </si>
  <si>
    <t>Match289</t>
  </si>
  <si>
    <t>Match412</t>
  </si>
  <si>
    <t>Match464</t>
  </si>
  <si>
    <t>Match476</t>
  </si>
  <si>
    <t>Match508</t>
  </si>
  <si>
    <t>Match602</t>
  </si>
  <si>
    <t>Match732</t>
  </si>
  <si>
    <t>Match758</t>
  </si>
  <si>
    <t>Match065</t>
  </si>
  <si>
    <t>Match213</t>
  </si>
  <si>
    <t>Match491</t>
  </si>
  <si>
    <t>Match635</t>
  </si>
  <si>
    <t>Match676</t>
  </si>
  <si>
    <t>Match086</t>
  </si>
  <si>
    <t>Match157</t>
  </si>
  <si>
    <t>Match183</t>
  </si>
  <si>
    <t>Match198</t>
  </si>
  <si>
    <t>Match280</t>
  </si>
  <si>
    <t>Match311</t>
  </si>
  <si>
    <t>Match549</t>
  </si>
  <si>
    <t>Match681</t>
  </si>
  <si>
    <t>Match079</t>
  </si>
  <si>
    <t>Match080</t>
  </si>
  <si>
    <t>Match276</t>
  </si>
  <si>
    <t>Match085</t>
  </si>
  <si>
    <t>Match140</t>
  </si>
  <si>
    <t>Match470</t>
  </si>
  <si>
    <t>Match550</t>
  </si>
  <si>
    <t>Match675</t>
  </si>
  <si>
    <t>Match677</t>
  </si>
  <si>
    <t>Match110</t>
  </si>
  <si>
    <t>Match174</t>
  </si>
  <si>
    <t>Match203</t>
  </si>
  <si>
    <t>Match649</t>
  </si>
  <si>
    <t>Match068</t>
  </si>
  <si>
    <t>Match137</t>
  </si>
  <si>
    <t>Match160</t>
  </si>
  <si>
    <t>Match193</t>
  </si>
  <si>
    <t>Match205</t>
  </si>
  <si>
    <t>Match297</t>
  </si>
  <si>
    <t>Match427</t>
  </si>
  <si>
    <t>Match438</t>
  </si>
  <si>
    <t>Match707</t>
  </si>
  <si>
    <t>Match125</t>
  </si>
  <si>
    <t>Match236</t>
  </si>
  <si>
    <t>Match475</t>
  </si>
  <si>
    <t>Match542</t>
  </si>
  <si>
    <t>Match600</t>
  </si>
  <si>
    <t>Match694</t>
  </si>
  <si>
    <t>Match032</t>
  </si>
  <si>
    <t>Match169</t>
  </si>
  <si>
    <t>Match444</t>
  </si>
  <si>
    <t>Match654</t>
  </si>
  <si>
    <t>Match082</t>
  </si>
  <si>
    <t>Match177</t>
  </si>
  <si>
    <t>Match397</t>
  </si>
  <si>
    <t>Match500</t>
  </si>
  <si>
    <t>Match162</t>
  </si>
  <si>
    <t>Match433</t>
  </si>
  <si>
    <t>Match505</t>
  </si>
  <si>
    <t>Match525</t>
  </si>
  <si>
    <t>Match566</t>
  </si>
  <si>
    <t>Match625</t>
  </si>
  <si>
    <t>Match750</t>
  </si>
  <si>
    <t>Match064</t>
  </si>
  <si>
    <t>Match288</t>
  </si>
  <si>
    <t>Match300</t>
  </si>
  <si>
    <t>Match699</t>
  </si>
  <si>
    <t>Match701</t>
  </si>
  <si>
    <t>Match103</t>
  </si>
  <si>
    <t>Match207</t>
  </si>
  <si>
    <t>Match286</t>
  </si>
  <si>
    <t>Match564</t>
  </si>
  <si>
    <t>Match062</t>
  </si>
  <si>
    <t>Match240</t>
  </si>
  <si>
    <t>Match327</t>
  </si>
  <si>
    <t>Match690</t>
  </si>
  <si>
    <t>Match706</t>
  </si>
  <si>
    <t>Match740</t>
  </si>
  <si>
    <t>Match002</t>
  </si>
  <si>
    <t>Match044</t>
  </si>
  <si>
    <t>Match118</t>
  </si>
  <si>
    <t>Match200</t>
  </si>
  <si>
    <t>Match223</t>
  </si>
  <si>
    <t>Match225</t>
  </si>
  <si>
    <t>Match734</t>
  </si>
  <si>
    <t>Match124</t>
  </si>
  <si>
    <t>Match480</t>
  </si>
  <si>
    <t>Match495</t>
  </si>
  <si>
    <t>Match570</t>
  </si>
  <si>
    <t>Match146</t>
  </si>
  <si>
    <t>Match194</t>
  </si>
  <si>
    <t>Match554</t>
  </si>
  <si>
    <t>Match613</t>
  </si>
  <si>
    <t>Match735</t>
  </si>
  <si>
    <t>Match204</t>
  </si>
  <si>
    <t>Match279</t>
  </si>
  <si>
    <t>Match321</t>
  </si>
  <si>
    <t>Match490</t>
  </si>
  <si>
    <t>Match659</t>
  </si>
  <si>
    <t>Match695</t>
  </si>
  <si>
    <t>Match719</t>
  </si>
  <si>
    <t>Match042</t>
  </si>
  <si>
    <t>Match154</t>
  </si>
  <si>
    <t>Match414</t>
  </si>
  <si>
    <t>Match442</t>
  </si>
  <si>
    <t>Match521</t>
  </si>
  <si>
    <t>Match116</t>
  </si>
  <si>
    <t>No</t>
  </si>
  <si>
    <t>Match185</t>
  </si>
  <si>
    <t>Match274</t>
  </si>
  <si>
    <t>Match413</t>
  </si>
  <si>
    <t>Match467</t>
  </si>
  <si>
    <t>Match474</t>
  </si>
  <si>
    <t>Match498</t>
  </si>
  <si>
    <t>Match756</t>
  </si>
  <si>
    <t>Match039</t>
  </si>
  <si>
    <t>Match104</t>
  </si>
  <si>
    <t>Match171</t>
  </si>
  <si>
    <t>Match460</t>
  </si>
  <si>
    <t>Match511</t>
  </si>
  <si>
    <t>Match604</t>
  </si>
  <si>
    <t>Match686</t>
  </si>
  <si>
    <t>Match752</t>
  </si>
  <si>
    <t>Match029</t>
  </si>
  <si>
    <t>Match111</t>
  </si>
  <si>
    <t>Match143</t>
  </si>
  <si>
    <t>Match165</t>
  </si>
  <si>
    <t>Match209</t>
  </si>
  <si>
    <t>Match275</t>
  </si>
  <si>
    <t>Match374</t>
  </si>
  <si>
    <t>Match714</t>
  </si>
  <si>
    <t>Match072</t>
  </si>
  <si>
    <t>Match129</t>
  </si>
  <si>
    <t>Match130</t>
  </si>
  <si>
    <t>Match354</t>
  </si>
  <si>
    <t>Match389</t>
  </si>
  <si>
    <t>Match472</t>
  </si>
  <si>
    <t>Match510</t>
  </si>
  <si>
    <t>Match618</t>
  </si>
  <si>
    <t>Match642</t>
  </si>
  <si>
    <t>Match006</t>
  </si>
  <si>
    <t>Match022</t>
  </si>
  <si>
    <t>Match067</t>
  </si>
  <si>
    <t>Match166</t>
  </si>
  <si>
    <t>Match387</t>
  </si>
  <si>
    <t>Match471</t>
  </si>
  <si>
    <t>Match629</t>
  </si>
  <si>
    <t>Match729</t>
  </si>
  <si>
    <t>Match208</t>
  </si>
  <si>
    <t>Match416</t>
  </si>
  <si>
    <t>Match449</t>
  </si>
  <si>
    <t>Match528</t>
  </si>
  <si>
    <t>Match561</t>
  </si>
  <si>
    <t>Match583</t>
  </si>
  <si>
    <t>Match712</t>
  </si>
  <si>
    <t>Match005</t>
  </si>
  <si>
    <t>Match015</t>
  </si>
  <si>
    <t>Match119</t>
  </si>
  <si>
    <t>Match155</t>
  </si>
  <si>
    <t>Match257</t>
  </si>
  <si>
    <t>Match270</t>
  </si>
  <si>
    <t>Match329</t>
  </si>
  <si>
    <t>Match386</t>
  </si>
  <si>
    <t>Match473</t>
  </si>
  <si>
    <t>Match512</t>
  </si>
  <si>
    <t>Match516</t>
  </si>
  <si>
    <t>Match582</t>
  </si>
  <si>
    <t>Match691</t>
  </si>
  <si>
    <t>Match728</t>
  </si>
  <si>
    <t>Match747</t>
  </si>
  <si>
    <t>Match050</t>
  </si>
  <si>
    <t>Match301</t>
  </si>
  <si>
    <t>Match315</t>
  </si>
  <si>
    <t>Match645</t>
  </si>
  <si>
    <t>Match737</t>
  </si>
  <si>
    <t>Match190</t>
  </si>
  <si>
    <t>Match455</t>
  </si>
  <si>
    <t>Match567</t>
  </si>
  <si>
    <t>Match656</t>
  </si>
  <si>
    <t>Match723</t>
  </si>
  <si>
    <t>Match725</t>
  </si>
  <si>
    <t>Match114</t>
  </si>
  <si>
    <t>Match144</t>
  </si>
  <si>
    <t>Match244</t>
  </si>
  <si>
    <t>Match345</t>
  </si>
  <si>
    <t>Match353</t>
  </si>
  <si>
    <t>Match451</t>
  </si>
  <si>
    <t>Match520</t>
  </si>
  <si>
    <t>Match605</t>
  </si>
  <si>
    <t>Match615</t>
  </si>
  <si>
    <t>Match617</t>
  </si>
  <si>
    <t>Match700</t>
  </si>
  <si>
    <t>Match031</t>
  </si>
  <si>
    <t>Match112</t>
  </si>
  <si>
    <t>Match351</t>
  </si>
  <si>
    <t>Match367</t>
  </si>
  <si>
    <t>Match496</t>
  </si>
  <si>
    <t>Match526</t>
  </si>
  <si>
    <t>Match529</t>
  </si>
  <si>
    <t>Match547</t>
  </si>
  <si>
    <t>Match563</t>
  </si>
  <si>
    <t>Match641</t>
  </si>
  <si>
    <t>Match056</t>
  </si>
  <si>
    <t>Match176</t>
  </si>
  <si>
    <t>Match206</t>
  </si>
  <si>
    <t>Match465</t>
  </si>
  <si>
    <t>Match503</t>
  </si>
  <si>
    <t>Match530</t>
  </si>
  <si>
    <t>Match679</t>
  </si>
  <si>
    <t>Match721</t>
  </si>
  <si>
    <t>Match023</t>
  </si>
  <si>
    <t>Match158</t>
  </si>
  <si>
    <t>Match189</t>
  </si>
  <si>
    <t>Match216</t>
  </si>
  <si>
    <t>Match255</t>
  </si>
  <si>
    <t>Match262</t>
  </si>
  <si>
    <t>Match335</t>
  </si>
  <si>
    <t>Match429</t>
  </si>
  <si>
    <t>Match469</t>
  </si>
  <si>
    <t>Match499</t>
  </si>
  <si>
    <t>Match517</t>
  </si>
  <si>
    <t>Match531</t>
  </si>
  <si>
    <t>Match555</t>
  </si>
  <si>
    <t>Match637</t>
  </si>
  <si>
    <t>Match703</t>
  </si>
  <si>
    <t>Match718</t>
  </si>
  <si>
    <t>Match024</t>
  </si>
  <si>
    <t>Match126</t>
  </si>
  <si>
    <t>Match139</t>
  </si>
  <si>
    <t>Match150</t>
  </si>
  <si>
    <t>Match341</t>
  </si>
  <si>
    <t>Match356</t>
  </si>
  <si>
    <t>Match702</t>
  </si>
  <si>
    <t>Match731</t>
  </si>
  <si>
    <t>Match376</t>
  </si>
  <si>
    <t>Match450</t>
  </si>
  <si>
    <t>Match482</t>
  </si>
  <si>
    <t>Match497</t>
  </si>
  <si>
    <t>Match565</t>
  </si>
  <si>
    <t>Match030</t>
  </si>
  <si>
    <t>Match131</t>
  </si>
  <si>
    <t>Match133</t>
  </si>
  <si>
    <t>Match212</t>
  </si>
  <si>
    <t>Match242</t>
  </si>
  <si>
    <t>Match267</t>
  </si>
  <si>
    <t>Match317</t>
  </si>
  <si>
    <t>Match337</t>
  </si>
  <si>
    <t>Match346</t>
  </si>
  <si>
    <t>Match350</t>
  </si>
  <si>
    <t>Match405</t>
  </si>
  <si>
    <t>Match415</t>
  </si>
  <si>
    <t>Match434</t>
  </si>
  <si>
    <t>Match468</t>
  </si>
  <si>
    <t>Match487</t>
  </si>
  <si>
    <t>Match612</t>
  </si>
  <si>
    <t>Match710</t>
  </si>
  <si>
    <t>Match008</t>
  </si>
  <si>
    <t>Match187</t>
  </si>
  <si>
    <t>Match201</t>
  </si>
  <si>
    <t>Match250</t>
  </si>
  <si>
    <t>Match281</t>
  </si>
  <si>
    <t>Match284</t>
  </si>
  <si>
    <t>Match406</t>
  </si>
  <si>
    <t>Match502</t>
  </si>
  <si>
    <t>Match545</t>
  </si>
  <si>
    <t>Match562</t>
  </si>
  <si>
    <t>Match593</t>
  </si>
  <si>
    <t>Match025</t>
  </si>
  <si>
    <t>Match053</t>
  </si>
  <si>
    <t>Match117</t>
  </si>
  <si>
    <t>Match178</t>
  </si>
  <si>
    <t>Match278</t>
  </si>
  <si>
    <t>Match324</t>
  </si>
  <si>
    <t>Match404</t>
  </si>
  <si>
    <t>Match437</t>
  </si>
  <si>
    <t>Match459</t>
  </si>
  <si>
    <t>Match519</t>
  </si>
  <si>
    <t>Match630</t>
  </si>
  <si>
    <t>Match638</t>
  </si>
  <si>
    <t>Match660</t>
  </si>
  <si>
    <t>Match680</t>
  </si>
  <si>
    <t>Match019</t>
  </si>
  <si>
    <t>Match036</t>
  </si>
  <si>
    <t>Match096</t>
  </si>
  <si>
    <t>Match145</t>
  </si>
  <si>
    <t>Match211</t>
  </si>
  <si>
    <t>Match230</t>
  </si>
  <si>
    <t>Match253</t>
  </si>
  <si>
    <t>Match271</t>
  </si>
  <si>
    <t>Match383</t>
  </si>
  <si>
    <t>Match428</t>
  </si>
  <si>
    <t>Match533</t>
  </si>
  <si>
    <t>Match594</t>
  </si>
  <si>
    <t>Match601</t>
  </si>
  <si>
    <t>Match636</t>
  </si>
  <si>
    <t>Match693</t>
  </si>
  <si>
    <t>Match004</t>
  </si>
  <si>
    <t>Match043</t>
  </si>
  <si>
    <t>Match058</t>
  </si>
  <si>
    <t>Match095</t>
  </si>
  <si>
    <t>Match101</t>
  </si>
  <si>
    <t>Match141</t>
  </si>
  <si>
    <t>Match147</t>
  </si>
  <si>
    <t>Match153</t>
  </si>
  <si>
    <t>Match277</t>
  </si>
  <si>
    <t>Match295</t>
  </si>
  <si>
    <t>Match328</t>
  </si>
  <si>
    <t>Match336</t>
  </si>
  <si>
    <t>Match340</t>
  </si>
  <si>
    <t>Match343</t>
  </si>
  <si>
    <t>Match369</t>
  </si>
  <si>
    <t>Match403</t>
  </si>
  <si>
    <t>Match540</t>
  </si>
  <si>
    <t>Match576</t>
  </si>
  <si>
    <t>Match647</t>
  </si>
  <si>
    <t>Match651</t>
  </si>
  <si>
    <t>Match667</t>
  </si>
  <si>
    <t>Match673</t>
  </si>
  <si>
    <t>Match683</t>
  </si>
  <si>
    <t>Match716</t>
  </si>
  <si>
    <t>Match727</t>
  </si>
  <si>
    <t>Match037</t>
  </si>
  <si>
    <t>Match168</t>
  </si>
  <si>
    <t>Match237</t>
  </si>
  <si>
    <t>Match254</t>
  </si>
  <si>
    <t>Match392</t>
  </si>
  <si>
    <t>Match410</t>
  </si>
  <si>
    <t>Match430</t>
  </si>
  <si>
    <t>Match569</t>
  </si>
  <si>
    <t>Match614</t>
  </si>
  <si>
    <t>Match631</t>
  </si>
  <si>
    <t>Match658</t>
  </si>
  <si>
    <t>Match038</t>
  </si>
  <si>
    <t>Match047</t>
  </si>
  <si>
    <t>Match222</t>
  </si>
  <si>
    <t>Match248</t>
  </si>
  <si>
    <t>Match252</t>
  </si>
  <si>
    <t>Match296</t>
  </si>
  <si>
    <t>Match375</t>
  </si>
  <si>
    <t>Match492</t>
  </si>
  <si>
    <t>Match539</t>
  </si>
  <si>
    <t>Match553</t>
  </si>
  <si>
    <t>Match646</t>
  </si>
  <si>
    <t>Match687</t>
  </si>
  <si>
    <t>Match697</t>
  </si>
  <si>
    <t>Match698</t>
  </si>
  <si>
    <t>Match730</t>
  </si>
  <si>
    <t>Match012</t>
  </si>
  <si>
    <t>Match013</t>
  </si>
  <si>
    <t>Match026</t>
  </si>
  <si>
    <t>Match040</t>
  </si>
  <si>
    <t>Match051</t>
  </si>
  <si>
    <t>Match060</t>
  </si>
  <si>
    <t>Match100</t>
  </si>
  <si>
    <t>Match192</t>
  </si>
  <si>
    <t>Match228</t>
  </si>
  <si>
    <t>Match233</t>
  </si>
  <si>
    <t>Match243</t>
  </si>
  <si>
    <t>Match308</t>
  </si>
  <si>
    <t>Match362</t>
  </si>
  <si>
    <t>Match368</t>
  </si>
  <si>
    <t>Match543</t>
  </si>
  <si>
    <t>Match560</t>
  </si>
  <si>
    <t>Match575</t>
  </si>
  <si>
    <t>Match670</t>
  </si>
  <si>
    <t>Match713</t>
  </si>
  <si>
    <t>Match753</t>
  </si>
  <si>
    <t>Match757</t>
  </si>
  <si>
    <t>Match759</t>
  </si>
  <si>
    <t>Match017</t>
  </si>
  <si>
    <t>Match105</t>
  </si>
  <si>
    <t>Match175</t>
  </si>
  <si>
    <t>Match191</t>
  </si>
  <si>
    <t>Match234</t>
  </si>
  <si>
    <t>Match292</t>
  </si>
  <si>
    <t>Match302</t>
  </si>
  <si>
    <t>Match357</t>
  </si>
  <si>
    <t>Match366</t>
  </si>
  <si>
    <t>Match373</t>
  </si>
  <si>
    <t>Match424</t>
  </si>
  <si>
    <t>Match426</t>
  </si>
  <si>
    <t>Match466</t>
  </si>
  <si>
    <t>Match484</t>
  </si>
  <si>
    <t>Match627</t>
  </si>
  <si>
    <t>Match708</t>
  </si>
  <si>
    <t>Match061</t>
  </si>
  <si>
    <t>Match164</t>
  </si>
  <si>
    <t>Match226</t>
  </si>
  <si>
    <t>Match245</t>
  </si>
  <si>
    <t>Match305</t>
  </si>
  <si>
    <t>Match325</t>
  </si>
  <si>
    <t>Match445</t>
  </si>
  <si>
    <t>Match463</t>
  </si>
  <si>
    <t>Match671</t>
  </si>
  <si>
    <t>Match696</t>
  </si>
  <si>
    <t>Match733</t>
  </si>
  <si>
    <t>Match001</t>
  </si>
  <si>
    <t>Match016</t>
  </si>
  <si>
    <t>Match078</t>
  </si>
  <si>
    <t>Match172</t>
  </si>
  <si>
    <t>Match179</t>
  </si>
  <si>
    <t>Match224</t>
  </si>
  <si>
    <t>Match273</t>
  </si>
  <si>
    <t>Match287</t>
  </si>
  <si>
    <t>Match320</t>
  </si>
  <si>
    <t>Match348</t>
  </si>
  <si>
    <t>Match363</t>
  </si>
  <si>
    <t>Match390</t>
  </si>
  <si>
    <t>Match394</t>
  </si>
  <si>
    <t>Match396</t>
  </si>
  <si>
    <t>Match417</t>
  </si>
  <si>
    <t>Match423</t>
  </si>
  <si>
    <t>Match431</t>
  </si>
  <si>
    <t>Match513</t>
  </si>
  <si>
    <t>Match551</t>
  </si>
  <si>
    <t>Match592</t>
  </si>
  <si>
    <t>Match595</t>
  </si>
  <si>
    <t>Match634</t>
  </si>
  <si>
    <t>Match643</t>
  </si>
  <si>
    <t>Match650</t>
  </si>
  <si>
    <t>Match663</t>
  </si>
  <si>
    <t>Match688</t>
  </si>
  <si>
    <t>Match692</t>
  </si>
  <si>
    <t>Match736</t>
  </si>
  <si>
    <t>Match057</t>
  </si>
  <si>
    <t>Match059</t>
  </si>
  <si>
    <t>Match083</t>
  </si>
  <si>
    <t>Match135</t>
  </si>
  <si>
    <t>Match221</t>
  </si>
  <si>
    <t>Match268</t>
  </si>
  <si>
    <t>Match303</t>
  </si>
  <si>
    <t>Match309</t>
  </si>
  <si>
    <t>Match380</t>
  </si>
  <si>
    <t>Match399</t>
  </si>
  <si>
    <t>Match507</t>
  </si>
  <si>
    <t>Match523</t>
  </si>
  <si>
    <t>Match532</t>
  </si>
  <si>
    <t>Match577</t>
  </si>
  <si>
    <t>Match579</t>
  </si>
  <si>
    <t>Match580</t>
  </si>
  <si>
    <t>Match587</t>
  </si>
  <si>
    <t>Match588</t>
  </si>
  <si>
    <t>Match589</t>
  </si>
  <si>
    <t>Match610</t>
  </si>
  <si>
    <t>Match633</t>
  </si>
  <si>
    <t>Match653</t>
  </si>
  <si>
    <t>Match685</t>
  </si>
  <si>
    <t>Match709</t>
  </si>
  <si>
    <t>Match711</t>
  </si>
  <si>
    <t>Match052</t>
  </si>
  <si>
    <t>Match108</t>
  </si>
  <si>
    <t>Match167</t>
  </si>
  <si>
    <t>Match401</t>
  </si>
  <si>
    <t>Match453</t>
  </si>
  <si>
    <t>Match527</t>
  </si>
  <si>
    <t>Match599</t>
  </si>
  <si>
    <t>Match682</t>
  </si>
  <si>
    <t>Match704</t>
  </si>
  <si>
    <t>Match715</t>
  </si>
  <si>
    <t>Match717</t>
  </si>
  <si>
    <t>Match722</t>
  </si>
  <si>
    <t>Match745</t>
  </si>
  <si>
    <t>Match035</t>
  </si>
  <si>
    <t>Match109</t>
  </si>
  <si>
    <t>Match132</t>
  </si>
  <si>
    <t>Match156</t>
  </si>
  <si>
    <t>Match159</t>
  </si>
  <si>
    <t>Match161</t>
  </si>
  <si>
    <t>Match246</t>
  </si>
  <si>
    <t>Match291</t>
  </si>
  <si>
    <t>Match316</t>
  </si>
  <si>
    <t>Match332</t>
  </si>
  <si>
    <t>Match359</t>
  </si>
  <si>
    <t>Match400</t>
  </si>
  <si>
    <t>Match509</t>
  </si>
  <si>
    <t>Match558</t>
  </si>
  <si>
    <t>Match559</t>
  </si>
  <si>
    <t>Match572</t>
  </si>
  <si>
    <t>Match581</t>
  </si>
  <si>
    <t>Match603</t>
  </si>
  <si>
    <t>Match666</t>
  </si>
  <si>
    <t>Match674</t>
  </si>
  <si>
    <t>Match743</t>
  </si>
  <si>
    <t>Match033</t>
  </si>
  <si>
    <t>Match115</t>
  </si>
  <si>
    <t>Match173</t>
  </si>
  <si>
    <t>Match258</t>
  </si>
  <si>
    <t>Match263</t>
  </si>
  <si>
    <t>Match290</t>
  </si>
  <si>
    <t>Match388</t>
  </si>
  <si>
    <t>Match432</t>
  </si>
  <si>
    <t>Match448</t>
  </si>
  <si>
    <t>Match506</t>
  </si>
  <si>
    <t>Match546</t>
  </si>
  <si>
    <t>Match584</t>
  </si>
  <si>
    <t>Match586</t>
  </si>
  <si>
    <t>Match607</t>
  </si>
  <si>
    <t>Match623</t>
  </si>
  <si>
    <t>Match644</t>
  </si>
  <si>
    <t>Match678</t>
  </si>
  <si>
    <t>Match746</t>
  </si>
  <si>
    <t>Match748</t>
  </si>
  <si>
    <t>Match755</t>
  </si>
  <si>
    <t>Match027</t>
  </si>
  <si>
    <t>Match066</t>
  </si>
  <si>
    <t>Match075</t>
  </si>
  <si>
    <t>Match076</t>
  </si>
  <si>
    <t>Match089</t>
  </si>
  <si>
    <t>Match091</t>
  </si>
  <si>
    <t>Match106</t>
  </si>
  <si>
    <t>Match107</t>
  </si>
  <si>
    <t>Match136</t>
  </si>
  <si>
    <t>Match138</t>
  </si>
  <si>
    <t>Match148</t>
  </si>
  <si>
    <t>Match151</t>
  </si>
  <si>
    <t>Match163</t>
  </si>
  <si>
    <t>Match188</t>
  </si>
  <si>
    <t>Match220</t>
  </si>
  <si>
    <t>Match285</t>
  </si>
  <si>
    <t>Match322</t>
  </si>
  <si>
    <t>Match326</t>
  </si>
  <si>
    <t>Match330</t>
  </si>
  <si>
    <t>Match333</t>
  </si>
  <si>
    <t>Match342</t>
  </si>
  <si>
    <t>Match344</t>
  </si>
  <si>
    <t>Match349</t>
  </si>
  <si>
    <t>Match381</t>
  </si>
  <si>
    <t>Match398</t>
  </si>
  <si>
    <t>Match420</t>
  </si>
  <si>
    <t>Match435</t>
  </si>
  <si>
    <t>Match439</t>
  </si>
  <si>
    <t>Match461</t>
  </si>
  <si>
    <t>Match477</t>
  </si>
  <si>
    <t>Match478</t>
  </si>
  <si>
    <t>Match486</t>
  </si>
  <si>
    <t>Match590</t>
  </si>
  <si>
    <t>Match591</t>
  </si>
  <si>
    <t>Match597</t>
  </si>
  <si>
    <t>Match608</t>
  </si>
  <si>
    <t>Match611</t>
  </si>
  <si>
    <t>Match616</t>
  </si>
  <si>
    <t>Match622</t>
  </si>
  <si>
    <t>Match652</t>
  </si>
  <si>
    <t>Match657</t>
  </si>
  <si>
    <t>Match665</t>
  </si>
  <si>
    <t>Match684</t>
  </si>
  <si>
    <t>Match720</t>
  </si>
  <si>
    <t>Match726</t>
  </si>
  <si>
    <t>Match742</t>
  </si>
  <si>
    <t>Match751</t>
  </si>
  <si>
    <t>avg_runs</t>
  </si>
  <si>
    <t>max_runs</t>
  </si>
  <si>
    <t>min_runs</t>
  </si>
  <si>
    <t>Avg_run_venue</t>
  </si>
  <si>
    <t>Avg_strike_rate_venue</t>
  </si>
  <si>
    <t>venue_advantage</t>
  </si>
  <si>
    <t>Max_run_venue</t>
  </si>
  <si>
    <t>Min_run_venue</t>
  </si>
  <si>
    <t>Avg_runs_opponent</t>
  </si>
  <si>
    <t>Max_runs_opponent</t>
  </si>
  <si>
    <t>Min_runs_opponent</t>
  </si>
  <si>
    <t>avg_runs_format</t>
  </si>
  <si>
    <t>max_runs_format</t>
  </si>
  <si>
    <t>min_run_format</t>
  </si>
  <si>
    <t>avg_strikerate_format</t>
  </si>
  <si>
    <t>Max_strikerate_format</t>
  </si>
  <si>
    <t>Min_strikerate_format</t>
  </si>
  <si>
    <t>avg_runs_month</t>
  </si>
  <si>
    <t>max_run_month</t>
  </si>
  <si>
    <t>min_run_month</t>
  </si>
  <si>
    <t>avg_strikerate_month</t>
  </si>
  <si>
    <t>max_strikerate_month</t>
  </si>
  <si>
    <t>min_strikerate_month</t>
  </si>
  <si>
    <t>last_5days_run</t>
  </si>
  <si>
    <t>last_5days_strikerate</t>
  </si>
  <si>
    <t>previous_fours</t>
  </si>
  <si>
    <t>previous_sixes</t>
  </si>
  <si>
    <t>previous_boundaries</t>
  </si>
  <si>
    <t>Boundaries_Venue</t>
  </si>
  <si>
    <t>Boundaries_Format</t>
  </si>
  <si>
    <t>Model</t>
  </si>
  <si>
    <t>Accuracy</t>
  </si>
  <si>
    <t>Precision</t>
  </si>
  <si>
    <t>Recall</t>
  </si>
  <si>
    <t>F1 Score</t>
  </si>
  <si>
    <t>ROC-AUC</t>
  </si>
  <si>
    <t>Gini</t>
  </si>
  <si>
    <t>Random Forest</t>
  </si>
  <si>
    <t>Decision Tree</t>
  </si>
  <si>
    <t>XGBoost</t>
  </si>
  <si>
    <t>Training_data</t>
  </si>
  <si>
    <t>Testing_data</t>
  </si>
  <si>
    <t>Row Labels</t>
  </si>
  <si>
    <t>Grand Total</t>
  </si>
  <si>
    <t>Count of Training_bins</t>
  </si>
  <si>
    <t>Count of Testing_bins</t>
  </si>
  <si>
    <t>PSI</t>
  </si>
  <si>
    <t>Bins</t>
  </si>
  <si>
    <t>Training Count</t>
  </si>
  <si>
    <t>Testing Count</t>
  </si>
  <si>
    <t>Training Percentage</t>
  </si>
  <si>
    <t>Testing Percentage</t>
  </si>
  <si>
    <t>Training_proba</t>
  </si>
  <si>
    <t>Testing_proba</t>
  </si>
  <si>
    <t>SUM OF PSI</t>
  </si>
  <si>
    <t>PERFORMANCE STATBILITY INDEX</t>
  </si>
  <si>
    <t>Actual Value</t>
  </si>
  <si>
    <t>Feature</t>
  </si>
  <si>
    <t>Importance Value</t>
  </si>
  <si>
    <t>Predicted Value</t>
  </si>
  <si>
    <t>Probablity</t>
  </si>
  <si>
    <t>Max of Probablity</t>
  </si>
  <si>
    <t>Count of 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</si>
</sst>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vertical="center"/>
    </xf>
    <xf numFmtId="0" fontId="0" fillId="0" borderId="0" xfId="0" applyBorder="1"/>
    <xf numFmtId="0" fontId="2" fillId="2" borderId="1" xfId="0" applyFont="1" applyFill="1" applyBorder="1" applyAlignment="1">
      <alignment horizontal="center" vertical="top"/>
    </xf>
    <xf numFmtId="2" fontId="0" fillId="0" borderId="1" xfId="0" applyNumberFormat="1" applyBorder="1"/>
    <xf numFmtId="164" fontId="0" fillId="0" borderId="1" xfId="0" applyNumberFormat="1" applyBorder="1"/>
    <xf numFmtId="9" fontId="0" fillId="0" borderId="1" xfId="1" applyFont="1" applyBorder="1"/>
    <xf numFmtId="1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/>
    </xf>
    <xf numFmtId="0" fontId="1" fillId="5" borderId="1" xfId="0" applyNumberFormat="1" applyFont="1" applyFill="1" applyBorder="1"/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/>
    <xf numFmtId="0" fontId="6" fillId="8" borderId="0" xfId="0" applyFont="1" applyFill="1" applyAlignment="1">
      <alignment horizontal="center" vertical="center"/>
    </xf>
    <xf numFmtId="0" fontId="0" fillId="8" borderId="0" xfId="0" applyFill="1"/>
    <xf numFmtId="164" fontId="1" fillId="8" borderId="0" xfId="0" applyNumberFormat="1" applyFont="1" applyFill="1"/>
    <xf numFmtId="0" fontId="2" fillId="6" borderId="1" xfId="0" applyFont="1" applyFill="1" applyBorder="1" applyAlignment="1">
      <alignment horizontal="center" vertical="top"/>
    </xf>
    <xf numFmtId="0" fontId="0" fillId="6" borderId="1" xfId="0" pivotButton="1" applyFill="1" applyBorder="1" applyAlignment="1">
      <alignment horizontal="center"/>
    </xf>
    <xf numFmtId="164" fontId="0" fillId="0" borderId="0" xfId="0" pivotButton="1" applyNumberFormat="1" applyBorder="1"/>
    <xf numFmtId="0" fontId="0" fillId="8" borderId="0" xfId="0" pivotButton="1" applyFill="1"/>
    <xf numFmtId="0" fontId="7" fillId="0" borderId="0" xfId="0" pivotButton="1" applyFont="1" applyAlignment="1">
      <alignment vertical="center"/>
    </xf>
    <xf numFmtId="0" fontId="1" fillId="8" borderId="0" xfId="0" applyFont="1" applyFill="1" applyBorder="1" applyAlignment="1">
      <alignment horizontal="center"/>
    </xf>
    <xf numFmtId="164" fontId="1" fillId="9" borderId="1" xfId="0" applyNumberFormat="1" applyFont="1" applyFill="1" applyBorder="1"/>
    <xf numFmtId="0" fontId="1" fillId="6" borderId="2" xfId="0" pivotButton="1" applyFont="1" applyFill="1" applyBorder="1" applyAlignment="1">
      <alignment horizontal="center"/>
    </xf>
    <xf numFmtId="9" fontId="2" fillId="6" borderId="1" xfId="1" applyFont="1" applyFill="1" applyBorder="1" applyAlignment="1">
      <alignment horizontal="center" vertical="top"/>
    </xf>
    <xf numFmtId="2" fontId="0" fillId="0" borderId="0" xfId="1" applyNumberFormat="1" applyFont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5" fontId="4" fillId="3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5" fontId="4" fillId="4" borderId="0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4" fillId="4" borderId="0" xfId="0" applyFont="1" applyFill="1" applyBorder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3">
    <dxf>
      <numFmt numFmtId="2" formatCode="0.00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88" refreshedDate="46282.727412615743" createdVersion="6" refreshedVersion="6" minRefreshableVersion="3" recordCount="531" xr:uid="{106B97A0-360E-4A66-B0D0-21775DE6AD11}">
  <cacheSource type="worksheet">
    <worksheetSource ref="C3:F534" sheet="performance_stability_index"/>
  </cacheSource>
  <cacheFields count="4">
    <cacheField name="Training_data" numFmtId="2">
      <sharedItems containsSemiMixedTypes="0" containsString="0" containsNumber="1" minValue="3.7741579115390778E-2" maxValue="0.99502855539321899"/>
    </cacheField>
    <cacheField name="Training_bins" numFmtId="1">
      <sharedItems containsSemiMixedTypes="0" containsString="0" containsNumber="1" containsInteger="1" minValue="1" maxValue="10" count="10">
        <n v="1"/>
        <n v="8"/>
        <n v="5"/>
        <n v="3"/>
        <n v="10"/>
        <n v="6"/>
        <n v="4"/>
        <n v="9"/>
        <n v="7"/>
        <n v="2"/>
      </sharedItems>
    </cacheField>
    <cacheField name="Testing_data" numFmtId="2">
      <sharedItems containsString="0" containsBlank="1" containsNumber="1" minValue="7.3518641293048859E-2" maxValue="0.98529762029647827"/>
    </cacheField>
    <cacheField name="Testing_bins" numFmtId="0">
      <sharedItems containsString="0" containsBlank="1" containsNumber="1" containsInteger="1" minValue="1" maxValue="10" count="11">
        <n v="10"/>
        <n v="8"/>
        <n v="2"/>
        <n v="3"/>
        <n v="5"/>
        <n v="6"/>
        <n v="9"/>
        <n v="7"/>
        <n v="1"/>
        <n v="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88" refreshedDate="46284.989335648148" createdVersion="6" refreshedVersion="6" minRefreshableVersion="3" recordCount="759" xr:uid="{29D43CAE-446B-4194-9314-C2A18FE5FBF8}">
  <cacheSource type="worksheet">
    <worksheetSource ref="A1:D760" sheet="prediction_unseen_data"/>
  </cacheSource>
  <cacheFields count="4">
    <cacheField name="Match_ID" numFmtId="0">
      <sharedItems/>
    </cacheField>
    <cacheField name="Actual Value" numFmtId="0">
      <sharedItems count="2">
        <s v="No"/>
        <s v="Yes"/>
      </sharedItems>
    </cacheField>
    <cacheField name="Predicted Value" numFmtId="0">
      <sharedItems containsSemiMixedTypes="0" containsString="0" containsNumber="1" containsInteger="1" minValue="0" maxValue="1"/>
    </cacheField>
    <cacheField name="Probablity" numFmtId="2">
      <sharedItems containsSemiMixedTypes="0" containsString="0" containsNumber="1" minValue="0.41286744834680211" maxValue="0.55787770122772951" count="42">
        <n v="0.5095699146955267"/>
        <n v="0.54633691611459334"/>
        <n v="0.53447676871371375"/>
        <n v="0.49827919455870778"/>
        <n v="0.52861075830877258"/>
        <n v="0.49420581579017753"/>
        <n v="0.49335327153360847"/>
        <n v="0.52453737954024215"/>
        <n v="0.49855966739454721"/>
        <n v="0.46194467458447902"/>
        <n v="0.54241347639918036"/>
        <n v="0.54156093214261136"/>
        <n v="0.54648685516771078"/>
        <n v="0.51491023212910847"/>
        <n v="0.51083685336057816"/>
        <n v="0.55361273189103821"/>
        <n v="0.48242547365343108"/>
        <n v="0.41980148999502098"/>
        <n v="0.4841101071984823"/>
        <n v="0.53573663503210001"/>
        <n v="0.4520052854110076"/>
        <n v="0.41694082711533242"/>
        <n v="0.46579443608303039"/>
        <n v="0.41722129995117158"/>
        <n v="0.51405768787253936"/>
        <n v="0.45680870724815431"/>
        <n v="0.53327565803591415"/>
        <n v="0.49146433087362451"/>
        <n v="0.50264515084814121"/>
        <n v="0.53709928920434491"/>
        <n v="0.41286744834680211"/>
        <n v="0.52354558368363269"/>
        <n v="0.50998430910400916"/>
        <n v="0.46537476472822847"/>
        <n v="0.45607866417953802"/>
        <n v="0.52775821405220358"/>
        <n v="0.54987964252543042"/>
        <n v="0.51099330657615294"/>
        <n v="0.55787770122772951"/>
        <n v="0.49742665030213878"/>
        <n v="0.5220778187094951"/>
        <n v="0.452172140562494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n v="3.7741579115390778E-2"/>
    <x v="0"/>
    <n v="0.94113337993621826"/>
    <x v="0"/>
  </r>
  <r>
    <n v="0.53560274839401245"/>
    <x v="1"/>
    <n v="0.50580108165740967"/>
    <x v="1"/>
  </r>
  <r>
    <n v="0.36234676837921143"/>
    <x v="2"/>
    <n v="0.23570990562438959"/>
    <x v="2"/>
  </r>
  <r>
    <n v="0.27217414975166321"/>
    <x v="3"/>
    <n v="0.27217414975166321"/>
    <x v="3"/>
  </r>
  <r>
    <n v="0.92980319261550903"/>
    <x v="4"/>
    <n v="0.3926425576210022"/>
    <x v="4"/>
  </r>
  <r>
    <n v="0.97087079286575317"/>
    <x v="4"/>
    <n v="0.43468809127807623"/>
    <x v="5"/>
  </r>
  <r>
    <n v="0.45311844348907471"/>
    <x v="5"/>
    <n v="0.59050017595291138"/>
    <x v="6"/>
  </r>
  <r>
    <n v="0.36234676837921143"/>
    <x v="2"/>
    <n v="0.23570990562438959"/>
    <x v="2"/>
  </r>
  <r>
    <n v="0.1174488812685013"/>
    <x v="0"/>
    <n v="0.48823058605194092"/>
    <x v="7"/>
  </r>
  <r>
    <n v="0.45810630917549128"/>
    <x v="5"/>
    <n v="0.54791289567947388"/>
    <x v="1"/>
  </r>
  <r>
    <n v="0.29112610220909119"/>
    <x v="6"/>
    <n v="8.9054934680461884E-2"/>
    <x v="8"/>
  </r>
  <r>
    <n v="0.7305072546005249"/>
    <x v="7"/>
    <n v="0.28854495286941528"/>
    <x v="3"/>
  </r>
  <r>
    <n v="0.27102884650230408"/>
    <x v="3"/>
    <n v="0.17297849059104919"/>
    <x v="8"/>
  </r>
  <r>
    <n v="0.38817143440246582"/>
    <x v="2"/>
    <n v="0.63581269979476929"/>
    <x v="6"/>
  </r>
  <r>
    <n v="0.93085134029388428"/>
    <x v="4"/>
    <n v="0.48155161738395691"/>
    <x v="7"/>
  </r>
  <r>
    <n v="0.43547666072845459"/>
    <x v="5"/>
    <n v="0.48823058605194092"/>
    <x v="7"/>
  </r>
  <r>
    <n v="0.46073421835899347"/>
    <x v="8"/>
    <n v="0.31980991363525391"/>
    <x v="9"/>
  </r>
  <r>
    <n v="0.17297849059104919"/>
    <x v="9"/>
    <n v="0.39815127849578857"/>
    <x v="4"/>
  </r>
  <r>
    <n v="0.46158066391944891"/>
    <x v="8"/>
    <n v="0.30342021584510798"/>
    <x v="9"/>
  </r>
  <r>
    <n v="0.1138251423835754"/>
    <x v="0"/>
    <n v="0.4891166090965271"/>
    <x v="7"/>
  </r>
  <r>
    <n v="0.36608940362930298"/>
    <x v="2"/>
    <n v="0.5285336971282959"/>
    <x v="1"/>
  </r>
  <r>
    <n v="0.21334175765514371"/>
    <x v="9"/>
    <n v="0.38604840636253362"/>
    <x v="4"/>
  </r>
  <r>
    <n v="0.41043245792388922"/>
    <x v="2"/>
    <n v="0.28854495286941528"/>
    <x v="3"/>
  </r>
  <r>
    <n v="8.8861860334873199E-2"/>
    <x v="0"/>
    <n v="0.25846895575523382"/>
    <x v="3"/>
  </r>
  <r>
    <n v="0.22454370558261871"/>
    <x v="9"/>
    <n v="0.39970925450325012"/>
    <x v="4"/>
  </r>
  <r>
    <n v="0.44670432806015009"/>
    <x v="5"/>
    <n v="0.27575132250785828"/>
    <x v="3"/>
  </r>
  <r>
    <n v="0.2410783916711807"/>
    <x v="3"/>
    <n v="0.44337645173072809"/>
    <x v="5"/>
  </r>
  <r>
    <n v="0.33161875605583191"/>
    <x v="6"/>
    <n v="0.29198756814002991"/>
    <x v="9"/>
  </r>
  <r>
    <n v="0.47570383548736572"/>
    <x v="8"/>
    <n v="0.97044456005096436"/>
    <x v="0"/>
  </r>
  <r>
    <n v="0.15370617806911471"/>
    <x v="0"/>
    <n v="0.57958376407623291"/>
    <x v="6"/>
  </r>
  <r>
    <n v="0.82689869403839111"/>
    <x v="4"/>
    <n v="0.33089876174926758"/>
    <x v="9"/>
  </r>
  <r>
    <n v="8.8861860334873199E-2"/>
    <x v="0"/>
    <n v="0.27102884650230408"/>
    <x v="3"/>
  </r>
  <r>
    <n v="0.15363973379135129"/>
    <x v="0"/>
    <n v="0.28701773285865778"/>
    <x v="3"/>
  </r>
  <r>
    <n v="0.30342021584510798"/>
    <x v="6"/>
    <n v="0.2410783916711807"/>
    <x v="2"/>
  </r>
  <r>
    <n v="0.26044794917106628"/>
    <x v="3"/>
    <n v="0.23570990562438959"/>
    <x v="2"/>
  </r>
  <r>
    <n v="0.15824009478092191"/>
    <x v="9"/>
    <n v="0.61475479602813721"/>
    <x v="6"/>
  </r>
  <r>
    <n v="0.65073609352111816"/>
    <x v="7"/>
    <n v="0.46158066391944891"/>
    <x v="5"/>
  </r>
  <r>
    <n v="0.54791289567947388"/>
    <x v="1"/>
    <n v="0.29112610220909119"/>
    <x v="9"/>
  </r>
  <r>
    <n v="0.2260174751281738"/>
    <x v="9"/>
    <n v="0.92540830373764038"/>
    <x v="0"/>
  </r>
  <r>
    <n v="0.76713114976882935"/>
    <x v="4"/>
    <n v="0.33438849449157709"/>
    <x v="4"/>
  </r>
  <r>
    <n v="0.74292021989822388"/>
    <x v="4"/>
    <n v="0.33984971046447748"/>
    <x v="4"/>
  </r>
  <r>
    <n v="0.261574387550354"/>
    <x v="3"/>
    <n v="0.46193018555641169"/>
    <x v="7"/>
  </r>
  <r>
    <n v="0.43733257055282593"/>
    <x v="5"/>
    <n v="0.23570990562438959"/>
    <x v="2"/>
  </r>
  <r>
    <n v="0.74081754684448242"/>
    <x v="7"/>
    <n v="0.25471314787864691"/>
    <x v="3"/>
  </r>
  <r>
    <n v="0.58101934194564819"/>
    <x v="7"/>
    <n v="0.86183416843414307"/>
    <x v="0"/>
  </r>
  <r>
    <n v="0.8657647967338562"/>
    <x v="4"/>
    <n v="0.28701773285865778"/>
    <x v="3"/>
  </r>
  <r>
    <n v="0.42628782987594599"/>
    <x v="5"/>
    <n v="0.85643422603607178"/>
    <x v="0"/>
  </r>
  <r>
    <n v="0.54907804727554321"/>
    <x v="1"/>
    <n v="0.24320964515209201"/>
    <x v="2"/>
  </r>
  <r>
    <n v="0.46801954507827759"/>
    <x v="8"/>
    <n v="0.23617799580097201"/>
    <x v="2"/>
  </r>
  <r>
    <n v="0.53560274839401245"/>
    <x v="1"/>
    <n v="0.35582751035690308"/>
    <x v="4"/>
  </r>
  <r>
    <n v="0.729530930519104"/>
    <x v="7"/>
    <n v="0.78546136617660522"/>
    <x v="0"/>
  </r>
  <r>
    <n v="0.97767555713653564"/>
    <x v="4"/>
    <n v="0.32970437407493591"/>
    <x v="9"/>
  </r>
  <r>
    <n v="0.27575132250785828"/>
    <x v="6"/>
    <n v="0.66004401445388794"/>
    <x v="6"/>
  </r>
  <r>
    <n v="0.30968558788299561"/>
    <x v="6"/>
    <n v="0.30487662553787231"/>
    <x v="9"/>
  </r>
  <r>
    <n v="0.48809468746185303"/>
    <x v="8"/>
    <n v="0.51048600673675537"/>
    <x v="1"/>
  </r>
  <r>
    <n v="3.7741579115390778E-2"/>
    <x v="0"/>
    <n v="0.13574713468551641"/>
    <x v="8"/>
  </r>
  <r>
    <n v="0.36608940362930298"/>
    <x v="2"/>
    <n v="0.93215453624725342"/>
    <x v="0"/>
  </r>
  <r>
    <n v="0.49783444404602051"/>
    <x v="1"/>
    <n v="0.80694323778152466"/>
    <x v="0"/>
  </r>
  <r>
    <n v="0.5285336971282959"/>
    <x v="1"/>
    <n v="0.78546136617660522"/>
    <x v="0"/>
  </r>
  <r>
    <n v="0.41030946373939509"/>
    <x v="2"/>
    <n v="0.23766392469406131"/>
    <x v="2"/>
  </r>
  <r>
    <n v="0.44670432806015009"/>
    <x v="5"/>
    <n v="0.23046198487281799"/>
    <x v="2"/>
  </r>
  <r>
    <n v="0.6293027400970459"/>
    <x v="7"/>
    <n v="0.26956388354301453"/>
    <x v="3"/>
  </r>
  <r>
    <n v="0.36234676837921143"/>
    <x v="2"/>
    <n v="0.1174488812685013"/>
    <x v="8"/>
  </r>
  <r>
    <n v="0.97916722297668457"/>
    <x v="4"/>
    <n v="0.44262641668319702"/>
    <x v="5"/>
  </r>
  <r>
    <n v="0.42856276035308838"/>
    <x v="5"/>
    <n v="0.98047637939453125"/>
    <x v="0"/>
  </r>
  <r>
    <n v="0.47570383548736572"/>
    <x v="8"/>
    <n v="0.47858995199203491"/>
    <x v="7"/>
  </r>
  <r>
    <n v="8.2143433392047882E-2"/>
    <x v="0"/>
    <n v="0.95932835340499878"/>
    <x v="0"/>
  </r>
  <r>
    <n v="0.44337645173072809"/>
    <x v="5"/>
    <n v="0.59708106517791748"/>
    <x v="6"/>
  </r>
  <r>
    <n v="0.97578668594360352"/>
    <x v="4"/>
    <n v="0.54907804727554321"/>
    <x v="1"/>
  </r>
  <r>
    <n v="0.1425014138221741"/>
    <x v="0"/>
    <n v="0.53975236415863037"/>
    <x v="1"/>
  </r>
  <r>
    <n v="0.46158066391944891"/>
    <x v="8"/>
    <n v="0.54203993082046509"/>
    <x v="1"/>
  </r>
  <r>
    <n v="0.23083712160587311"/>
    <x v="9"/>
    <n v="0.33161875605583191"/>
    <x v="9"/>
  </r>
  <r>
    <n v="0.44337645173072809"/>
    <x v="5"/>
    <n v="0.27102884650230408"/>
    <x v="3"/>
  </r>
  <r>
    <n v="0.32913053035736078"/>
    <x v="6"/>
    <n v="0.83462923765182495"/>
    <x v="0"/>
  </r>
  <r>
    <n v="0.26044318079948431"/>
    <x v="3"/>
    <n v="0.26044318079948431"/>
    <x v="3"/>
  </r>
  <r>
    <n v="0.66517382860183716"/>
    <x v="7"/>
    <n v="0.63003683090209961"/>
    <x v="6"/>
  </r>
  <r>
    <n v="0.28854495286941528"/>
    <x v="6"/>
    <n v="0.2407609969377518"/>
    <x v="2"/>
  </r>
  <r>
    <n v="0.25925588607788091"/>
    <x v="3"/>
    <n v="0.36141890287399292"/>
    <x v="4"/>
  </r>
  <r>
    <n v="6.9917060434818268E-2"/>
    <x v="0"/>
    <n v="0.30342021584510798"/>
    <x v="9"/>
  </r>
  <r>
    <n v="0.7578730583190918"/>
    <x v="4"/>
    <n v="0.80508160591125488"/>
    <x v="0"/>
  </r>
  <r>
    <n v="0.42295706272125239"/>
    <x v="5"/>
    <n v="0.20911167562007901"/>
    <x v="2"/>
  </r>
  <r>
    <n v="0.32970437407493591"/>
    <x v="6"/>
    <n v="0.33788028359413153"/>
    <x v="4"/>
  </r>
  <r>
    <n v="0.2260174751281738"/>
    <x v="9"/>
    <n v="0.30487662553787231"/>
    <x v="9"/>
  </r>
  <r>
    <n v="0.1641808599233627"/>
    <x v="9"/>
    <n v="0.68860787153244019"/>
    <x v="6"/>
  </r>
  <r>
    <n v="0.24592070281505579"/>
    <x v="3"/>
    <n v="0.40804162621498108"/>
    <x v="5"/>
  </r>
  <r>
    <n v="0.27102884650230408"/>
    <x v="3"/>
    <n v="0.30487662553787231"/>
    <x v="9"/>
  </r>
  <r>
    <n v="0.48823058605194092"/>
    <x v="8"/>
    <n v="0.40031254291534418"/>
    <x v="4"/>
  </r>
  <r>
    <n v="0.78439515829086304"/>
    <x v="4"/>
    <n v="8.6936868727207184E-2"/>
    <x v="8"/>
  </r>
  <r>
    <n v="0.6808961033821106"/>
    <x v="7"/>
    <n v="0.32570090889930731"/>
    <x v="9"/>
  </r>
  <r>
    <n v="0.5285336971282959"/>
    <x v="1"/>
    <n v="0.39815127849578857"/>
    <x v="4"/>
  </r>
  <r>
    <n v="0.23570990562438959"/>
    <x v="3"/>
    <n v="0.46249762177467352"/>
    <x v="7"/>
  </r>
  <r>
    <n v="0.60987007617950439"/>
    <x v="7"/>
    <n v="0.40189275145530701"/>
    <x v="4"/>
  </r>
  <r>
    <n v="0.91816097497940063"/>
    <x v="4"/>
    <n v="0.53975236415863037"/>
    <x v="1"/>
  </r>
  <r>
    <n v="0.15824009478092191"/>
    <x v="9"/>
    <n v="0.77320557832717896"/>
    <x v="0"/>
  </r>
  <r>
    <n v="0.27102884650230408"/>
    <x v="3"/>
    <n v="0.21217904984951019"/>
    <x v="2"/>
  </r>
  <r>
    <n v="0.23046198487281799"/>
    <x v="9"/>
    <n v="0.27217414975166321"/>
    <x v="3"/>
  </r>
  <r>
    <n v="0.73452484607696533"/>
    <x v="7"/>
    <n v="0.96675384044647217"/>
    <x v="0"/>
  </r>
  <r>
    <n v="0.36234676837921143"/>
    <x v="2"/>
    <n v="0.40031254291534418"/>
    <x v="4"/>
  </r>
  <r>
    <n v="0.6946098804473877"/>
    <x v="7"/>
    <n v="0.49764341115951538"/>
    <x v="1"/>
  </r>
  <r>
    <n v="0.6293027400970459"/>
    <x v="7"/>
    <n v="0.44124427437782288"/>
    <x v="5"/>
  </r>
  <r>
    <n v="0.65027260780334473"/>
    <x v="7"/>
    <n v="0.73452484607696533"/>
    <x v="6"/>
  </r>
  <r>
    <n v="0.38741132616996771"/>
    <x v="2"/>
    <n v="0.30487662553787231"/>
    <x v="9"/>
  </r>
  <r>
    <n v="0.23083712160587311"/>
    <x v="9"/>
    <n v="0.44262641668319702"/>
    <x v="5"/>
  </r>
  <r>
    <n v="0.82865428924560547"/>
    <x v="4"/>
    <n v="0.5388222336769104"/>
    <x v="1"/>
  </r>
  <r>
    <n v="0.53560274839401245"/>
    <x v="1"/>
    <n v="0.48823058605194092"/>
    <x v="7"/>
  </r>
  <r>
    <n v="0.37275511026382452"/>
    <x v="2"/>
    <n v="0.94372463226318359"/>
    <x v="0"/>
  </r>
  <r>
    <n v="0.27575132250785828"/>
    <x v="6"/>
    <n v="0.46158066391944891"/>
    <x v="5"/>
  </r>
  <r>
    <n v="0.54791289567947388"/>
    <x v="1"/>
    <n v="0.23570990562438959"/>
    <x v="2"/>
  </r>
  <r>
    <n v="0.43547666072845459"/>
    <x v="5"/>
    <n v="0.47583243250846857"/>
    <x v="7"/>
  </r>
  <r>
    <n v="0.48823058605194092"/>
    <x v="8"/>
    <n v="0.54791289567947388"/>
    <x v="1"/>
  </r>
  <r>
    <n v="0.1425014138221741"/>
    <x v="0"/>
    <n v="0.53552567958831787"/>
    <x v="1"/>
  </r>
  <r>
    <n v="0.70026540756225586"/>
    <x v="7"/>
    <n v="0.27102884650230408"/>
    <x v="3"/>
  </r>
  <r>
    <n v="0.49559861421585077"/>
    <x v="1"/>
    <n v="0.36559346318244929"/>
    <x v="4"/>
  </r>
  <r>
    <n v="0.41182434558868408"/>
    <x v="2"/>
    <n v="0.37892568111419678"/>
    <x v="4"/>
  </r>
  <r>
    <n v="0.27217414975166321"/>
    <x v="3"/>
    <n v="0.2778761088848114"/>
    <x v="3"/>
  </r>
  <r>
    <n v="0.20610807836055761"/>
    <x v="9"/>
    <n v="0.33420488238334661"/>
    <x v="9"/>
  </r>
  <r>
    <n v="0.63115978240966797"/>
    <x v="7"/>
    <n v="0.76146644353866577"/>
    <x v="6"/>
  </r>
  <r>
    <n v="0.53560274839401245"/>
    <x v="1"/>
    <n v="0.66887986660003662"/>
    <x v="6"/>
  </r>
  <r>
    <n v="0.41030946373939509"/>
    <x v="2"/>
    <n v="0.2192520946264267"/>
    <x v="2"/>
  </r>
  <r>
    <n v="0.46158066391944891"/>
    <x v="8"/>
    <n v="0.44337645173072809"/>
    <x v="5"/>
  </r>
  <r>
    <n v="0.171064168214798"/>
    <x v="9"/>
    <n v="0.15363973379135129"/>
    <x v="8"/>
  </r>
  <r>
    <n v="0.17297849059104919"/>
    <x v="9"/>
    <n v="0.44562608003616327"/>
    <x v="5"/>
  </r>
  <r>
    <n v="0.48155161738395691"/>
    <x v="8"/>
    <n v="0.76713114976882935"/>
    <x v="0"/>
  </r>
  <r>
    <n v="0.15363973379135129"/>
    <x v="0"/>
    <n v="0.48286306858062739"/>
    <x v="7"/>
  </r>
  <r>
    <n v="0.23021148145198819"/>
    <x v="9"/>
    <n v="0.43468809127807623"/>
    <x v="5"/>
  </r>
  <r>
    <n v="0.13441149890422821"/>
    <x v="0"/>
    <n v="0.52421176433563232"/>
    <x v="1"/>
  </r>
  <r>
    <n v="0.20087239146232599"/>
    <x v="9"/>
    <n v="0.20543822646141049"/>
    <x v="8"/>
  </r>
  <r>
    <n v="0.21189005672931671"/>
    <x v="9"/>
    <n v="0.53560274839401245"/>
    <x v="1"/>
  </r>
  <r>
    <n v="0.28854495286941528"/>
    <x v="6"/>
    <n v="0.40762746334075928"/>
    <x v="5"/>
  </r>
  <r>
    <n v="5.8989863842725747E-2"/>
    <x v="0"/>
    <n v="0.65073609352111816"/>
    <x v="6"/>
  </r>
  <r>
    <n v="0.46249762177467352"/>
    <x v="8"/>
    <n v="0.2345541566610336"/>
    <x v="2"/>
  </r>
  <r>
    <n v="0.1425014138221741"/>
    <x v="0"/>
    <n v="0.13441149890422821"/>
    <x v="8"/>
  </r>
  <r>
    <n v="0.58107727766036987"/>
    <x v="7"/>
    <n v="0.21257492899894709"/>
    <x v="2"/>
  </r>
  <r>
    <n v="0.19786146283149719"/>
    <x v="9"/>
    <n v="0.23617799580097201"/>
    <x v="2"/>
  </r>
  <r>
    <n v="0.54791289567947388"/>
    <x v="1"/>
    <n v="0.63158249855041504"/>
    <x v="6"/>
  </r>
  <r>
    <n v="0.13882660865783689"/>
    <x v="0"/>
    <n v="0.57750928401947021"/>
    <x v="1"/>
  </r>
  <r>
    <n v="0.44262641668319702"/>
    <x v="5"/>
    <n v="0.1288268864154816"/>
    <x v="8"/>
  </r>
  <r>
    <n v="0.48155161738395691"/>
    <x v="8"/>
    <n v="0.46801954507827759"/>
    <x v="7"/>
  </r>
  <r>
    <n v="0.82452696561813354"/>
    <x v="4"/>
    <n v="0.171064168214798"/>
    <x v="8"/>
  </r>
  <r>
    <n v="0.23617799580097201"/>
    <x v="3"/>
    <n v="0.52421176433563232"/>
    <x v="1"/>
  </r>
  <r>
    <n v="0.23083712160587311"/>
    <x v="9"/>
    <n v="0.46158066391944891"/>
    <x v="5"/>
  </r>
  <r>
    <n v="0.32127487659454351"/>
    <x v="6"/>
    <n v="0.55247849225997925"/>
    <x v="1"/>
  </r>
  <r>
    <n v="0.37602776288986212"/>
    <x v="2"/>
    <n v="0.16945149004459381"/>
    <x v="8"/>
  </r>
  <r>
    <n v="0.38499158620834351"/>
    <x v="2"/>
    <n v="0.96131104230880737"/>
    <x v="0"/>
  </r>
  <r>
    <n v="0.43547666072845459"/>
    <x v="5"/>
    <n v="0.1616637855768204"/>
    <x v="8"/>
  </r>
  <r>
    <n v="0.24320964515209201"/>
    <x v="3"/>
    <n v="7.3518641293048859E-2"/>
    <x v="8"/>
  </r>
  <r>
    <n v="0.44670432806015009"/>
    <x v="5"/>
    <n v="0.40515950322151179"/>
    <x v="5"/>
  </r>
  <r>
    <n v="0.44556301832199102"/>
    <x v="5"/>
    <n v="0.51159924268722534"/>
    <x v="1"/>
  </r>
  <r>
    <n v="0.25846895575523382"/>
    <x v="3"/>
    <n v="0.19921344518661499"/>
    <x v="8"/>
  </r>
  <r>
    <n v="0.34330570697784418"/>
    <x v="2"/>
    <n v="0.33922353386878967"/>
    <x v="4"/>
  </r>
  <r>
    <n v="0.27102884650230408"/>
    <x v="3"/>
    <n v="0.48809468746185303"/>
    <x v="7"/>
  </r>
  <r>
    <n v="0.53975236415863037"/>
    <x v="1"/>
    <n v="0.23021148145198819"/>
    <x v="2"/>
  </r>
  <r>
    <n v="0.23570990562438959"/>
    <x v="3"/>
    <n v="0.73728609085083008"/>
    <x v="6"/>
  </r>
  <r>
    <n v="0.15755860507488251"/>
    <x v="9"/>
    <n v="0.44337645173072809"/>
    <x v="5"/>
  </r>
  <r>
    <n v="0.39475643634796143"/>
    <x v="2"/>
    <n v="0.62498354911804199"/>
    <x v="6"/>
  </r>
  <r>
    <n v="0.18506702780723569"/>
    <x v="9"/>
    <n v="0.23570990562438959"/>
    <x v="2"/>
  </r>
  <r>
    <n v="0.54203993082046509"/>
    <x v="1"/>
    <n v="0.34174236655235291"/>
    <x v="4"/>
  </r>
  <r>
    <n v="0.23021148145198819"/>
    <x v="9"/>
    <n v="0.48823058605194092"/>
    <x v="7"/>
  </r>
  <r>
    <n v="0.46193018555641169"/>
    <x v="8"/>
    <n v="0.45784285664558411"/>
    <x v="5"/>
  </r>
  <r>
    <n v="0.33161875605583191"/>
    <x v="6"/>
    <n v="0.28854495286941528"/>
    <x v="3"/>
  </r>
  <r>
    <n v="0.48809468746185303"/>
    <x v="8"/>
    <n v="0.53560274839401245"/>
    <x v="1"/>
  </r>
  <r>
    <n v="0.86173993349075317"/>
    <x v="4"/>
    <n v="0.58098655939102173"/>
    <x v="6"/>
  </r>
  <r>
    <n v="0.43547666072845459"/>
    <x v="5"/>
    <n v="0.24747151136398321"/>
    <x v="3"/>
  </r>
  <r>
    <n v="0.1386648565530777"/>
    <x v="0"/>
    <n v="0.48055696487426758"/>
    <x v="7"/>
  </r>
  <r>
    <n v="0.33202049136161799"/>
    <x v="6"/>
    <n v="8.8861860334873199E-2"/>
    <x v="8"/>
  </r>
  <r>
    <n v="0.28854495286941528"/>
    <x v="6"/>
    <n v="0.74292021989822388"/>
    <x v="6"/>
  </r>
  <r>
    <n v="0.56271618604660034"/>
    <x v="7"/>
    <n v="0.20756867527961731"/>
    <x v="8"/>
  </r>
  <r>
    <n v="0.53608036041259766"/>
    <x v="1"/>
    <n v="0.67107272148132324"/>
    <x v="6"/>
  </r>
  <r>
    <n v="0.20543822646141049"/>
    <x v="9"/>
    <n v="0.70026540756225586"/>
    <x v="6"/>
  </r>
  <r>
    <n v="0.48809468746185303"/>
    <x v="8"/>
    <n v="0.15670913457870481"/>
    <x v="8"/>
  </r>
  <r>
    <n v="0.50721621513366699"/>
    <x v="1"/>
    <n v="0.23570990562438959"/>
    <x v="2"/>
  </r>
  <r>
    <n v="0.66698843240737915"/>
    <x v="7"/>
    <n v="0.1323586851358414"/>
    <x v="8"/>
  </r>
  <r>
    <n v="0.77656608819961548"/>
    <x v="4"/>
    <n v="0.326882004737854"/>
    <x v="9"/>
  </r>
  <r>
    <n v="0.35641670227050781"/>
    <x v="2"/>
    <n v="0.4187176525592804"/>
    <x v="5"/>
  </r>
  <r>
    <n v="0.30342021584510798"/>
    <x v="6"/>
    <n v="0.72825866937637329"/>
    <x v="6"/>
  </r>
  <r>
    <n v="0.88415259122848511"/>
    <x v="4"/>
    <n v="0.38448894023895258"/>
    <x v="4"/>
  </r>
  <r>
    <n v="0.28854495286941528"/>
    <x v="6"/>
    <n v="0.27669847011566162"/>
    <x v="3"/>
  </r>
  <r>
    <n v="0.53560274839401245"/>
    <x v="1"/>
    <n v="0.26445391774177551"/>
    <x v="3"/>
  </r>
  <r>
    <n v="0.37213134765625"/>
    <x v="2"/>
    <n v="0.30968558788299561"/>
    <x v="9"/>
  </r>
  <r>
    <n v="0.1425014138221741"/>
    <x v="0"/>
    <n v="0.40031254291534418"/>
    <x v="4"/>
  </r>
  <r>
    <n v="0.38995993137359619"/>
    <x v="2"/>
    <n v="0.46619352698326111"/>
    <x v="7"/>
  </r>
  <r>
    <n v="0.48286306858062739"/>
    <x v="8"/>
    <n v="0.48055696487426758"/>
    <x v="7"/>
  </r>
  <r>
    <n v="0.46158066391944891"/>
    <x v="8"/>
    <n v="0.20779052376747131"/>
    <x v="8"/>
  </r>
  <r>
    <n v="0.28053495287895203"/>
    <x v="6"/>
    <n v="0.33161875605583191"/>
    <x v="9"/>
  </r>
  <r>
    <n v="0.48823058605194092"/>
    <x v="8"/>
    <n v="0.30487662553787231"/>
    <x v="9"/>
  </r>
  <r>
    <n v="0.21257492899894709"/>
    <x v="9"/>
    <n v="0.49602052569389338"/>
    <x v="7"/>
  </r>
  <r>
    <n v="0.37261524796485901"/>
    <x v="2"/>
    <n v="0.65415686368942261"/>
    <x v="6"/>
  </r>
  <r>
    <n v="0.2410783916711807"/>
    <x v="3"/>
    <n v="0.45758438110351563"/>
    <x v="5"/>
  </r>
  <r>
    <n v="0.65073609352111816"/>
    <x v="7"/>
    <n v="0.48809468746185303"/>
    <x v="7"/>
  </r>
  <r>
    <n v="0.51694238185882568"/>
    <x v="1"/>
    <n v="7.3518641293048859E-2"/>
    <x v="8"/>
  </r>
  <r>
    <n v="0.6946098804473877"/>
    <x v="7"/>
    <n v="0.23502768576145169"/>
    <x v="2"/>
  </r>
  <r>
    <n v="0.46158066391944891"/>
    <x v="8"/>
    <n v="0.47583243250846857"/>
    <x v="7"/>
  </r>
  <r>
    <n v="0.28854495286941528"/>
    <x v="6"/>
    <n v="0.15484426915645599"/>
    <x v="8"/>
  </r>
  <r>
    <n v="0.96836680173873901"/>
    <x v="4"/>
    <n v="0.49764341115951538"/>
    <x v="1"/>
  </r>
  <r>
    <n v="0.50045859813690186"/>
    <x v="1"/>
    <n v="0.40031254291534418"/>
    <x v="4"/>
  </r>
  <r>
    <n v="0.5528799295425415"/>
    <x v="1"/>
    <n v="0.36234676837921143"/>
    <x v="4"/>
  </r>
  <r>
    <n v="0.48809468746185303"/>
    <x v="8"/>
    <n v="0.28150424361228937"/>
    <x v="3"/>
  </r>
  <r>
    <n v="0.9588807225227356"/>
    <x v="4"/>
    <n v="0.53560274839401245"/>
    <x v="1"/>
  </r>
  <r>
    <n v="0.78439515829086304"/>
    <x v="4"/>
    <n v="0.92176288366317749"/>
    <x v="0"/>
  </r>
  <r>
    <n v="7.5645551085472107E-2"/>
    <x v="0"/>
    <n v="0.14603984355926511"/>
    <x v="8"/>
  </r>
  <r>
    <n v="0.1155260652303696"/>
    <x v="0"/>
    <n v="0.45790883898735052"/>
    <x v="5"/>
  </r>
  <r>
    <n v="0.52421176433563232"/>
    <x v="1"/>
    <n v="0.37226355075836182"/>
    <x v="4"/>
  </r>
  <r>
    <n v="0.40762746334075928"/>
    <x v="2"/>
    <n v="0.95932835340499878"/>
    <x v="0"/>
  </r>
  <r>
    <n v="0.79999399185180664"/>
    <x v="4"/>
    <n v="0.15363973379135129"/>
    <x v="8"/>
  </r>
  <r>
    <n v="0.29783159494400019"/>
    <x v="6"/>
    <n v="0.66314297914505005"/>
    <x v="6"/>
  </r>
  <r>
    <n v="0.95932835340499878"/>
    <x v="4"/>
    <n v="0.48809468746185303"/>
    <x v="7"/>
  </r>
  <r>
    <n v="0.74354326725006104"/>
    <x v="4"/>
    <n v="0.65073609352111816"/>
    <x v="6"/>
  </r>
  <r>
    <n v="0.48155161738395691"/>
    <x v="8"/>
    <n v="0.33161875605583191"/>
    <x v="9"/>
  </r>
  <r>
    <n v="0.63581269979476929"/>
    <x v="7"/>
    <n v="0.23570990562438959"/>
    <x v="2"/>
  </r>
  <r>
    <n v="0.1386648565530777"/>
    <x v="0"/>
    <n v="0.48029425740241999"/>
    <x v="7"/>
  </r>
  <r>
    <n v="0.38028162717819208"/>
    <x v="2"/>
    <n v="0.25507768988609308"/>
    <x v="3"/>
  </r>
  <r>
    <n v="0.86727809906005859"/>
    <x v="4"/>
    <n v="0.23046198487281799"/>
    <x v="2"/>
  </r>
  <r>
    <n v="0.76146644353866577"/>
    <x v="4"/>
    <n v="0.83879083395004272"/>
    <x v="0"/>
  </r>
  <r>
    <n v="0.30487662553787231"/>
    <x v="6"/>
    <n v="0.44337645173072809"/>
    <x v="5"/>
  </r>
  <r>
    <n v="0.2356514185667038"/>
    <x v="3"/>
    <n v="0.44124427437782288"/>
    <x v="5"/>
  </r>
  <r>
    <n v="0.23570990562438959"/>
    <x v="3"/>
    <n v="0.27321803569793701"/>
    <x v="3"/>
  </r>
  <r>
    <n v="0.19921344518661499"/>
    <x v="9"/>
    <n v="0.40189275145530701"/>
    <x v="4"/>
  </r>
  <r>
    <n v="0.23570990562438959"/>
    <x v="3"/>
    <n v="0.97881203889846802"/>
    <x v="0"/>
  </r>
  <r>
    <n v="0.45051485300064092"/>
    <x v="5"/>
    <n v="0.27217414975166321"/>
    <x v="3"/>
  </r>
  <r>
    <n v="0.44337645173072809"/>
    <x v="5"/>
    <n v="0.33053871989250178"/>
    <x v="9"/>
  </r>
  <r>
    <n v="0.25671225786209112"/>
    <x v="3"/>
    <n v="0.98529762029647827"/>
    <x v="0"/>
  </r>
  <r>
    <n v="0.30342021584510798"/>
    <x v="6"/>
    <n v="0.39475643634796143"/>
    <x v="4"/>
  </r>
  <r>
    <n v="0.70715546607971191"/>
    <x v="7"/>
    <n v="0.48809468746185303"/>
    <x v="7"/>
  </r>
  <r>
    <n v="0.30352973937988281"/>
    <x v="6"/>
    <n v="0.33161875605583191"/>
    <x v="9"/>
  </r>
  <r>
    <n v="0.23502768576145169"/>
    <x v="3"/>
    <n v="0.46158066391944891"/>
    <x v="5"/>
  </r>
  <r>
    <n v="0.16945149004459381"/>
    <x v="9"/>
    <n v="0.33089876174926758"/>
    <x v="9"/>
  </r>
  <r>
    <n v="0.35361120104789728"/>
    <x v="2"/>
    <n v="0.55069732666015625"/>
    <x v="1"/>
  </r>
  <r>
    <n v="7.2134688496589661E-2"/>
    <x v="0"/>
    <n v="0.53906935453414917"/>
    <x v="1"/>
  </r>
  <r>
    <n v="0.48809468746185303"/>
    <x v="8"/>
    <m/>
    <x v="10"/>
  </r>
  <r>
    <n v="0.96675384044647217"/>
    <x v="4"/>
    <m/>
    <x v="10"/>
  </r>
  <r>
    <n v="0.40515950322151179"/>
    <x v="2"/>
    <m/>
    <x v="10"/>
  </r>
  <r>
    <n v="0.13441149890422821"/>
    <x v="0"/>
    <m/>
    <x v="10"/>
  </r>
  <r>
    <n v="0.15466079115867609"/>
    <x v="0"/>
    <m/>
    <x v="10"/>
  </r>
  <r>
    <n v="0.53560274839401245"/>
    <x v="1"/>
    <m/>
    <x v="10"/>
  </r>
  <r>
    <n v="0.30487662553787231"/>
    <x v="6"/>
    <m/>
    <x v="10"/>
  </r>
  <r>
    <n v="0.54432123899459839"/>
    <x v="1"/>
    <m/>
    <x v="10"/>
  </r>
  <r>
    <n v="0.23570990562438959"/>
    <x v="3"/>
    <m/>
    <x v="10"/>
  </r>
  <r>
    <n v="9.0509362518787384E-2"/>
    <x v="0"/>
    <m/>
    <x v="10"/>
  </r>
  <r>
    <n v="0.27217414975166321"/>
    <x v="3"/>
    <m/>
    <x v="10"/>
  </r>
  <r>
    <n v="8.8861860334873199E-2"/>
    <x v="0"/>
    <m/>
    <x v="10"/>
  </r>
  <r>
    <n v="0.44489145278930659"/>
    <x v="5"/>
    <m/>
    <x v="10"/>
  </r>
  <r>
    <n v="0.33438849449157709"/>
    <x v="6"/>
    <m/>
    <x v="10"/>
  </r>
  <r>
    <n v="0.72825866937637329"/>
    <x v="7"/>
    <m/>
    <x v="10"/>
  </r>
  <r>
    <n v="0.82865428924560547"/>
    <x v="4"/>
    <m/>
    <x v="10"/>
  </r>
  <r>
    <n v="0.46448168158531189"/>
    <x v="8"/>
    <m/>
    <x v="10"/>
  </r>
  <r>
    <n v="0.48823058605194092"/>
    <x v="8"/>
    <m/>
    <x v="10"/>
  </r>
  <r>
    <n v="0.44337645173072809"/>
    <x v="5"/>
    <m/>
    <x v="10"/>
  </r>
  <r>
    <n v="0.50392162799835205"/>
    <x v="1"/>
    <m/>
    <x v="10"/>
  </r>
  <r>
    <n v="0.15484426915645599"/>
    <x v="0"/>
    <m/>
    <x v="10"/>
  </r>
  <r>
    <n v="0.44124427437782288"/>
    <x v="5"/>
    <m/>
    <x v="10"/>
  </r>
  <r>
    <n v="0.47858995199203491"/>
    <x v="8"/>
    <m/>
    <x v="10"/>
  </r>
  <r>
    <n v="0.91640657186508179"/>
    <x v="4"/>
    <m/>
    <x v="10"/>
  </r>
  <r>
    <n v="0.51229554414749146"/>
    <x v="1"/>
    <m/>
    <x v="10"/>
  </r>
  <r>
    <n v="0.51159924268722534"/>
    <x v="1"/>
    <m/>
    <x v="10"/>
  </r>
  <r>
    <n v="0.48155161738395691"/>
    <x v="8"/>
    <m/>
    <x v="10"/>
  </r>
  <r>
    <n v="0.4594864547252655"/>
    <x v="5"/>
    <m/>
    <x v="10"/>
  </r>
  <r>
    <n v="0.15424168109893799"/>
    <x v="0"/>
    <m/>
    <x v="10"/>
  </r>
  <r>
    <n v="0.34838873147964478"/>
    <x v="2"/>
    <m/>
    <x v="10"/>
  </r>
  <r>
    <n v="0.54214668273925781"/>
    <x v="1"/>
    <m/>
    <x v="10"/>
  </r>
  <r>
    <n v="0.44562608003616327"/>
    <x v="5"/>
    <m/>
    <x v="10"/>
  </r>
  <r>
    <n v="0.30487662553787231"/>
    <x v="6"/>
    <m/>
    <x v="10"/>
  </r>
  <r>
    <n v="0.40515950322151179"/>
    <x v="2"/>
    <m/>
    <x v="10"/>
  </r>
  <r>
    <n v="0.78593403100967407"/>
    <x v="4"/>
    <m/>
    <x v="10"/>
  </r>
  <r>
    <n v="0.40031254291534418"/>
    <x v="2"/>
    <m/>
    <x v="10"/>
  </r>
  <r>
    <n v="0.17931687831878659"/>
    <x v="9"/>
    <m/>
    <x v="10"/>
  </r>
  <r>
    <n v="0.44670432806015009"/>
    <x v="5"/>
    <m/>
    <x v="10"/>
  </r>
  <r>
    <n v="0.26044794917106628"/>
    <x v="3"/>
    <m/>
    <x v="10"/>
  </r>
  <r>
    <n v="0.1425014138221741"/>
    <x v="0"/>
    <m/>
    <x v="10"/>
  </r>
  <r>
    <n v="0.47570383548736572"/>
    <x v="8"/>
    <m/>
    <x v="10"/>
  </r>
  <r>
    <n v="0.98047637939453125"/>
    <x v="4"/>
    <m/>
    <x v="10"/>
  </r>
  <r>
    <n v="0.51727527379989624"/>
    <x v="1"/>
    <m/>
    <x v="10"/>
  </r>
  <r>
    <n v="0.53552567958831787"/>
    <x v="1"/>
    <m/>
    <x v="10"/>
  </r>
  <r>
    <n v="8.2143433392047882E-2"/>
    <x v="0"/>
    <m/>
    <x v="10"/>
  </r>
  <r>
    <n v="0.27102884650230408"/>
    <x v="3"/>
    <m/>
    <x v="10"/>
  </r>
  <r>
    <n v="0.30487662553787231"/>
    <x v="6"/>
    <m/>
    <x v="10"/>
  </r>
  <r>
    <n v="0.48029425740241999"/>
    <x v="8"/>
    <m/>
    <x v="10"/>
  </r>
  <r>
    <n v="0.13621658086776731"/>
    <x v="0"/>
    <m/>
    <x v="10"/>
  </r>
  <r>
    <n v="0.48155161738395691"/>
    <x v="8"/>
    <m/>
    <x v="10"/>
  </r>
  <r>
    <n v="0.39111164212226868"/>
    <x v="2"/>
    <m/>
    <x v="10"/>
  </r>
  <r>
    <n v="0.21529583632946009"/>
    <x v="9"/>
    <m/>
    <x v="10"/>
  </r>
  <r>
    <n v="0.15484426915645599"/>
    <x v="0"/>
    <m/>
    <x v="10"/>
  </r>
  <r>
    <n v="0.48633500933647161"/>
    <x v="8"/>
    <m/>
    <x v="10"/>
  </r>
  <r>
    <n v="0.90313494205474854"/>
    <x v="4"/>
    <m/>
    <x v="10"/>
  </r>
  <r>
    <n v="0.25871366262435908"/>
    <x v="3"/>
    <m/>
    <x v="10"/>
  </r>
  <r>
    <n v="0.78593403100967407"/>
    <x v="4"/>
    <m/>
    <x v="10"/>
  </r>
  <r>
    <n v="0.99502855539321899"/>
    <x v="4"/>
    <m/>
    <x v="10"/>
  </r>
  <r>
    <n v="0.46619352698326111"/>
    <x v="8"/>
    <m/>
    <x v="10"/>
  </r>
  <r>
    <n v="0.26732972264289862"/>
    <x v="3"/>
    <m/>
    <x v="10"/>
  </r>
  <r>
    <n v="0.7847665548324585"/>
    <x v="4"/>
    <m/>
    <x v="10"/>
  </r>
  <r>
    <n v="0.40762746334075928"/>
    <x v="2"/>
    <m/>
    <x v="10"/>
  </r>
  <r>
    <n v="0.57958376407623291"/>
    <x v="7"/>
    <m/>
    <x v="10"/>
  </r>
  <r>
    <n v="0.27217414975166321"/>
    <x v="3"/>
    <m/>
    <x v="10"/>
  </r>
  <r>
    <n v="0.20755891501903531"/>
    <x v="9"/>
    <m/>
    <x v="10"/>
  </r>
  <r>
    <n v="0.44235649704933172"/>
    <x v="5"/>
    <m/>
    <x v="10"/>
  </r>
  <r>
    <n v="0.28854495286941528"/>
    <x v="6"/>
    <m/>
    <x v="10"/>
  </r>
  <r>
    <n v="0.75150537490844727"/>
    <x v="4"/>
    <m/>
    <x v="10"/>
  </r>
  <r>
    <n v="0.48823058605194092"/>
    <x v="8"/>
    <m/>
    <x v="10"/>
  </r>
  <r>
    <n v="0.4594864547252655"/>
    <x v="5"/>
    <m/>
    <x v="10"/>
  </r>
  <r>
    <n v="0.27461597323417658"/>
    <x v="3"/>
    <m/>
    <x v="10"/>
  </r>
  <r>
    <n v="0.28247186541557312"/>
    <x v="6"/>
    <m/>
    <x v="10"/>
  </r>
  <r>
    <n v="0.39475643634796143"/>
    <x v="2"/>
    <m/>
    <x v="10"/>
  </r>
  <r>
    <n v="0.30487662553787231"/>
    <x v="6"/>
    <m/>
    <x v="10"/>
  </r>
  <r>
    <n v="0.48809468746185303"/>
    <x v="8"/>
    <m/>
    <x v="10"/>
  </r>
  <r>
    <n v="0.16975849866867071"/>
    <x v="9"/>
    <m/>
    <x v="10"/>
  </r>
  <r>
    <n v="0.16975849866867071"/>
    <x v="9"/>
    <m/>
    <x v="10"/>
  </r>
  <r>
    <n v="0.13441149890422821"/>
    <x v="0"/>
    <m/>
    <x v="10"/>
  </r>
  <r>
    <n v="0.44337645173072809"/>
    <x v="5"/>
    <m/>
    <x v="10"/>
  </r>
  <r>
    <n v="0.47583243250846857"/>
    <x v="8"/>
    <m/>
    <x v="10"/>
  </r>
  <r>
    <n v="0.48823058605194092"/>
    <x v="8"/>
    <m/>
    <x v="10"/>
  </r>
  <r>
    <n v="0.7767939567565918"/>
    <x v="4"/>
    <m/>
    <x v="10"/>
  </r>
  <r>
    <n v="0.69863241910934448"/>
    <x v="7"/>
    <m/>
    <x v="10"/>
  </r>
  <r>
    <n v="0.44124427437782288"/>
    <x v="5"/>
    <m/>
    <x v="10"/>
  </r>
  <r>
    <n v="0.78123730421066284"/>
    <x v="4"/>
    <m/>
    <x v="10"/>
  </r>
  <r>
    <n v="0.21677383780479431"/>
    <x v="9"/>
    <m/>
    <x v="10"/>
  </r>
  <r>
    <n v="0.40031254291534418"/>
    <x v="2"/>
    <m/>
    <x v="10"/>
  </r>
  <r>
    <n v="0.23502768576145169"/>
    <x v="3"/>
    <m/>
    <x v="10"/>
  </r>
  <r>
    <n v="0.46158066391944891"/>
    <x v="8"/>
    <m/>
    <x v="10"/>
  </r>
  <r>
    <n v="0.18421949446201319"/>
    <x v="9"/>
    <m/>
    <x v="10"/>
  </r>
  <r>
    <n v="0.27461597323417658"/>
    <x v="3"/>
    <m/>
    <x v="10"/>
  </r>
  <r>
    <n v="0.14603984355926511"/>
    <x v="0"/>
    <m/>
    <x v="10"/>
  </r>
  <r>
    <n v="0.40031254291534418"/>
    <x v="2"/>
    <m/>
    <x v="10"/>
  </r>
  <r>
    <n v="0.26732972264289862"/>
    <x v="3"/>
    <m/>
    <x v="10"/>
  </r>
  <r>
    <n v="0.22611477971076971"/>
    <x v="9"/>
    <m/>
    <x v="10"/>
  </r>
  <r>
    <n v="0.59899717569351196"/>
    <x v="7"/>
    <m/>
    <x v="10"/>
  </r>
  <r>
    <n v="0.33161875605583191"/>
    <x v="6"/>
    <m/>
    <x v="10"/>
  </r>
  <r>
    <n v="0.46619352698326111"/>
    <x v="8"/>
    <m/>
    <x v="10"/>
  </r>
  <r>
    <n v="0.74605685472488403"/>
    <x v="4"/>
    <m/>
    <x v="10"/>
  </r>
  <r>
    <n v="0.45578023791313171"/>
    <x v="5"/>
    <m/>
    <x v="10"/>
  </r>
  <r>
    <n v="0.27217414975166321"/>
    <x v="3"/>
    <m/>
    <x v="10"/>
  </r>
  <r>
    <n v="0.68860787153244019"/>
    <x v="7"/>
    <m/>
    <x v="10"/>
  </r>
  <r>
    <n v="0.326882004737854"/>
    <x v="6"/>
    <m/>
    <x v="10"/>
  </r>
  <r>
    <n v="0.20993639528751371"/>
    <x v="9"/>
    <m/>
    <x v="10"/>
  </r>
  <r>
    <n v="0.37371626496315002"/>
    <x v="2"/>
    <m/>
    <x v="10"/>
  </r>
  <r>
    <n v="0.41995501518249512"/>
    <x v="2"/>
    <m/>
    <x v="10"/>
  </r>
  <r>
    <n v="0.24320964515209201"/>
    <x v="3"/>
    <m/>
    <x v="10"/>
  </r>
  <r>
    <n v="0.23570990562438959"/>
    <x v="3"/>
    <m/>
    <x v="10"/>
  </r>
  <r>
    <n v="0.86112159490585327"/>
    <x v="4"/>
    <m/>
    <x v="10"/>
  </r>
  <r>
    <n v="0.33438849449157709"/>
    <x v="6"/>
    <m/>
    <x v="10"/>
  </r>
  <r>
    <n v="0.6946098804473877"/>
    <x v="7"/>
    <m/>
    <x v="10"/>
  </r>
  <r>
    <n v="0.167372390627861"/>
    <x v="9"/>
    <m/>
    <x v="10"/>
  </r>
  <r>
    <n v="0.45051485300064092"/>
    <x v="5"/>
    <m/>
    <x v="10"/>
  </r>
  <r>
    <n v="0.49559861421585077"/>
    <x v="1"/>
    <m/>
    <x v="10"/>
  </r>
  <r>
    <n v="0.54841363430023193"/>
    <x v="1"/>
    <m/>
    <x v="10"/>
  </r>
  <r>
    <n v="0.1072687804698944"/>
    <x v="0"/>
    <m/>
    <x v="10"/>
  </r>
  <r>
    <n v="0.46158066391944891"/>
    <x v="8"/>
    <m/>
    <x v="10"/>
  </r>
  <r>
    <n v="0.44337645173072809"/>
    <x v="5"/>
    <m/>
    <x v="10"/>
  </r>
  <r>
    <n v="0.23083712160587311"/>
    <x v="9"/>
    <m/>
    <x v="10"/>
  </r>
  <r>
    <n v="0.53975236415863037"/>
    <x v="1"/>
    <m/>
    <x v="10"/>
  </r>
  <r>
    <n v="0.23516398668289179"/>
    <x v="3"/>
    <m/>
    <x v="10"/>
  </r>
  <r>
    <n v="0.47324097156524658"/>
    <x v="8"/>
    <m/>
    <x v="10"/>
  </r>
  <r>
    <n v="0.46158066391944891"/>
    <x v="8"/>
    <m/>
    <x v="10"/>
  </r>
  <r>
    <n v="0.69222992658615112"/>
    <x v="7"/>
    <m/>
    <x v="10"/>
  </r>
  <r>
    <n v="0.1425014138221741"/>
    <x v="0"/>
    <m/>
    <x v="10"/>
  </r>
  <r>
    <n v="0.65369421243667603"/>
    <x v="7"/>
    <m/>
    <x v="10"/>
  </r>
  <r>
    <n v="0.42889806628227228"/>
    <x v="5"/>
    <m/>
    <x v="10"/>
  </r>
  <r>
    <n v="0.30342021584510798"/>
    <x v="6"/>
    <m/>
    <x v="10"/>
  </r>
  <r>
    <n v="0.15484426915645599"/>
    <x v="0"/>
    <m/>
    <x v="10"/>
  </r>
  <r>
    <n v="0.6293027400970459"/>
    <x v="7"/>
    <m/>
    <x v="10"/>
  </r>
  <r>
    <n v="0.19836300611495969"/>
    <x v="9"/>
    <m/>
    <x v="10"/>
  </r>
  <r>
    <n v="0.51229554414749146"/>
    <x v="1"/>
    <m/>
    <x v="10"/>
  </r>
  <r>
    <n v="0.86001676321029663"/>
    <x v="4"/>
    <m/>
    <x v="10"/>
  </r>
  <r>
    <n v="0.27364218235015869"/>
    <x v="3"/>
    <m/>
    <x v="10"/>
  </r>
  <r>
    <n v="0.29783159494400019"/>
    <x v="6"/>
    <m/>
    <x v="10"/>
  </r>
  <r>
    <n v="0.55283689498901367"/>
    <x v="1"/>
    <m/>
    <x v="10"/>
  </r>
  <r>
    <n v="0.47976207733154302"/>
    <x v="8"/>
    <m/>
    <x v="10"/>
  </r>
  <r>
    <n v="0.53975236415863037"/>
    <x v="1"/>
    <m/>
    <x v="10"/>
  </r>
  <r>
    <n v="0.43547666072845459"/>
    <x v="5"/>
    <m/>
    <x v="10"/>
  </r>
  <r>
    <n v="3.7741579115390778E-2"/>
    <x v="0"/>
    <m/>
    <x v="10"/>
  </r>
  <r>
    <n v="0.33161875605583191"/>
    <x v="6"/>
    <m/>
    <x v="10"/>
  </r>
  <r>
    <n v="0.33975443243980408"/>
    <x v="2"/>
    <m/>
    <x v="10"/>
  </r>
  <r>
    <n v="0.37608125805854797"/>
    <x v="2"/>
    <m/>
    <x v="10"/>
  </r>
  <r>
    <n v="0.33161875605583191"/>
    <x v="6"/>
    <m/>
    <x v="10"/>
  </r>
  <r>
    <n v="0.46801954507827759"/>
    <x v="8"/>
    <m/>
    <x v="10"/>
  </r>
  <r>
    <n v="0.51229554414749146"/>
    <x v="1"/>
    <m/>
    <x v="10"/>
  </r>
  <r>
    <n v="0.54432123899459839"/>
    <x v="1"/>
    <m/>
    <x v="10"/>
  </r>
  <r>
    <n v="0.54684364795684814"/>
    <x v="1"/>
    <m/>
    <x v="10"/>
  </r>
  <r>
    <n v="0.42048352956771851"/>
    <x v="5"/>
    <m/>
    <x v="10"/>
  </r>
  <r>
    <n v="0.41030946373939509"/>
    <x v="2"/>
    <m/>
    <x v="10"/>
  </r>
  <r>
    <n v="0.46073421835899347"/>
    <x v="8"/>
    <m/>
    <x v="10"/>
  </r>
  <r>
    <n v="0.40194082260131841"/>
    <x v="2"/>
    <m/>
    <x v="10"/>
  </r>
  <r>
    <n v="0.21257492899894709"/>
    <x v="9"/>
    <m/>
    <x v="10"/>
  </r>
  <r>
    <n v="0.4909355640411377"/>
    <x v="1"/>
    <m/>
    <x v="10"/>
  </r>
  <r>
    <n v="0.17297849059104919"/>
    <x v="9"/>
    <m/>
    <x v="10"/>
  </r>
  <r>
    <n v="0.23570990562438959"/>
    <x v="3"/>
    <m/>
    <x v="10"/>
  </r>
  <r>
    <n v="0.7578730583190918"/>
    <x v="4"/>
    <m/>
    <x v="10"/>
  </r>
  <r>
    <n v="0.44124427437782288"/>
    <x v="5"/>
    <m/>
    <x v="10"/>
  </r>
  <r>
    <n v="0.28726330399513239"/>
    <x v="6"/>
    <m/>
    <x v="10"/>
  </r>
  <r>
    <n v="8.8861860334873199E-2"/>
    <x v="0"/>
    <m/>
    <x v="10"/>
  </r>
  <r>
    <n v="0.31323724985122681"/>
    <x v="6"/>
    <m/>
    <x v="10"/>
  </r>
  <r>
    <n v="0.53552567958831787"/>
    <x v="1"/>
    <m/>
    <x v="10"/>
  </r>
  <r>
    <n v="0.16945149004459381"/>
    <x v="9"/>
    <m/>
    <x v="10"/>
  </r>
  <r>
    <n v="0.70715546607971191"/>
    <x v="7"/>
    <m/>
    <x v="10"/>
  </r>
  <r>
    <n v="0.28854495286941528"/>
    <x v="6"/>
    <m/>
    <x v="10"/>
  </r>
  <r>
    <n v="0.71047043800354004"/>
    <x v="7"/>
    <m/>
    <x v="10"/>
  </r>
  <r>
    <n v="0.27102884650230408"/>
    <x v="3"/>
    <m/>
    <x v="10"/>
  </r>
  <r>
    <n v="0.44489145278930659"/>
    <x v="5"/>
    <m/>
    <x v="10"/>
  </r>
  <r>
    <n v="0.44337645173072809"/>
    <x v="5"/>
    <m/>
    <x v="10"/>
  </r>
  <r>
    <n v="0.39718592166900629"/>
    <x v="2"/>
    <m/>
    <x v="10"/>
  </r>
  <r>
    <n v="0.70715546607971191"/>
    <x v="7"/>
    <m/>
    <x v="10"/>
  </r>
  <r>
    <n v="0.88822329044342041"/>
    <x v="4"/>
    <m/>
    <x v="10"/>
  </r>
  <r>
    <n v="0.53975236415863037"/>
    <x v="1"/>
    <m/>
    <x v="10"/>
  </r>
  <r>
    <n v="0.46158066391944891"/>
    <x v="8"/>
    <m/>
    <x v="10"/>
  </r>
  <r>
    <n v="0.43547666072845459"/>
    <x v="5"/>
    <m/>
    <x v="10"/>
  </r>
  <r>
    <n v="0.45810630917549128"/>
    <x v="5"/>
    <m/>
    <x v="10"/>
  </r>
  <r>
    <n v="0.50045859813690186"/>
    <x v="1"/>
    <m/>
    <x v="10"/>
  </r>
  <r>
    <n v="0.17049784958362579"/>
    <x v="9"/>
    <m/>
    <x v="10"/>
  </r>
  <r>
    <n v="0.24320964515209201"/>
    <x v="3"/>
    <m/>
    <x v="10"/>
  </r>
  <r>
    <n v="0.15484426915645599"/>
    <x v="0"/>
    <m/>
    <x v="10"/>
  </r>
  <r>
    <n v="0.1059578135609627"/>
    <x v="0"/>
    <m/>
    <x v="10"/>
  </r>
  <r>
    <n v="0.91756159067153931"/>
    <x v="4"/>
    <m/>
    <x v="10"/>
  </r>
  <r>
    <n v="0.65415686368942261"/>
    <x v="7"/>
    <m/>
    <x v="10"/>
  </r>
  <r>
    <n v="0.27102884650230408"/>
    <x v="3"/>
    <m/>
    <x v="10"/>
  </r>
  <r>
    <n v="0.66899293661117554"/>
    <x v="7"/>
    <m/>
    <x v="10"/>
  </r>
  <r>
    <n v="0.48032131791114813"/>
    <x v="8"/>
    <m/>
    <x v="10"/>
  </r>
  <r>
    <n v="0.28456547856330872"/>
    <x v="6"/>
    <m/>
    <x v="10"/>
  </r>
  <r>
    <n v="0.44262641668319702"/>
    <x v="5"/>
    <m/>
    <x v="10"/>
  </r>
  <r>
    <n v="0.84784919023513794"/>
    <x v="4"/>
    <m/>
    <x v="10"/>
  </r>
  <r>
    <n v="0.33984971046447748"/>
    <x v="2"/>
    <m/>
    <x v="10"/>
  </r>
  <r>
    <n v="0.6946098804473877"/>
    <x v="7"/>
    <m/>
    <x v="10"/>
  </r>
  <r>
    <n v="0.30487662553787231"/>
    <x v="6"/>
    <m/>
    <x v="10"/>
  </r>
  <r>
    <n v="0.23766392469406131"/>
    <x v="3"/>
    <m/>
    <x v="10"/>
  </r>
  <r>
    <n v="0.43201544880866999"/>
    <x v="5"/>
    <m/>
    <x v="10"/>
  </r>
  <r>
    <n v="0.76146644353866577"/>
    <x v="4"/>
    <m/>
    <x v="10"/>
  </r>
  <r>
    <n v="0.46249762177467352"/>
    <x v="8"/>
    <m/>
    <x v="10"/>
  </r>
  <r>
    <n v="0.15670913457870481"/>
    <x v="9"/>
    <m/>
    <x v="10"/>
  </r>
  <r>
    <n v="0.59899717569351196"/>
    <x v="7"/>
    <m/>
    <x v="10"/>
  </r>
  <r>
    <n v="0.29001295566558838"/>
    <x v="6"/>
    <m/>
    <x v="10"/>
  </r>
  <r>
    <n v="0.17931687831878659"/>
    <x v="9"/>
    <m/>
    <x v="10"/>
  </r>
  <r>
    <n v="0.44562608003616327"/>
    <x v="5"/>
    <m/>
    <x v="10"/>
  </r>
  <r>
    <n v="0.43547666072845459"/>
    <x v="5"/>
    <m/>
    <x v="10"/>
  </r>
  <r>
    <n v="0.13441149890422821"/>
    <x v="0"/>
    <m/>
    <x v="10"/>
  </r>
  <r>
    <n v="0.46158066391944891"/>
    <x v="8"/>
    <m/>
    <x v="10"/>
  </r>
  <r>
    <n v="0.23273760080337519"/>
    <x v="9"/>
    <m/>
    <x v="10"/>
  </r>
  <r>
    <n v="0.94164448976516724"/>
    <x v="4"/>
    <m/>
    <x v="10"/>
  </r>
  <r>
    <n v="0.28701773285865778"/>
    <x v="6"/>
    <m/>
    <x v="10"/>
  </r>
  <r>
    <n v="0.27217414975166321"/>
    <x v="3"/>
    <m/>
    <x v="10"/>
  </r>
  <r>
    <n v="0.48055696487426758"/>
    <x v="8"/>
    <m/>
    <x v="10"/>
  </r>
  <r>
    <n v="0.23021148145198819"/>
    <x v="9"/>
    <m/>
    <x v="10"/>
  </r>
  <r>
    <n v="0.37253212928771973"/>
    <x v="2"/>
    <m/>
    <x v="10"/>
  </r>
  <r>
    <n v="0.65073609352111816"/>
    <x v="7"/>
    <m/>
    <x v="10"/>
  </r>
  <r>
    <n v="0.56603020429611206"/>
    <x v="7"/>
    <m/>
    <x v="10"/>
  </r>
  <r>
    <n v="0.53912508487701416"/>
    <x v="1"/>
    <m/>
    <x v="10"/>
  </r>
  <r>
    <n v="0.27217414975166321"/>
    <x v="3"/>
    <m/>
    <x v="10"/>
  </r>
  <r>
    <n v="0.47816720604896551"/>
    <x v="8"/>
    <m/>
    <x v="10"/>
  </r>
  <r>
    <n v="6.9917060434818268E-2"/>
    <x v="0"/>
    <m/>
    <x v="10"/>
  </r>
  <r>
    <n v="5.7416766881942749E-2"/>
    <x v="0"/>
    <m/>
    <x v="10"/>
  </r>
  <r>
    <n v="0.78322601318359375"/>
    <x v="4"/>
    <m/>
    <x v="10"/>
  </r>
  <r>
    <n v="0.38995993137359619"/>
    <x v="2"/>
    <m/>
    <x v="10"/>
  </r>
  <r>
    <n v="0.59708106517791748"/>
    <x v="7"/>
    <m/>
    <x v="10"/>
  </r>
  <r>
    <n v="0.70162785053253174"/>
    <x v="7"/>
    <m/>
    <x v="10"/>
  </r>
  <r>
    <n v="0.28854495286941528"/>
    <x v="6"/>
    <m/>
    <x v="10"/>
  </r>
  <r>
    <n v="0.37226355075836182"/>
    <x v="2"/>
    <m/>
    <x v="10"/>
  </r>
  <r>
    <n v="0.14296746253967291"/>
    <x v="0"/>
    <m/>
    <x v="10"/>
  </r>
  <r>
    <n v="0.36350974440574652"/>
    <x v="2"/>
    <m/>
    <x v="10"/>
  </r>
  <r>
    <n v="0.44337645173072809"/>
    <x v="5"/>
    <m/>
    <x v="10"/>
  </r>
  <r>
    <n v="0.36234676837921143"/>
    <x v="2"/>
    <m/>
    <x v="10"/>
  </r>
  <r>
    <n v="0.62498354911804199"/>
    <x v="7"/>
    <m/>
    <x v="10"/>
  </r>
  <r>
    <n v="0.867328941822052"/>
    <x v="4"/>
    <m/>
    <x v="10"/>
  </r>
  <r>
    <n v="0.171064168214798"/>
    <x v="9"/>
    <m/>
    <x v="10"/>
  </r>
  <r>
    <n v="0.40762746334075928"/>
    <x v="2"/>
    <m/>
    <x v="10"/>
  </r>
  <r>
    <n v="0.56271618604660034"/>
    <x v="7"/>
    <m/>
    <x v="10"/>
  </r>
  <r>
    <n v="0.46158066391944891"/>
    <x v="8"/>
    <m/>
    <x v="10"/>
  </r>
  <r>
    <n v="0.3902525007724762"/>
    <x v="2"/>
    <m/>
    <x v="10"/>
  </r>
  <r>
    <n v="0.13882660865783689"/>
    <x v="0"/>
    <m/>
    <x v="10"/>
  </r>
  <r>
    <n v="0.48970171809196472"/>
    <x v="1"/>
    <m/>
    <x v="10"/>
  </r>
  <r>
    <n v="0.48809468746185303"/>
    <x v="8"/>
    <m/>
    <x v="10"/>
  </r>
  <r>
    <n v="0.27102884650230408"/>
    <x v="3"/>
    <m/>
    <x v="10"/>
  </r>
  <r>
    <n v="0.33161875605583191"/>
    <x v="6"/>
    <m/>
    <x v="10"/>
  </r>
  <r>
    <n v="0.65008437633514404"/>
    <x v="7"/>
    <m/>
    <x v="10"/>
  </r>
  <r>
    <n v="0.84650510549545288"/>
    <x v="4"/>
    <m/>
    <x v="10"/>
  </r>
  <r>
    <n v="0.46158066391944891"/>
    <x v="8"/>
    <m/>
    <x v="10"/>
  </r>
  <r>
    <n v="0.45849013328552252"/>
    <x v="5"/>
    <m/>
    <x v="10"/>
  </r>
  <r>
    <n v="0.35357934236526489"/>
    <x v="2"/>
    <m/>
    <x v="10"/>
  </r>
  <r>
    <n v="0.54432123899459839"/>
    <x v="1"/>
    <m/>
    <x v="10"/>
  </r>
  <r>
    <n v="0.30487662553787231"/>
    <x v="6"/>
    <m/>
    <x v="10"/>
  </r>
  <r>
    <n v="0.98389196395874023"/>
    <x v="4"/>
    <m/>
    <x v="10"/>
  </r>
  <r>
    <n v="0.27217414975166321"/>
    <x v="3"/>
    <m/>
    <x v="10"/>
  </r>
  <r>
    <n v="0.85108053684234619"/>
    <x v="4"/>
    <m/>
    <x v="10"/>
  </r>
  <r>
    <n v="0.15670913457870481"/>
    <x v="9"/>
    <m/>
    <x v="10"/>
  </r>
  <r>
    <n v="0.28854495286941528"/>
    <x v="6"/>
    <m/>
    <x v="10"/>
  </r>
  <r>
    <n v="0.33161875605583191"/>
    <x v="6"/>
    <m/>
    <x v="10"/>
  </r>
  <r>
    <n v="0.32113343477249151"/>
    <x v="6"/>
    <m/>
    <x v="10"/>
  </r>
  <r>
    <n v="0.6293027400970459"/>
    <x v="7"/>
    <m/>
    <x v="10"/>
  </r>
  <r>
    <n v="0.30487662553787231"/>
    <x v="6"/>
    <m/>
    <x v="10"/>
  </r>
  <r>
    <n v="0.35582751035690308"/>
    <x v="2"/>
    <m/>
    <x v="10"/>
  </r>
  <r>
    <n v="0.24320964515209201"/>
    <x v="3"/>
    <m/>
    <x v="10"/>
  </r>
  <r>
    <n v="0.17931687831878659"/>
    <x v="9"/>
    <m/>
    <x v="10"/>
  </r>
  <r>
    <n v="0.41995501518249512"/>
    <x v="2"/>
    <m/>
    <x v="10"/>
  </r>
  <r>
    <n v="0.1386648565530777"/>
    <x v="0"/>
    <m/>
    <x v="10"/>
  </r>
  <r>
    <n v="0.48823058605194092"/>
    <x v="8"/>
    <m/>
    <x v="10"/>
  </r>
  <r>
    <n v="0.44262641668319702"/>
    <x v="5"/>
    <m/>
    <x v="10"/>
  </r>
  <r>
    <n v="0.45810630917549128"/>
    <x v="5"/>
    <m/>
    <x v="10"/>
  </r>
  <r>
    <n v="0.25292760133743292"/>
    <x v="3"/>
    <m/>
    <x v="10"/>
  </r>
  <r>
    <n v="0.17083130776882169"/>
    <x v="9"/>
    <m/>
    <x v="10"/>
  </r>
  <r>
    <n v="0.59899717569351196"/>
    <x v="7"/>
    <m/>
    <x v="10"/>
  </r>
  <r>
    <n v="0.35582751035690308"/>
    <x v="2"/>
    <m/>
    <x v="10"/>
  </r>
  <r>
    <n v="0.3960229754447937"/>
    <x v="2"/>
    <m/>
    <x v="10"/>
  </r>
  <r>
    <n v="0.5650908350944519"/>
    <x v="7"/>
    <m/>
    <x v="10"/>
  </r>
  <r>
    <n v="0.65367013216018677"/>
    <x v="7"/>
    <m/>
    <x v="10"/>
  </r>
  <r>
    <n v="0.33089876174926758"/>
    <x v="6"/>
    <m/>
    <x v="10"/>
  </r>
  <r>
    <n v="0.1425014138221741"/>
    <x v="0"/>
    <m/>
    <x v="10"/>
  </r>
  <r>
    <n v="0.54841363430023193"/>
    <x v="1"/>
    <m/>
    <x v="10"/>
  </r>
  <r>
    <n v="0.29861423373222351"/>
    <x v="6"/>
    <m/>
    <x v="10"/>
  </r>
  <r>
    <n v="0.14101020991802221"/>
    <x v="0"/>
    <m/>
    <x v="10"/>
  </r>
  <r>
    <n v="0.44124427437782288"/>
    <x v="5"/>
    <m/>
    <x v="10"/>
  </r>
  <r>
    <n v="0.15363973379135129"/>
    <x v="0"/>
    <m/>
    <x v="10"/>
  </r>
  <r>
    <n v="0.43547666072845459"/>
    <x v="5"/>
    <m/>
    <x v="10"/>
  </r>
  <r>
    <n v="0.28854495286941528"/>
    <x v="6"/>
    <m/>
    <x v="10"/>
  </r>
  <r>
    <n v="0.44685763120651251"/>
    <x v="5"/>
    <m/>
    <x v="10"/>
  </r>
  <r>
    <n v="0.48823058605194092"/>
    <x v="8"/>
    <m/>
    <x v="10"/>
  </r>
  <r>
    <n v="0.61080664396286011"/>
    <x v="7"/>
    <m/>
    <x v="10"/>
  </r>
  <r>
    <n v="0.46158066391944891"/>
    <x v="8"/>
    <m/>
    <x v="10"/>
  </r>
  <r>
    <n v="0.43468809127807623"/>
    <x v="5"/>
    <m/>
    <x v="10"/>
  </r>
  <r>
    <n v="0.38945338129997248"/>
    <x v="2"/>
    <m/>
    <x v="10"/>
  </r>
  <r>
    <n v="0.25846895575523382"/>
    <x v="3"/>
    <m/>
    <x v="10"/>
  </r>
  <r>
    <n v="0.20500336587429049"/>
    <x v="9"/>
    <m/>
    <x v="10"/>
  </r>
  <r>
    <n v="0.66834068298339844"/>
    <x v="7"/>
    <m/>
    <x v="10"/>
  </r>
  <r>
    <n v="0.48809468746185303"/>
    <x v="8"/>
    <m/>
    <x v="10"/>
  </r>
  <r>
    <n v="0.69097834825515747"/>
    <x v="7"/>
    <m/>
    <x v="10"/>
  </r>
  <r>
    <n v="8.8861860334873199E-2"/>
    <x v="0"/>
    <m/>
    <x v="10"/>
  </r>
  <r>
    <n v="0.27102884650230408"/>
    <x v="3"/>
    <m/>
    <x v="10"/>
  </r>
  <r>
    <n v="0.44337645173072809"/>
    <x v="5"/>
    <m/>
    <x v="10"/>
  </r>
  <r>
    <n v="0.13098303973674769"/>
    <x v="0"/>
    <m/>
    <x v="10"/>
  </r>
  <r>
    <n v="0.78546136617660522"/>
    <x v="4"/>
    <m/>
    <x v="10"/>
  </r>
  <r>
    <n v="0.21499595046043399"/>
    <x v="9"/>
    <m/>
    <x v="10"/>
  </r>
  <r>
    <n v="8.9054934680461884E-2"/>
    <x v="0"/>
    <m/>
    <x v="10"/>
  </r>
  <r>
    <n v="0.27102884650230408"/>
    <x v="3"/>
    <m/>
    <x v="10"/>
  </r>
  <r>
    <n v="0.13524651527404791"/>
    <x v="0"/>
    <m/>
    <x v="10"/>
  </r>
  <r>
    <n v="0.51229554414749146"/>
    <x v="1"/>
    <m/>
    <x v="10"/>
  </r>
  <r>
    <n v="0.68266576528549194"/>
    <x v="7"/>
    <m/>
    <x v="10"/>
  </r>
  <r>
    <n v="0.4790073037147522"/>
    <x v="8"/>
    <m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9">
  <r>
    <s v="Match001"/>
    <x v="0"/>
    <n v="1"/>
    <x v="0"/>
  </r>
  <r>
    <s v="Match002"/>
    <x v="1"/>
    <n v="1"/>
    <x v="1"/>
  </r>
  <r>
    <s v="Match003"/>
    <x v="1"/>
    <n v="1"/>
    <x v="2"/>
  </r>
  <r>
    <s v="Match004"/>
    <x v="0"/>
    <n v="0"/>
    <x v="3"/>
  </r>
  <r>
    <s v="Match005"/>
    <x v="0"/>
    <n v="0"/>
    <x v="3"/>
  </r>
  <r>
    <s v="Match006"/>
    <x v="0"/>
    <n v="1"/>
    <x v="4"/>
  </r>
  <r>
    <s v="Match007"/>
    <x v="1"/>
    <n v="0"/>
    <x v="3"/>
  </r>
  <r>
    <s v="Match008"/>
    <x v="0"/>
    <n v="0"/>
    <x v="3"/>
  </r>
  <r>
    <s v="Match009"/>
    <x v="1"/>
    <n v="1"/>
    <x v="4"/>
  </r>
  <r>
    <s v="Match010"/>
    <x v="1"/>
    <n v="0"/>
    <x v="5"/>
  </r>
  <r>
    <s v="Match011"/>
    <x v="1"/>
    <n v="0"/>
    <x v="6"/>
  </r>
  <r>
    <s v="Match012"/>
    <x v="0"/>
    <n v="1"/>
    <x v="7"/>
  </r>
  <r>
    <s v="Match013"/>
    <x v="0"/>
    <n v="0"/>
    <x v="8"/>
  </r>
  <r>
    <s v="Match014"/>
    <x v="1"/>
    <n v="0"/>
    <x v="8"/>
  </r>
  <r>
    <s v="Match015"/>
    <x v="0"/>
    <n v="0"/>
    <x v="8"/>
  </r>
  <r>
    <s v="Match016"/>
    <x v="0"/>
    <n v="1"/>
    <x v="2"/>
  </r>
  <r>
    <s v="Match017"/>
    <x v="0"/>
    <n v="0"/>
    <x v="8"/>
  </r>
  <r>
    <s v="Match018"/>
    <x v="1"/>
    <n v="0"/>
    <x v="8"/>
  </r>
  <r>
    <s v="Match019"/>
    <x v="0"/>
    <n v="1"/>
    <x v="0"/>
  </r>
  <r>
    <s v="Match020"/>
    <x v="1"/>
    <n v="1"/>
    <x v="0"/>
  </r>
  <r>
    <s v="Match021"/>
    <x v="1"/>
    <n v="1"/>
    <x v="0"/>
  </r>
  <r>
    <s v="Match022"/>
    <x v="0"/>
    <n v="1"/>
    <x v="0"/>
  </r>
  <r>
    <s v="Match023"/>
    <x v="0"/>
    <n v="1"/>
    <x v="1"/>
  </r>
  <r>
    <s v="Match024"/>
    <x v="0"/>
    <n v="1"/>
    <x v="1"/>
  </r>
  <r>
    <s v="Match025"/>
    <x v="0"/>
    <n v="0"/>
    <x v="8"/>
  </r>
  <r>
    <s v="Match026"/>
    <x v="0"/>
    <n v="1"/>
    <x v="2"/>
  </r>
  <r>
    <s v="Match027"/>
    <x v="0"/>
    <n v="0"/>
    <x v="9"/>
  </r>
  <r>
    <s v="Match028"/>
    <x v="1"/>
    <n v="0"/>
    <x v="3"/>
  </r>
  <r>
    <s v="Match029"/>
    <x v="0"/>
    <n v="0"/>
    <x v="5"/>
  </r>
  <r>
    <s v="Match030"/>
    <x v="0"/>
    <n v="1"/>
    <x v="4"/>
  </r>
  <r>
    <s v="Match031"/>
    <x v="0"/>
    <n v="0"/>
    <x v="3"/>
  </r>
  <r>
    <s v="Match032"/>
    <x v="1"/>
    <n v="1"/>
    <x v="4"/>
  </r>
  <r>
    <s v="Match033"/>
    <x v="0"/>
    <n v="0"/>
    <x v="3"/>
  </r>
  <r>
    <s v="Match034"/>
    <x v="1"/>
    <n v="0"/>
    <x v="3"/>
  </r>
  <r>
    <s v="Match035"/>
    <x v="0"/>
    <n v="1"/>
    <x v="4"/>
  </r>
  <r>
    <s v="Match036"/>
    <x v="0"/>
    <n v="1"/>
    <x v="10"/>
  </r>
  <r>
    <s v="Match037"/>
    <x v="0"/>
    <n v="1"/>
    <x v="10"/>
  </r>
  <r>
    <s v="Match038"/>
    <x v="0"/>
    <n v="1"/>
    <x v="11"/>
  </r>
  <r>
    <s v="Match039"/>
    <x v="0"/>
    <n v="1"/>
    <x v="12"/>
  </r>
  <r>
    <s v="Match040"/>
    <x v="0"/>
    <n v="1"/>
    <x v="12"/>
  </r>
  <r>
    <s v="Match041"/>
    <x v="1"/>
    <n v="1"/>
    <x v="12"/>
  </r>
  <r>
    <s v="Match042"/>
    <x v="1"/>
    <n v="1"/>
    <x v="12"/>
  </r>
  <r>
    <s v="Match043"/>
    <x v="0"/>
    <n v="1"/>
    <x v="12"/>
  </r>
  <r>
    <s v="Match044"/>
    <x v="1"/>
    <n v="0"/>
    <x v="3"/>
  </r>
  <r>
    <s v="Match045"/>
    <x v="1"/>
    <n v="0"/>
    <x v="3"/>
  </r>
  <r>
    <s v="Match046"/>
    <x v="1"/>
    <n v="1"/>
    <x v="4"/>
  </r>
  <r>
    <s v="Match047"/>
    <x v="0"/>
    <n v="1"/>
    <x v="13"/>
  </r>
  <r>
    <s v="Match048"/>
    <x v="1"/>
    <n v="1"/>
    <x v="13"/>
  </r>
  <r>
    <s v="Match049"/>
    <x v="1"/>
    <n v="1"/>
    <x v="14"/>
  </r>
  <r>
    <s v="Match050"/>
    <x v="0"/>
    <n v="1"/>
    <x v="13"/>
  </r>
  <r>
    <s v="Match051"/>
    <x v="0"/>
    <n v="1"/>
    <x v="15"/>
  </r>
  <r>
    <s v="Match052"/>
    <x v="0"/>
    <n v="0"/>
    <x v="16"/>
  </r>
  <r>
    <s v="Match053"/>
    <x v="0"/>
    <n v="1"/>
    <x v="13"/>
  </r>
  <r>
    <s v="Match054"/>
    <x v="1"/>
    <n v="1"/>
    <x v="12"/>
  </r>
  <r>
    <s v="Match055"/>
    <x v="1"/>
    <n v="1"/>
    <x v="2"/>
  </r>
  <r>
    <s v="Match056"/>
    <x v="0"/>
    <n v="0"/>
    <x v="8"/>
  </r>
  <r>
    <s v="Match057"/>
    <x v="0"/>
    <n v="0"/>
    <x v="8"/>
  </r>
  <r>
    <s v="Match058"/>
    <x v="0"/>
    <n v="0"/>
    <x v="8"/>
  </r>
  <r>
    <s v="Match059"/>
    <x v="0"/>
    <n v="1"/>
    <x v="0"/>
  </r>
  <r>
    <s v="Match060"/>
    <x v="0"/>
    <n v="1"/>
    <x v="0"/>
  </r>
  <r>
    <s v="Match061"/>
    <x v="0"/>
    <n v="1"/>
    <x v="0"/>
  </r>
  <r>
    <s v="Match062"/>
    <x v="1"/>
    <n v="1"/>
    <x v="0"/>
  </r>
  <r>
    <s v="Match063"/>
    <x v="1"/>
    <n v="1"/>
    <x v="0"/>
  </r>
  <r>
    <s v="Match064"/>
    <x v="1"/>
    <n v="1"/>
    <x v="0"/>
  </r>
  <r>
    <s v="Match065"/>
    <x v="1"/>
    <n v="1"/>
    <x v="1"/>
  </r>
  <r>
    <s v="Match066"/>
    <x v="0"/>
    <n v="0"/>
    <x v="17"/>
  </r>
  <r>
    <s v="Match067"/>
    <x v="0"/>
    <n v="0"/>
    <x v="8"/>
  </r>
  <r>
    <s v="Match068"/>
    <x v="1"/>
    <n v="1"/>
    <x v="2"/>
  </r>
  <r>
    <s v="Match069"/>
    <x v="1"/>
    <n v="1"/>
    <x v="12"/>
  </r>
  <r>
    <s v="Match070"/>
    <x v="1"/>
    <n v="1"/>
    <x v="12"/>
  </r>
  <r>
    <s v="Match071"/>
    <x v="1"/>
    <n v="1"/>
    <x v="12"/>
  </r>
  <r>
    <s v="Match072"/>
    <x v="0"/>
    <n v="1"/>
    <x v="12"/>
  </r>
  <r>
    <s v="Match073"/>
    <x v="1"/>
    <n v="1"/>
    <x v="12"/>
  </r>
  <r>
    <s v="Match074"/>
    <x v="1"/>
    <n v="1"/>
    <x v="15"/>
  </r>
  <r>
    <s v="Match075"/>
    <x v="0"/>
    <n v="0"/>
    <x v="18"/>
  </r>
  <r>
    <s v="Match076"/>
    <x v="0"/>
    <n v="0"/>
    <x v="18"/>
  </r>
  <r>
    <s v="Match077"/>
    <x v="1"/>
    <n v="1"/>
    <x v="12"/>
  </r>
  <r>
    <s v="Match078"/>
    <x v="0"/>
    <n v="1"/>
    <x v="12"/>
  </r>
  <r>
    <s v="Match079"/>
    <x v="1"/>
    <n v="0"/>
    <x v="5"/>
  </r>
  <r>
    <s v="Match080"/>
    <x v="1"/>
    <n v="0"/>
    <x v="3"/>
  </r>
  <r>
    <s v="Match081"/>
    <x v="1"/>
    <n v="1"/>
    <x v="4"/>
  </r>
  <r>
    <s v="Match082"/>
    <x v="1"/>
    <n v="0"/>
    <x v="3"/>
  </r>
  <r>
    <s v="Match083"/>
    <x v="0"/>
    <n v="0"/>
    <x v="3"/>
  </r>
  <r>
    <s v="Match084"/>
    <x v="1"/>
    <n v="1"/>
    <x v="4"/>
  </r>
  <r>
    <s v="Match085"/>
    <x v="1"/>
    <n v="0"/>
    <x v="3"/>
  </r>
  <r>
    <s v="Match086"/>
    <x v="1"/>
    <n v="0"/>
    <x v="3"/>
  </r>
  <r>
    <s v="Match087"/>
    <x v="1"/>
    <n v="0"/>
    <x v="3"/>
  </r>
  <r>
    <s v="Match088"/>
    <x v="1"/>
    <n v="1"/>
    <x v="19"/>
  </r>
  <r>
    <s v="Match089"/>
    <x v="0"/>
    <n v="0"/>
    <x v="20"/>
  </r>
  <r>
    <s v="Match090"/>
    <x v="1"/>
    <n v="1"/>
    <x v="7"/>
  </r>
  <r>
    <s v="Match091"/>
    <x v="0"/>
    <n v="0"/>
    <x v="21"/>
  </r>
  <r>
    <s v="Match092"/>
    <x v="1"/>
    <n v="0"/>
    <x v="3"/>
  </r>
  <r>
    <s v="Match093"/>
    <x v="1"/>
    <n v="1"/>
    <x v="4"/>
  </r>
  <r>
    <s v="Match094"/>
    <x v="1"/>
    <n v="0"/>
    <x v="22"/>
  </r>
  <r>
    <s v="Match095"/>
    <x v="0"/>
    <n v="1"/>
    <x v="4"/>
  </r>
  <r>
    <s v="Match096"/>
    <x v="0"/>
    <n v="1"/>
    <x v="4"/>
  </r>
  <r>
    <s v="Match097"/>
    <x v="1"/>
    <n v="1"/>
    <x v="12"/>
  </r>
  <r>
    <s v="Match098"/>
    <x v="1"/>
    <n v="1"/>
    <x v="12"/>
  </r>
  <r>
    <s v="Match099"/>
    <x v="1"/>
    <n v="1"/>
    <x v="10"/>
  </r>
  <r>
    <s v="Match100"/>
    <x v="0"/>
    <n v="0"/>
    <x v="8"/>
  </r>
  <r>
    <s v="Match101"/>
    <x v="0"/>
    <n v="0"/>
    <x v="8"/>
  </r>
  <r>
    <s v="Match102"/>
    <x v="1"/>
    <n v="0"/>
    <x v="8"/>
  </r>
  <r>
    <s v="Match103"/>
    <x v="1"/>
    <n v="0"/>
    <x v="8"/>
  </r>
  <r>
    <s v="Match104"/>
    <x v="0"/>
    <n v="0"/>
    <x v="8"/>
  </r>
  <r>
    <s v="Match105"/>
    <x v="0"/>
    <n v="1"/>
    <x v="2"/>
  </r>
  <r>
    <s v="Match106"/>
    <x v="0"/>
    <n v="0"/>
    <x v="9"/>
  </r>
  <r>
    <s v="Match107"/>
    <x v="0"/>
    <n v="0"/>
    <x v="23"/>
  </r>
  <r>
    <s v="Match108"/>
    <x v="0"/>
    <n v="1"/>
    <x v="0"/>
  </r>
  <r>
    <s v="Match109"/>
    <x v="0"/>
    <n v="1"/>
    <x v="0"/>
  </r>
  <r>
    <s v="Match110"/>
    <x v="1"/>
    <n v="1"/>
    <x v="0"/>
  </r>
  <r>
    <s v="Match111"/>
    <x v="0"/>
    <n v="1"/>
    <x v="0"/>
  </r>
  <r>
    <s v="Match112"/>
    <x v="0"/>
    <n v="1"/>
    <x v="0"/>
  </r>
  <r>
    <s v="Match113"/>
    <x v="1"/>
    <n v="1"/>
    <x v="0"/>
  </r>
  <r>
    <s v="Match114"/>
    <x v="0"/>
    <n v="1"/>
    <x v="1"/>
  </r>
  <r>
    <s v="Match115"/>
    <x v="0"/>
    <n v="1"/>
    <x v="1"/>
  </r>
  <r>
    <s v="Match116"/>
    <x v="0"/>
    <n v="0"/>
    <x v="5"/>
  </r>
  <r>
    <s v="Match117"/>
    <x v="0"/>
    <n v="1"/>
    <x v="7"/>
  </r>
  <r>
    <s v="Match118"/>
    <x v="1"/>
    <n v="1"/>
    <x v="10"/>
  </r>
  <r>
    <s v="Match119"/>
    <x v="0"/>
    <n v="1"/>
    <x v="10"/>
  </r>
  <r>
    <s v="Match120"/>
    <x v="1"/>
    <n v="1"/>
    <x v="10"/>
  </r>
  <r>
    <s v="Match121"/>
    <x v="1"/>
    <n v="1"/>
    <x v="10"/>
  </r>
  <r>
    <s v="Match122"/>
    <x v="1"/>
    <n v="0"/>
    <x v="3"/>
  </r>
  <r>
    <s v="Match123"/>
    <x v="1"/>
    <n v="0"/>
    <x v="3"/>
  </r>
  <r>
    <s v="Match124"/>
    <x v="1"/>
    <n v="0"/>
    <x v="3"/>
  </r>
  <r>
    <s v="Match125"/>
    <x v="1"/>
    <n v="0"/>
    <x v="3"/>
  </r>
  <r>
    <s v="Match126"/>
    <x v="0"/>
    <n v="0"/>
    <x v="3"/>
  </r>
  <r>
    <s v="Match127"/>
    <x v="1"/>
    <n v="1"/>
    <x v="4"/>
  </r>
  <r>
    <s v="Match128"/>
    <x v="1"/>
    <n v="0"/>
    <x v="3"/>
  </r>
  <r>
    <s v="Match129"/>
    <x v="0"/>
    <n v="1"/>
    <x v="4"/>
  </r>
  <r>
    <s v="Match130"/>
    <x v="0"/>
    <n v="1"/>
    <x v="24"/>
  </r>
  <r>
    <s v="Match131"/>
    <x v="0"/>
    <n v="1"/>
    <x v="13"/>
  </r>
  <r>
    <s v="Match132"/>
    <x v="0"/>
    <n v="1"/>
    <x v="24"/>
  </r>
  <r>
    <s v="Match133"/>
    <x v="0"/>
    <n v="1"/>
    <x v="13"/>
  </r>
  <r>
    <s v="Match134"/>
    <x v="1"/>
    <n v="1"/>
    <x v="13"/>
  </r>
  <r>
    <s v="Match135"/>
    <x v="0"/>
    <n v="1"/>
    <x v="12"/>
  </r>
  <r>
    <s v="Match136"/>
    <x v="0"/>
    <n v="0"/>
    <x v="25"/>
  </r>
  <r>
    <s v="Match137"/>
    <x v="1"/>
    <n v="1"/>
    <x v="12"/>
  </r>
  <r>
    <s v="Match138"/>
    <x v="0"/>
    <n v="0"/>
    <x v="25"/>
  </r>
  <r>
    <s v="Match139"/>
    <x v="0"/>
    <n v="1"/>
    <x v="14"/>
  </r>
  <r>
    <s v="Match140"/>
    <x v="1"/>
    <n v="1"/>
    <x v="14"/>
  </r>
  <r>
    <s v="Match141"/>
    <x v="0"/>
    <n v="1"/>
    <x v="10"/>
  </r>
  <r>
    <s v="Match142"/>
    <x v="1"/>
    <n v="1"/>
    <x v="13"/>
  </r>
  <r>
    <s v="Match143"/>
    <x v="0"/>
    <n v="1"/>
    <x v="13"/>
  </r>
  <r>
    <s v="Match144"/>
    <x v="0"/>
    <n v="1"/>
    <x v="13"/>
  </r>
  <r>
    <s v="Match145"/>
    <x v="0"/>
    <n v="1"/>
    <x v="12"/>
  </r>
  <r>
    <s v="Match146"/>
    <x v="1"/>
    <n v="1"/>
    <x v="13"/>
  </r>
  <r>
    <s v="Match147"/>
    <x v="0"/>
    <n v="1"/>
    <x v="13"/>
  </r>
  <r>
    <s v="Match148"/>
    <x v="0"/>
    <n v="0"/>
    <x v="25"/>
  </r>
  <r>
    <s v="Match149"/>
    <x v="1"/>
    <n v="1"/>
    <x v="12"/>
  </r>
  <r>
    <s v="Match150"/>
    <x v="0"/>
    <n v="0"/>
    <x v="3"/>
  </r>
  <r>
    <s v="Match151"/>
    <x v="0"/>
    <n v="0"/>
    <x v="21"/>
  </r>
  <r>
    <s v="Match152"/>
    <x v="1"/>
    <n v="0"/>
    <x v="3"/>
  </r>
  <r>
    <s v="Match153"/>
    <x v="0"/>
    <n v="1"/>
    <x v="13"/>
  </r>
  <r>
    <s v="Match154"/>
    <x v="1"/>
    <n v="1"/>
    <x v="13"/>
  </r>
  <r>
    <s v="Match155"/>
    <x v="0"/>
    <n v="1"/>
    <x v="12"/>
  </r>
  <r>
    <s v="Match156"/>
    <x v="0"/>
    <n v="0"/>
    <x v="8"/>
  </r>
  <r>
    <s v="Match157"/>
    <x v="1"/>
    <n v="0"/>
    <x v="8"/>
  </r>
  <r>
    <s v="Match158"/>
    <x v="0"/>
    <n v="0"/>
    <x v="8"/>
  </r>
  <r>
    <s v="Match159"/>
    <x v="0"/>
    <n v="0"/>
    <x v="8"/>
  </r>
  <r>
    <s v="Match160"/>
    <x v="1"/>
    <n v="1"/>
    <x v="2"/>
  </r>
  <r>
    <s v="Match161"/>
    <x v="0"/>
    <n v="1"/>
    <x v="1"/>
  </r>
  <r>
    <s v="Match162"/>
    <x v="1"/>
    <n v="1"/>
    <x v="1"/>
  </r>
  <r>
    <s v="Match163"/>
    <x v="0"/>
    <n v="0"/>
    <x v="17"/>
  </r>
  <r>
    <s v="Match164"/>
    <x v="0"/>
    <n v="1"/>
    <x v="0"/>
  </r>
  <r>
    <s v="Match165"/>
    <x v="0"/>
    <n v="1"/>
    <x v="0"/>
  </r>
  <r>
    <s v="Match166"/>
    <x v="0"/>
    <n v="1"/>
    <x v="0"/>
  </r>
  <r>
    <s v="Match167"/>
    <x v="0"/>
    <n v="1"/>
    <x v="0"/>
  </r>
  <r>
    <s v="Match168"/>
    <x v="0"/>
    <n v="1"/>
    <x v="1"/>
  </r>
  <r>
    <s v="Match169"/>
    <x v="1"/>
    <n v="1"/>
    <x v="2"/>
  </r>
  <r>
    <s v="Match170"/>
    <x v="1"/>
    <n v="1"/>
    <x v="12"/>
  </r>
  <r>
    <s v="Match171"/>
    <x v="0"/>
    <n v="1"/>
    <x v="13"/>
  </r>
  <r>
    <s v="Match172"/>
    <x v="0"/>
    <n v="1"/>
    <x v="13"/>
  </r>
  <r>
    <s v="Match173"/>
    <x v="0"/>
    <n v="1"/>
    <x v="13"/>
  </r>
  <r>
    <s v="Match174"/>
    <x v="1"/>
    <n v="1"/>
    <x v="13"/>
  </r>
  <r>
    <s v="Match175"/>
    <x v="0"/>
    <n v="1"/>
    <x v="13"/>
  </r>
  <r>
    <s v="Match176"/>
    <x v="0"/>
    <n v="1"/>
    <x v="13"/>
  </r>
  <r>
    <s v="Match177"/>
    <x v="1"/>
    <n v="1"/>
    <x v="13"/>
  </r>
  <r>
    <s v="Match178"/>
    <x v="0"/>
    <n v="0"/>
    <x v="3"/>
  </r>
  <r>
    <s v="Match179"/>
    <x v="0"/>
    <n v="0"/>
    <x v="3"/>
  </r>
  <r>
    <s v="Match180"/>
    <x v="1"/>
    <n v="1"/>
    <x v="4"/>
  </r>
  <r>
    <s v="Match181"/>
    <x v="1"/>
    <n v="1"/>
    <x v="13"/>
  </r>
  <r>
    <s v="Match182"/>
    <x v="1"/>
    <n v="1"/>
    <x v="13"/>
  </r>
  <r>
    <s v="Match183"/>
    <x v="1"/>
    <n v="1"/>
    <x v="12"/>
  </r>
  <r>
    <s v="Match184"/>
    <x v="1"/>
    <n v="0"/>
    <x v="16"/>
  </r>
  <r>
    <s v="Match185"/>
    <x v="0"/>
    <n v="0"/>
    <x v="16"/>
  </r>
  <r>
    <s v="Match186"/>
    <x v="1"/>
    <n v="1"/>
    <x v="26"/>
  </r>
  <r>
    <s v="Match187"/>
    <x v="0"/>
    <n v="1"/>
    <x v="12"/>
  </r>
  <r>
    <s v="Match188"/>
    <x v="0"/>
    <n v="0"/>
    <x v="27"/>
  </r>
  <r>
    <s v="Match189"/>
    <x v="0"/>
    <n v="1"/>
    <x v="28"/>
  </r>
  <r>
    <s v="Match190"/>
    <x v="0"/>
    <n v="0"/>
    <x v="8"/>
  </r>
  <r>
    <s v="Match191"/>
    <x v="0"/>
    <n v="0"/>
    <x v="8"/>
  </r>
  <r>
    <s v="Match192"/>
    <x v="0"/>
    <n v="1"/>
    <x v="28"/>
  </r>
  <r>
    <s v="Match193"/>
    <x v="1"/>
    <n v="0"/>
    <x v="8"/>
  </r>
  <r>
    <s v="Match194"/>
    <x v="1"/>
    <n v="1"/>
    <x v="29"/>
  </r>
  <r>
    <s v="Match195"/>
    <x v="1"/>
    <n v="1"/>
    <x v="12"/>
  </r>
  <r>
    <s v="Match196"/>
    <x v="1"/>
    <n v="1"/>
    <x v="12"/>
  </r>
  <r>
    <s v="Match197"/>
    <x v="1"/>
    <n v="1"/>
    <x v="12"/>
  </r>
  <r>
    <s v="Match198"/>
    <x v="1"/>
    <n v="1"/>
    <x v="12"/>
  </r>
  <r>
    <s v="Match199"/>
    <x v="1"/>
    <n v="1"/>
    <x v="12"/>
  </r>
  <r>
    <s v="Match200"/>
    <x v="1"/>
    <n v="0"/>
    <x v="8"/>
  </r>
  <r>
    <s v="Match201"/>
    <x v="0"/>
    <n v="1"/>
    <x v="1"/>
  </r>
  <r>
    <s v="Match202"/>
    <x v="1"/>
    <n v="1"/>
    <x v="0"/>
  </r>
  <r>
    <s v="Match203"/>
    <x v="1"/>
    <n v="1"/>
    <x v="0"/>
  </r>
  <r>
    <s v="Match204"/>
    <x v="1"/>
    <n v="1"/>
    <x v="0"/>
  </r>
  <r>
    <s v="Match205"/>
    <x v="1"/>
    <n v="1"/>
    <x v="0"/>
  </r>
  <r>
    <s v="Match206"/>
    <x v="0"/>
    <n v="1"/>
    <x v="1"/>
  </r>
  <r>
    <s v="Match207"/>
    <x v="1"/>
    <n v="0"/>
    <x v="3"/>
  </r>
  <r>
    <s v="Match208"/>
    <x v="0"/>
    <n v="0"/>
    <x v="3"/>
  </r>
  <r>
    <s v="Match209"/>
    <x v="0"/>
    <n v="0"/>
    <x v="3"/>
  </r>
  <r>
    <s v="Match210"/>
    <x v="1"/>
    <n v="1"/>
    <x v="13"/>
  </r>
  <r>
    <s v="Match211"/>
    <x v="0"/>
    <n v="1"/>
    <x v="13"/>
  </r>
  <r>
    <s v="Match212"/>
    <x v="0"/>
    <n v="1"/>
    <x v="12"/>
  </r>
  <r>
    <s v="Match213"/>
    <x v="1"/>
    <n v="1"/>
    <x v="12"/>
  </r>
  <r>
    <s v="Match214"/>
    <x v="1"/>
    <n v="1"/>
    <x v="12"/>
  </r>
  <r>
    <s v="Match215"/>
    <x v="1"/>
    <n v="1"/>
    <x v="12"/>
  </r>
  <r>
    <s v="Match216"/>
    <x v="0"/>
    <n v="1"/>
    <x v="12"/>
  </r>
  <r>
    <s v="Match217"/>
    <x v="1"/>
    <n v="1"/>
    <x v="10"/>
  </r>
  <r>
    <s v="Match218"/>
    <x v="1"/>
    <n v="1"/>
    <x v="10"/>
  </r>
  <r>
    <s v="Match219"/>
    <x v="1"/>
    <n v="1"/>
    <x v="2"/>
  </r>
  <r>
    <s v="Match220"/>
    <x v="0"/>
    <n v="0"/>
    <x v="23"/>
  </r>
  <r>
    <s v="Match221"/>
    <x v="0"/>
    <n v="1"/>
    <x v="2"/>
  </r>
  <r>
    <s v="Match222"/>
    <x v="0"/>
    <n v="0"/>
    <x v="8"/>
  </r>
  <r>
    <s v="Match223"/>
    <x v="1"/>
    <n v="1"/>
    <x v="28"/>
  </r>
  <r>
    <s v="Match224"/>
    <x v="0"/>
    <n v="1"/>
    <x v="28"/>
  </r>
  <r>
    <s v="Match225"/>
    <x v="1"/>
    <n v="1"/>
    <x v="28"/>
  </r>
  <r>
    <s v="Match226"/>
    <x v="0"/>
    <n v="0"/>
    <x v="8"/>
  </r>
  <r>
    <s v="Match227"/>
    <x v="1"/>
    <n v="1"/>
    <x v="28"/>
  </r>
  <r>
    <s v="Match228"/>
    <x v="0"/>
    <n v="0"/>
    <x v="8"/>
  </r>
  <r>
    <s v="Match229"/>
    <x v="1"/>
    <n v="1"/>
    <x v="28"/>
  </r>
  <r>
    <s v="Match230"/>
    <x v="0"/>
    <n v="1"/>
    <x v="29"/>
  </r>
  <r>
    <s v="Match231"/>
    <x v="1"/>
    <n v="1"/>
    <x v="13"/>
  </r>
  <r>
    <s v="Match232"/>
    <x v="1"/>
    <n v="1"/>
    <x v="13"/>
  </r>
  <r>
    <s v="Match233"/>
    <x v="0"/>
    <n v="1"/>
    <x v="13"/>
  </r>
  <r>
    <s v="Match234"/>
    <x v="0"/>
    <n v="1"/>
    <x v="13"/>
  </r>
  <r>
    <s v="Match235"/>
    <x v="1"/>
    <n v="0"/>
    <x v="5"/>
  </r>
  <r>
    <s v="Match236"/>
    <x v="1"/>
    <n v="0"/>
    <x v="5"/>
  </r>
  <r>
    <s v="Match237"/>
    <x v="0"/>
    <n v="1"/>
    <x v="7"/>
  </r>
  <r>
    <s v="Match238"/>
    <x v="1"/>
    <n v="0"/>
    <x v="3"/>
  </r>
  <r>
    <s v="Match239"/>
    <x v="1"/>
    <n v="0"/>
    <x v="3"/>
  </r>
  <r>
    <s v="Match240"/>
    <x v="1"/>
    <n v="0"/>
    <x v="3"/>
  </r>
  <r>
    <s v="Match241"/>
    <x v="1"/>
    <n v="1"/>
    <x v="13"/>
  </r>
  <r>
    <s v="Match242"/>
    <x v="0"/>
    <n v="1"/>
    <x v="13"/>
  </r>
  <r>
    <s v="Match243"/>
    <x v="0"/>
    <n v="1"/>
    <x v="12"/>
  </r>
  <r>
    <s v="Match244"/>
    <x v="0"/>
    <n v="1"/>
    <x v="12"/>
  </r>
  <r>
    <s v="Match245"/>
    <x v="0"/>
    <n v="1"/>
    <x v="13"/>
  </r>
  <r>
    <s v="Match246"/>
    <x v="0"/>
    <n v="1"/>
    <x v="13"/>
  </r>
  <r>
    <s v="Match247"/>
    <x v="1"/>
    <n v="1"/>
    <x v="13"/>
  </r>
  <r>
    <s v="Match248"/>
    <x v="0"/>
    <n v="1"/>
    <x v="12"/>
  </r>
  <r>
    <s v="Match249"/>
    <x v="1"/>
    <n v="1"/>
    <x v="12"/>
  </r>
  <r>
    <s v="Match250"/>
    <x v="0"/>
    <n v="1"/>
    <x v="12"/>
  </r>
  <r>
    <s v="Match251"/>
    <x v="1"/>
    <n v="1"/>
    <x v="12"/>
  </r>
  <r>
    <s v="Match252"/>
    <x v="0"/>
    <n v="1"/>
    <x v="13"/>
  </r>
  <r>
    <s v="Match253"/>
    <x v="0"/>
    <n v="1"/>
    <x v="12"/>
  </r>
  <r>
    <s v="Match254"/>
    <x v="0"/>
    <n v="0"/>
    <x v="3"/>
  </r>
  <r>
    <s v="Match255"/>
    <x v="0"/>
    <n v="1"/>
    <x v="4"/>
  </r>
  <r>
    <s v="Match256"/>
    <x v="1"/>
    <n v="1"/>
    <x v="13"/>
  </r>
  <r>
    <s v="Match257"/>
    <x v="0"/>
    <n v="1"/>
    <x v="12"/>
  </r>
  <r>
    <s v="Match258"/>
    <x v="0"/>
    <n v="0"/>
    <x v="3"/>
  </r>
  <r>
    <s v="Match259"/>
    <x v="1"/>
    <n v="0"/>
    <x v="3"/>
  </r>
  <r>
    <s v="Match260"/>
    <x v="1"/>
    <n v="0"/>
    <x v="3"/>
  </r>
  <r>
    <s v="Match261"/>
    <x v="1"/>
    <n v="0"/>
    <x v="3"/>
  </r>
  <r>
    <s v="Match262"/>
    <x v="0"/>
    <n v="0"/>
    <x v="3"/>
  </r>
  <r>
    <s v="Match263"/>
    <x v="0"/>
    <n v="1"/>
    <x v="19"/>
  </r>
  <r>
    <s v="Match264"/>
    <x v="1"/>
    <n v="1"/>
    <x v="4"/>
  </r>
  <r>
    <s v="Match265"/>
    <x v="1"/>
    <n v="0"/>
    <x v="5"/>
  </r>
  <r>
    <s v="Match266"/>
    <x v="1"/>
    <n v="1"/>
    <x v="4"/>
  </r>
  <r>
    <s v="Match267"/>
    <x v="0"/>
    <n v="0"/>
    <x v="8"/>
  </r>
  <r>
    <s v="Match268"/>
    <x v="0"/>
    <n v="0"/>
    <x v="8"/>
  </r>
  <r>
    <s v="Match269"/>
    <x v="1"/>
    <n v="0"/>
    <x v="8"/>
  </r>
  <r>
    <s v="Match270"/>
    <x v="0"/>
    <n v="0"/>
    <x v="8"/>
  </r>
  <r>
    <s v="Match271"/>
    <x v="0"/>
    <n v="1"/>
    <x v="0"/>
  </r>
  <r>
    <s v="Match272"/>
    <x v="1"/>
    <n v="1"/>
    <x v="1"/>
  </r>
  <r>
    <s v="Match273"/>
    <x v="0"/>
    <n v="1"/>
    <x v="0"/>
  </r>
  <r>
    <s v="Match274"/>
    <x v="0"/>
    <n v="1"/>
    <x v="0"/>
  </r>
  <r>
    <s v="Match275"/>
    <x v="0"/>
    <n v="1"/>
    <x v="0"/>
  </r>
  <r>
    <s v="Match276"/>
    <x v="1"/>
    <n v="1"/>
    <x v="1"/>
  </r>
  <r>
    <s v="Match277"/>
    <x v="0"/>
    <n v="1"/>
    <x v="0"/>
  </r>
  <r>
    <s v="Match278"/>
    <x v="0"/>
    <n v="1"/>
    <x v="0"/>
  </r>
  <r>
    <s v="Match279"/>
    <x v="1"/>
    <n v="0"/>
    <x v="8"/>
  </r>
  <r>
    <s v="Match280"/>
    <x v="1"/>
    <n v="0"/>
    <x v="8"/>
  </r>
  <r>
    <s v="Match281"/>
    <x v="0"/>
    <n v="1"/>
    <x v="2"/>
  </r>
  <r>
    <s v="Match282"/>
    <x v="1"/>
    <n v="0"/>
    <x v="5"/>
  </r>
  <r>
    <s v="Match283"/>
    <x v="1"/>
    <n v="0"/>
    <x v="5"/>
  </r>
  <r>
    <s v="Match284"/>
    <x v="0"/>
    <n v="1"/>
    <x v="7"/>
  </r>
  <r>
    <s v="Match285"/>
    <x v="0"/>
    <n v="0"/>
    <x v="30"/>
  </r>
  <r>
    <s v="Match286"/>
    <x v="1"/>
    <n v="1"/>
    <x v="7"/>
  </r>
  <r>
    <s v="Match287"/>
    <x v="0"/>
    <n v="1"/>
    <x v="10"/>
  </r>
  <r>
    <s v="Match288"/>
    <x v="1"/>
    <n v="1"/>
    <x v="13"/>
  </r>
  <r>
    <s v="Match289"/>
    <x v="1"/>
    <n v="1"/>
    <x v="13"/>
  </r>
  <r>
    <s v="Match290"/>
    <x v="0"/>
    <n v="1"/>
    <x v="13"/>
  </r>
  <r>
    <s v="Match291"/>
    <x v="0"/>
    <n v="0"/>
    <x v="3"/>
  </r>
  <r>
    <s v="Match292"/>
    <x v="0"/>
    <n v="0"/>
    <x v="3"/>
  </r>
  <r>
    <s v="Match293"/>
    <x v="1"/>
    <n v="0"/>
    <x v="3"/>
  </r>
  <r>
    <s v="Match294"/>
    <x v="1"/>
    <n v="0"/>
    <x v="3"/>
  </r>
  <r>
    <s v="Match295"/>
    <x v="0"/>
    <n v="0"/>
    <x v="3"/>
  </r>
  <r>
    <s v="Match296"/>
    <x v="0"/>
    <n v="0"/>
    <x v="5"/>
  </r>
  <r>
    <s v="Match297"/>
    <x v="1"/>
    <n v="0"/>
    <x v="6"/>
  </r>
  <r>
    <s v="Match298"/>
    <x v="1"/>
    <n v="1"/>
    <x v="7"/>
  </r>
  <r>
    <s v="Match299"/>
    <x v="1"/>
    <n v="1"/>
    <x v="10"/>
  </r>
  <r>
    <s v="Match300"/>
    <x v="1"/>
    <n v="1"/>
    <x v="11"/>
  </r>
  <r>
    <s v="Match301"/>
    <x v="0"/>
    <n v="1"/>
    <x v="14"/>
  </r>
  <r>
    <s v="Match302"/>
    <x v="0"/>
    <n v="1"/>
    <x v="10"/>
  </r>
  <r>
    <s v="Match303"/>
    <x v="0"/>
    <n v="1"/>
    <x v="13"/>
  </r>
  <r>
    <s v="Match304"/>
    <x v="1"/>
    <n v="1"/>
    <x v="13"/>
  </r>
  <r>
    <s v="Match305"/>
    <x v="0"/>
    <n v="1"/>
    <x v="13"/>
  </r>
  <r>
    <s v="Match306"/>
    <x v="1"/>
    <n v="0"/>
    <x v="3"/>
  </r>
  <r>
    <s v="Match307"/>
    <x v="1"/>
    <n v="0"/>
    <x v="3"/>
  </r>
  <r>
    <s v="Match308"/>
    <x v="0"/>
    <n v="0"/>
    <x v="3"/>
  </r>
  <r>
    <s v="Match309"/>
    <x v="0"/>
    <n v="0"/>
    <x v="3"/>
  </r>
  <r>
    <s v="Match310"/>
    <x v="1"/>
    <n v="1"/>
    <x v="4"/>
  </r>
  <r>
    <s v="Match311"/>
    <x v="1"/>
    <n v="0"/>
    <x v="3"/>
  </r>
  <r>
    <s v="Match312"/>
    <x v="1"/>
    <n v="0"/>
    <x v="3"/>
  </r>
  <r>
    <s v="Match313"/>
    <x v="1"/>
    <n v="0"/>
    <x v="3"/>
  </r>
  <r>
    <s v="Match314"/>
    <x v="1"/>
    <n v="0"/>
    <x v="3"/>
  </r>
  <r>
    <s v="Match315"/>
    <x v="0"/>
    <n v="1"/>
    <x v="4"/>
  </r>
  <r>
    <s v="Match316"/>
    <x v="0"/>
    <n v="0"/>
    <x v="3"/>
  </r>
  <r>
    <s v="Match317"/>
    <x v="0"/>
    <n v="0"/>
    <x v="3"/>
  </r>
  <r>
    <s v="Match318"/>
    <x v="1"/>
    <n v="0"/>
    <x v="3"/>
  </r>
  <r>
    <s v="Match319"/>
    <x v="1"/>
    <n v="1"/>
    <x v="13"/>
  </r>
  <r>
    <s v="Match320"/>
    <x v="0"/>
    <n v="1"/>
    <x v="13"/>
  </r>
  <r>
    <s v="Match321"/>
    <x v="1"/>
    <n v="1"/>
    <x v="12"/>
  </r>
  <r>
    <s v="Match322"/>
    <x v="0"/>
    <n v="0"/>
    <x v="25"/>
  </r>
  <r>
    <s v="Match323"/>
    <x v="1"/>
    <n v="1"/>
    <x v="12"/>
  </r>
  <r>
    <s v="Match324"/>
    <x v="0"/>
    <n v="0"/>
    <x v="8"/>
  </r>
  <r>
    <s v="Match325"/>
    <x v="0"/>
    <n v="1"/>
    <x v="2"/>
  </r>
  <r>
    <s v="Match326"/>
    <x v="0"/>
    <n v="0"/>
    <x v="23"/>
  </r>
  <r>
    <s v="Match327"/>
    <x v="1"/>
    <n v="0"/>
    <x v="8"/>
  </r>
  <r>
    <s v="Match328"/>
    <x v="0"/>
    <n v="0"/>
    <x v="8"/>
  </r>
  <r>
    <s v="Match329"/>
    <x v="0"/>
    <n v="1"/>
    <x v="2"/>
  </r>
  <r>
    <s v="Match330"/>
    <x v="0"/>
    <n v="0"/>
    <x v="23"/>
  </r>
  <r>
    <s v="Match331"/>
    <x v="1"/>
    <n v="1"/>
    <x v="0"/>
  </r>
  <r>
    <s v="Match332"/>
    <x v="0"/>
    <n v="1"/>
    <x v="1"/>
  </r>
  <r>
    <s v="Match333"/>
    <x v="0"/>
    <n v="0"/>
    <x v="17"/>
  </r>
  <r>
    <s v="Match334"/>
    <x v="1"/>
    <n v="1"/>
    <x v="0"/>
  </r>
  <r>
    <s v="Match335"/>
    <x v="0"/>
    <n v="1"/>
    <x v="0"/>
  </r>
  <r>
    <s v="Match336"/>
    <x v="0"/>
    <n v="1"/>
    <x v="0"/>
  </r>
  <r>
    <s v="Match337"/>
    <x v="0"/>
    <n v="1"/>
    <x v="1"/>
  </r>
  <r>
    <s v="Match338"/>
    <x v="1"/>
    <n v="1"/>
    <x v="13"/>
  </r>
  <r>
    <s v="Match339"/>
    <x v="1"/>
    <n v="1"/>
    <x v="13"/>
  </r>
  <r>
    <s v="Match340"/>
    <x v="0"/>
    <n v="1"/>
    <x v="13"/>
  </r>
  <r>
    <s v="Match341"/>
    <x v="0"/>
    <n v="1"/>
    <x v="12"/>
  </r>
  <r>
    <s v="Match342"/>
    <x v="0"/>
    <n v="0"/>
    <x v="27"/>
  </r>
  <r>
    <s v="Match343"/>
    <x v="0"/>
    <n v="1"/>
    <x v="12"/>
  </r>
  <r>
    <s v="Match344"/>
    <x v="0"/>
    <n v="0"/>
    <x v="25"/>
  </r>
  <r>
    <s v="Match345"/>
    <x v="0"/>
    <n v="1"/>
    <x v="13"/>
  </r>
  <r>
    <s v="Match346"/>
    <x v="0"/>
    <n v="0"/>
    <x v="3"/>
  </r>
  <r>
    <s v="Match347"/>
    <x v="1"/>
    <n v="0"/>
    <x v="3"/>
  </r>
  <r>
    <s v="Match348"/>
    <x v="0"/>
    <n v="1"/>
    <x v="4"/>
  </r>
  <r>
    <s v="Match349"/>
    <x v="0"/>
    <n v="0"/>
    <x v="21"/>
  </r>
  <r>
    <s v="Match350"/>
    <x v="0"/>
    <n v="0"/>
    <x v="3"/>
  </r>
  <r>
    <s v="Match351"/>
    <x v="0"/>
    <n v="1"/>
    <x v="4"/>
  </r>
  <r>
    <s v="Match352"/>
    <x v="1"/>
    <n v="1"/>
    <x v="12"/>
  </r>
  <r>
    <s v="Match353"/>
    <x v="0"/>
    <n v="1"/>
    <x v="12"/>
  </r>
  <r>
    <s v="Match354"/>
    <x v="0"/>
    <n v="1"/>
    <x v="13"/>
  </r>
  <r>
    <s v="Match355"/>
    <x v="1"/>
    <n v="1"/>
    <x v="13"/>
  </r>
  <r>
    <s v="Match356"/>
    <x v="0"/>
    <n v="1"/>
    <x v="13"/>
  </r>
  <r>
    <s v="Match357"/>
    <x v="0"/>
    <n v="0"/>
    <x v="3"/>
  </r>
  <r>
    <s v="Match358"/>
    <x v="1"/>
    <n v="0"/>
    <x v="3"/>
  </r>
  <r>
    <s v="Match359"/>
    <x v="0"/>
    <n v="1"/>
    <x v="4"/>
  </r>
  <r>
    <s v="Match360"/>
    <x v="1"/>
    <n v="1"/>
    <x v="12"/>
  </r>
  <r>
    <s v="Match361"/>
    <x v="1"/>
    <n v="1"/>
    <x v="12"/>
  </r>
  <r>
    <s v="Match362"/>
    <x v="0"/>
    <n v="1"/>
    <x v="13"/>
  </r>
  <r>
    <s v="Match363"/>
    <x v="0"/>
    <n v="1"/>
    <x v="13"/>
  </r>
  <r>
    <s v="Match364"/>
    <x v="1"/>
    <n v="1"/>
    <x v="13"/>
  </r>
  <r>
    <s v="Match365"/>
    <x v="1"/>
    <n v="0"/>
    <x v="3"/>
  </r>
  <r>
    <s v="Match366"/>
    <x v="0"/>
    <n v="0"/>
    <x v="3"/>
  </r>
  <r>
    <s v="Match367"/>
    <x v="0"/>
    <n v="1"/>
    <x v="4"/>
  </r>
  <r>
    <s v="Match368"/>
    <x v="0"/>
    <n v="1"/>
    <x v="14"/>
  </r>
  <r>
    <s v="Match369"/>
    <x v="0"/>
    <n v="1"/>
    <x v="10"/>
  </r>
  <r>
    <s v="Match370"/>
    <x v="1"/>
    <n v="0"/>
    <x v="5"/>
  </r>
  <r>
    <s v="Match371"/>
    <x v="1"/>
    <n v="0"/>
    <x v="5"/>
  </r>
  <r>
    <s v="Match372"/>
    <x v="1"/>
    <n v="0"/>
    <x v="5"/>
  </r>
  <r>
    <s v="Match373"/>
    <x v="0"/>
    <n v="0"/>
    <x v="5"/>
  </r>
  <r>
    <s v="Match374"/>
    <x v="0"/>
    <n v="1"/>
    <x v="7"/>
  </r>
  <r>
    <s v="Match375"/>
    <x v="0"/>
    <n v="1"/>
    <x v="13"/>
  </r>
  <r>
    <s v="Match376"/>
    <x v="0"/>
    <n v="0"/>
    <x v="3"/>
  </r>
  <r>
    <s v="Match377"/>
    <x v="1"/>
    <n v="0"/>
    <x v="3"/>
  </r>
  <r>
    <s v="Match378"/>
    <x v="1"/>
    <n v="0"/>
    <x v="3"/>
  </r>
  <r>
    <s v="Match379"/>
    <x v="1"/>
    <n v="0"/>
    <x v="3"/>
  </r>
  <r>
    <s v="Match380"/>
    <x v="0"/>
    <n v="1"/>
    <x v="4"/>
  </r>
  <r>
    <s v="Match381"/>
    <x v="0"/>
    <n v="0"/>
    <x v="21"/>
  </r>
  <r>
    <s v="Match382"/>
    <x v="1"/>
    <n v="0"/>
    <x v="3"/>
  </r>
  <r>
    <s v="Match383"/>
    <x v="0"/>
    <n v="0"/>
    <x v="3"/>
  </r>
  <r>
    <s v="Match384"/>
    <x v="1"/>
    <n v="0"/>
    <x v="3"/>
  </r>
  <r>
    <s v="Match385"/>
    <x v="1"/>
    <n v="1"/>
    <x v="4"/>
  </r>
  <r>
    <s v="Match386"/>
    <x v="0"/>
    <n v="0"/>
    <x v="8"/>
  </r>
  <r>
    <s v="Match387"/>
    <x v="0"/>
    <n v="0"/>
    <x v="8"/>
  </r>
  <r>
    <s v="Match388"/>
    <x v="0"/>
    <n v="0"/>
    <x v="8"/>
  </r>
  <r>
    <s v="Match389"/>
    <x v="0"/>
    <n v="0"/>
    <x v="8"/>
  </r>
  <r>
    <s v="Match390"/>
    <x v="0"/>
    <n v="0"/>
    <x v="8"/>
  </r>
  <r>
    <s v="Match391"/>
    <x v="1"/>
    <n v="0"/>
    <x v="8"/>
  </r>
  <r>
    <s v="Match392"/>
    <x v="0"/>
    <n v="0"/>
    <x v="8"/>
  </r>
  <r>
    <s v="Match393"/>
    <x v="1"/>
    <n v="0"/>
    <x v="8"/>
  </r>
  <r>
    <s v="Match394"/>
    <x v="0"/>
    <n v="1"/>
    <x v="31"/>
  </r>
  <r>
    <s v="Match395"/>
    <x v="1"/>
    <n v="1"/>
    <x v="0"/>
  </r>
  <r>
    <s v="Match396"/>
    <x v="0"/>
    <n v="1"/>
    <x v="1"/>
  </r>
  <r>
    <s v="Match397"/>
    <x v="1"/>
    <n v="1"/>
    <x v="31"/>
  </r>
  <r>
    <s v="Match398"/>
    <x v="0"/>
    <n v="0"/>
    <x v="17"/>
  </r>
  <r>
    <s v="Match399"/>
    <x v="0"/>
    <n v="1"/>
    <x v="0"/>
  </r>
  <r>
    <s v="Match400"/>
    <x v="0"/>
    <n v="1"/>
    <x v="0"/>
  </r>
  <r>
    <s v="Match401"/>
    <x v="0"/>
    <n v="1"/>
    <x v="1"/>
  </r>
  <r>
    <s v="Match402"/>
    <x v="1"/>
    <n v="0"/>
    <x v="3"/>
  </r>
  <r>
    <s v="Match403"/>
    <x v="0"/>
    <n v="0"/>
    <x v="3"/>
  </r>
  <r>
    <s v="Match404"/>
    <x v="0"/>
    <n v="0"/>
    <x v="3"/>
  </r>
  <r>
    <s v="Match405"/>
    <x v="0"/>
    <n v="0"/>
    <x v="3"/>
  </r>
  <r>
    <s v="Match406"/>
    <x v="0"/>
    <n v="1"/>
    <x v="4"/>
  </r>
  <r>
    <s v="Match407"/>
    <x v="1"/>
    <n v="1"/>
    <x v="12"/>
  </r>
  <r>
    <s v="Match408"/>
    <x v="1"/>
    <n v="1"/>
    <x v="12"/>
  </r>
  <r>
    <s v="Match409"/>
    <x v="1"/>
    <n v="1"/>
    <x v="12"/>
  </r>
  <r>
    <s v="Match410"/>
    <x v="0"/>
    <n v="1"/>
    <x v="13"/>
  </r>
  <r>
    <s v="Match411"/>
    <x v="1"/>
    <n v="1"/>
    <x v="12"/>
  </r>
  <r>
    <s v="Match412"/>
    <x v="1"/>
    <n v="1"/>
    <x v="12"/>
  </r>
  <r>
    <s v="Match413"/>
    <x v="0"/>
    <n v="1"/>
    <x v="12"/>
  </r>
  <r>
    <s v="Match414"/>
    <x v="1"/>
    <n v="0"/>
    <x v="8"/>
  </r>
  <r>
    <s v="Match415"/>
    <x v="0"/>
    <n v="0"/>
    <x v="8"/>
  </r>
  <r>
    <s v="Match416"/>
    <x v="0"/>
    <n v="0"/>
    <x v="8"/>
  </r>
  <r>
    <s v="Match417"/>
    <x v="0"/>
    <n v="1"/>
    <x v="2"/>
  </r>
  <r>
    <s v="Match418"/>
    <x v="1"/>
    <n v="0"/>
    <x v="8"/>
  </r>
  <r>
    <s v="Match419"/>
    <x v="1"/>
    <n v="1"/>
    <x v="0"/>
  </r>
  <r>
    <s v="Match420"/>
    <x v="0"/>
    <n v="0"/>
    <x v="17"/>
  </r>
  <r>
    <s v="Match421"/>
    <x v="1"/>
    <n v="1"/>
    <x v="0"/>
  </r>
  <r>
    <s v="Match422"/>
    <x v="1"/>
    <n v="1"/>
    <x v="0"/>
  </r>
  <r>
    <s v="Match423"/>
    <x v="0"/>
    <n v="1"/>
    <x v="0"/>
  </r>
  <r>
    <s v="Match424"/>
    <x v="0"/>
    <n v="1"/>
    <x v="31"/>
  </r>
  <r>
    <s v="Match425"/>
    <x v="1"/>
    <n v="1"/>
    <x v="0"/>
  </r>
  <r>
    <s v="Match426"/>
    <x v="0"/>
    <n v="1"/>
    <x v="1"/>
  </r>
  <r>
    <s v="Match427"/>
    <x v="1"/>
    <n v="1"/>
    <x v="13"/>
  </r>
  <r>
    <s v="Match428"/>
    <x v="0"/>
    <n v="1"/>
    <x v="14"/>
  </r>
  <r>
    <s v="Match429"/>
    <x v="0"/>
    <n v="1"/>
    <x v="13"/>
  </r>
  <r>
    <s v="Match430"/>
    <x v="0"/>
    <n v="1"/>
    <x v="13"/>
  </r>
  <r>
    <s v="Match431"/>
    <x v="0"/>
    <n v="1"/>
    <x v="12"/>
  </r>
  <r>
    <s v="Match432"/>
    <x v="0"/>
    <n v="1"/>
    <x v="13"/>
  </r>
  <r>
    <s v="Match433"/>
    <x v="1"/>
    <n v="1"/>
    <x v="13"/>
  </r>
  <r>
    <s v="Match434"/>
    <x v="0"/>
    <n v="1"/>
    <x v="12"/>
  </r>
  <r>
    <s v="Match435"/>
    <x v="0"/>
    <n v="0"/>
    <x v="25"/>
  </r>
  <r>
    <s v="Match436"/>
    <x v="1"/>
    <n v="1"/>
    <x v="12"/>
  </r>
  <r>
    <s v="Match437"/>
    <x v="0"/>
    <n v="1"/>
    <x v="13"/>
  </r>
  <r>
    <s v="Match438"/>
    <x v="1"/>
    <n v="1"/>
    <x v="12"/>
  </r>
  <r>
    <s v="Match439"/>
    <x v="0"/>
    <n v="0"/>
    <x v="27"/>
  </r>
  <r>
    <s v="Match440"/>
    <x v="1"/>
    <n v="1"/>
    <x v="14"/>
  </r>
  <r>
    <s v="Match441"/>
    <x v="1"/>
    <n v="1"/>
    <x v="14"/>
  </r>
  <r>
    <s v="Match442"/>
    <x v="1"/>
    <n v="1"/>
    <x v="32"/>
  </r>
  <r>
    <s v="Match443"/>
    <x v="1"/>
    <n v="0"/>
    <x v="5"/>
  </r>
  <r>
    <s v="Match444"/>
    <x v="1"/>
    <n v="0"/>
    <x v="5"/>
  </r>
  <r>
    <s v="Match445"/>
    <x v="0"/>
    <n v="0"/>
    <x v="5"/>
  </r>
  <r>
    <s v="Match446"/>
    <x v="1"/>
    <n v="0"/>
    <x v="5"/>
  </r>
  <r>
    <s v="Match447"/>
    <x v="1"/>
    <n v="1"/>
    <x v="7"/>
  </r>
  <r>
    <s v="Match448"/>
    <x v="0"/>
    <n v="1"/>
    <x v="12"/>
  </r>
  <r>
    <s v="Match449"/>
    <x v="0"/>
    <n v="1"/>
    <x v="12"/>
  </r>
  <r>
    <s v="Match450"/>
    <x v="0"/>
    <n v="0"/>
    <x v="3"/>
  </r>
  <r>
    <s v="Match451"/>
    <x v="0"/>
    <n v="0"/>
    <x v="3"/>
  </r>
  <r>
    <s v="Match452"/>
    <x v="1"/>
    <n v="0"/>
    <x v="3"/>
  </r>
  <r>
    <s v="Match453"/>
    <x v="0"/>
    <n v="0"/>
    <x v="3"/>
  </r>
  <r>
    <s v="Match454"/>
    <x v="1"/>
    <n v="1"/>
    <x v="4"/>
  </r>
  <r>
    <s v="Match455"/>
    <x v="0"/>
    <n v="1"/>
    <x v="13"/>
  </r>
  <r>
    <s v="Match456"/>
    <x v="1"/>
    <n v="1"/>
    <x v="12"/>
  </r>
  <r>
    <s v="Match457"/>
    <x v="1"/>
    <n v="1"/>
    <x v="12"/>
  </r>
  <r>
    <s v="Match458"/>
    <x v="1"/>
    <n v="1"/>
    <x v="12"/>
  </r>
  <r>
    <s v="Match459"/>
    <x v="0"/>
    <n v="1"/>
    <x v="12"/>
  </r>
  <r>
    <s v="Match460"/>
    <x v="0"/>
    <n v="1"/>
    <x v="4"/>
  </r>
  <r>
    <s v="Match461"/>
    <x v="0"/>
    <n v="0"/>
    <x v="21"/>
  </r>
  <r>
    <s v="Match462"/>
    <x v="1"/>
    <n v="1"/>
    <x v="4"/>
  </r>
  <r>
    <s v="Match463"/>
    <x v="0"/>
    <n v="1"/>
    <x v="12"/>
  </r>
  <r>
    <s v="Match464"/>
    <x v="1"/>
    <n v="0"/>
    <x v="8"/>
  </r>
  <r>
    <s v="Match465"/>
    <x v="0"/>
    <n v="0"/>
    <x v="8"/>
  </r>
  <r>
    <s v="Match466"/>
    <x v="0"/>
    <n v="0"/>
    <x v="8"/>
  </r>
  <r>
    <s v="Match467"/>
    <x v="0"/>
    <n v="0"/>
    <x v="8"/>
  </r>
  <r>
    <s v="Match468"/>
    <x v="0"/>
    <n v="0"/>
    <x v="8"/>
  </r>
  <r>
    <s v="Match469"/>
    <x v="0"/>
    <n v="0"/>
    <x v="8"/>
  </r>
  <r>
    <s v="Match470"/>
    <x v="1"/>
    <n v="0"/>
    <x v="8"/>
  </r>
  <r>
    <s v="Match471"/>
    <x v="0"/>
    <n v="0"/>
    <x v="8"/>
  </r>
  <r>
    <s v="Match472"/>
    <x v="0"/>
    <n v="1"/>
    <x v="2"/>
  </r>
  <r>
    <s v="Match473"/>
    <x v="0"/>
    <n v="1"/>
    <x v="0"/>
  </r>
  <r>
    <s v="Match474"/>
    <x v="0"/>
    <n v="1"/>
    <x v="0"/>
  </r>
  <r>
    <s v="Match475"/>
    <x v="1"/>
    <n v="1"/>
    <x v="0"/>
  </r>
  <r>
    <s v="Match476"/>
    <x v="1"/>
    <n v="1"/>
    <x v="1"/>
  </r>
  <r>
    <s v="Match477"/>
    <x v="0"/>
    <n v="0"/>
    <x v="33"/>
  </r>
  <r>
    <s v="Match478"/>
    <x v="0"/>
    <n v="0"/>
    <x v="17"/>
  </r>
  <r>
    <s v="Match479"/>
    <x v="1"/>
    <n v="1"/>
    <x v="1"/>
  </r>
  <r>
    <s v="Match480"/>
    <x v="1"/>
    <n v="1"/>
    <x v="7"/>
  </r>
  <r>
    <s v="Match481"/>
    <x v="1"/>
    <n v="0"/>
    <x v="3"/>
  </r>
  <r>
    <s v="Match482"/>
    <x v="0"/>
    <n v="0"/>
    <x v="3"/>
  </r>
  <r>
    <s v="Match483"/>
    <x v="1"/>
    <n v="0"/>
    <x v="3"/>
  </r>
  <r>
    <s v="Match484"/>
    <x v="0"/>
    <n v="1"/>
    <x v="4"/>
  </r>
  <r>
    <s v="Match485"/>
    <x v="1"/>
    <n v="1"/>
    <x v="4"/>
  </r>
  <r>
    <s v="Match486"/>
    <x v="0"/>
    <n v="0"/>
    <x v="34"/>
  </r>
  <r>
    <s v="Match487"/>
    <x v="0"/>
    <n v="1"/>
    <x v="35"/>
  </r>
  <r>
    <s v="Match488"/>
    <x v="1"/>
    <n v="1"/>
    <x v="7"/>
  </r>
  <r>
    <s v="Match489"/>
    <x v="1"/>
    <n v="1"/>
    <x v="10"/>
  </r>
  <r>
    <s v="Match490"/>
    <x v="1"/>
    <n v="1"/>
    <x v="10"/>
  </r>
  <r>
    <s v="Match491"/>
    <x v="1"/>
    <n v="1"/>
    <x v="11"/>
  </r>
  <r>
    <s v="Match492"/>
    <x v="0"/>
    <n v="0"/>
    <x v="3"/>
  </r>
  <r>
    <s v="Match493"/>
    <x v="1"/>
    <n v="1"/>
    <x v="4"/>
  </r>
  <r>
    <s v="Match494"/>
    <x v="1"/>
    <n v="1"/>
    <x v="4"/>
  </r>
  <r>
    <s v="Match495"/>
    <x v="1"/>
    <n v="1"/>
    <x v="12"/>
  </r>
  <r>
    <s v="Match496"/>
    <x v="0"/>
    <n v="0"/>
    <x v="8"/>
  </r>
  <r>
    <s v="Match497"/>
    <x v="0"/>
    <n v="0"/>
    <x v="8"/>
  </r>
  <r>
    <s v="Match498"/>
    <x v="0"/>
    <n v="0"/>
    <x v="8"/>
  </r>
  <r>
    <s v="Match499"/>
    <x v="0"/>
    <n v="0"/>
    <x v="8"/>
  </r>
  <r>
    <s v="Match500"/>
    <x v="1"/>
    <n v="0"/>
    <x v="8"/>
  </r>
  <r>
    <s v="Match501"/>
    <x v="1"/>
    <n v="0"/>
    <x v="8"/>
  </r>
  <r>
    <s v="Match502"/>
    <x v="0"/>
    <n v="0"/>
    <x v="8"/>
  </r>
  <r>
    <s v="Match503"/>
    <x v="0"/>
    <n v="0"/>
    <x v="8"/>
  </r>
  <r>
    <s v="Match504"/>
    <x v="1"/>
    <n v="0"/>
    <x v="8"/>
  </r>
  <r>
    <s v="Match505"/>
    <x v="1"/>
    <n v="0"/>
    <x v="8"/>
  </r>
  <r>
    <s v="Match506"/>
    <x v="0"/>
    <n v="1"/>
    <x v="0"/>
  </r>
  <r>
    <s v="Match507"/>
    <x v="0"/>
    <n v="1"/>
    <x v="0"/>
  </r>
  <r>
    <s v="Match508"/>
    <x v="1"/>
    <n v="1"/>
    <x v="1"/>
  </r>
  <r>
    <s v="Match509"/>
    <x v="0"/>
    <n v="1"/>
    <x v="0"/>
  </r>
  <r>
    <s v="Match510"/>
    <x v="0"/>
    <n v="1"/>
    <x v="36"/>
  </r>
  <r>
    <s v="Match511"/>
    <x v="0"/>
    <n v="1"/>
    <x v="31"/>
  </r>
  <r>
    <s v="Match512"/>
    <x v="0"/>
    <n v="1"/>
    <x v="31"/>
  </r>
  <r>
    <s v="Match513"/>
    <x v="0"/>
    <n v="1"/>
    <x v="14"/>
  </r>
  <r>
    <s v="Match514"/>
    <x v="1"/>
    <n v="1"/>
    <x v="13"/>
  </r>
  <r>
    <s v="Match515"/>
    <x v="1"/>
    <n v="1"/>
    <x v="13"/>
  </r>
  <r>
    <s v="Match516"/>
    <x v="0"/>
    <n v="1"/>
    <x v="12"/>
  </r>
  <r>
    <s v="Match517"/>
    <x v="0"/>
    <n v="1"/>
    <x v="37"/>
  </r>
  <r>
    <s v="Match518"/>
    <x v="1"/>
    <n v="0"/>
    <x v="3"/>
  </r>
  <r>
    <s v="Match519"/>
    <x v="0"/>
    <n v="0"/>
    <x v="3"/>
  </r>
  <r>
    <s v="Match520"/>
    <x v="0"/>
    <n v="1"/>
    <x v="4"/>
  </r>
  <r>
    <s v="Match521"/>
    <x v="1"/>
    <n v="1"/>
    <x v="12"/>
  </r>
  <r>
    <s v="Match522"/>
    <x v="1"/>
    <n v="1"/>
    <x v="12"/>
  </r>
  <r>
    <s v="Match523"/>
    <x v="0"/>
    <n v="0"/>
    <x v="3"/>
  </r>
  <r>
    <s v="Match524"/>
    <x v="1"/>
    <n v="0"/>
    <x v="3"/>
  </r>
  <r>
    <s v="Match525"/>
    <x v="1"/>
    <n v="0"/>
    <x v="3"/>
  </r>
  <r>
    <s v="Match526"/>
    <x v="0"/>
    <n v="0"/>
    <x v="3"/>
  </r>
  <r>
    <s v="Match527"/>
    <x v="0"/>
    <n v="1"/>
    <x v="4"/>
  </r>
  <r>
    <s v="Match528"/>
    <x v="0"/>
    <n v="1"/>
    <x v="12"/>
  </r>
  <r>
    <s v="Match529"/>
    <x v="0"/>
    <n v="1"/>
    <x v="12"/>
  </r>
  <r>
    <s v="Match530"/>
    <x v="0"/>
    <n v="0"/>
    <x v="3"/>
  </r>
  <r>
    <s v="Match531"/>
    <x v="0"/>
    <n v="1"/>
    <x v="4"/>
  </r>
  <r>
    <s v="Match532"/>
    <x v="0"/>
    <n v="0"/>
    <x v="3"/>
  </r>
  <r>
    <s v="Match533"/>
    <x v="0"/>
    <n v="0"/>
    <x v="3"/>
  </r>
  <r>
    <s v="Match534"/>
    <x v="1"/>
    <n v="1"/>
    <x v="4"/>
  </r>
  <r>
    <s v="Match535"/>
    <x v="1"/>
    <n v="1"/>
    <x v="12"/>
  </r>
  <r>
    <s v="Match536"/>
    <x v="1"/>
    <n v="1"/>
    <x v="13"/>
  </r>
  <r>
    <s v="Match537"/>
    <x v="1"/>
    <n v="0"/>
    <x v="5"/>
  </r>
  <r>
    <s v="Match538"/>
    <x v="1"/>
    <n v="1"/>
    <x v="7"/>
  </r>
  <r>
    <s v="Match539"/>
    <x v="0"/>
    <n v="0"/>
    <x v="5"/>
  </r>
  <r>
    <s v="Match540"/>
    <x v="0"/>
    <n v="0"/>
    <x v="5"/>
  </r>
  <r>
    <s v="Match541"/>
    <x v="1"/>
    <n v="0"/>
    <x v="5"/>
  </r>
  <r>
    <s v="Match542"/>
    <x v="1"/>
    <n v="0"/>
    <x v="5"/>
  </r>
  <r>
    <s v="Match543"/>
    <x v="0"/>
    <n v="1"/>
    <x v="10"/>
  </r>
  <r>
    <s v="Match544"/>
    <x v="1"/>
    <n v="0"/>
    <x v="3"/>
  </r>
  <r>
    <s v="Match545"/>
    <x v="0"/>
    <n v="0"/>
    <x v="3"/>
  </r>
  <r>
    <s v="Match546"/>
    <x v="0"/>
    <n v="0"/>
    <x v="3"/>
  </r>
  <r>
    <s v="Match547"/>
    <x v="0"/>
    <n v="1"/>
    <x v="4"/>
  </r>
  <r>
    <s v="Match548"/>
    <x v="1"/>
    <n v="0"/>
    <x v="3"/>
  </r>
  <r>
    <s v="Match549"/>
    <x v="1"/>
    <n v="0"/>
    <x v="3"/>
  </r>
  <r>
    <s v="Match550"/>
    <x v="1"/>
    <n v="0"/>
    <x v="3"/>
  </r>
  <r>
    <s v="Match551"/>
    <x v="0"/>
    <n v="0"/>
    <x v="3"/>
  </r>
  <r>
    <s v="Match552"/>
    <x v="1"/>
    <n v="1"/>
    <x v="4"/>
  </r>
  <r>
    <s v="Match553"/>
    <x v="0"/>
    <n v="0"/>
    <x v="3"/>
  </r>
  <r>
    <s v="Match554"/>
    <x v="1"/>
    <n v="0"/>
    <x v="3"/>
  </r>
  <r>
    <s v="Match555"/>
    <x v="0"/>
    <n v="0"/>
    <x v="3"/>
  </r>
  <r>
    <s v="Match556"/>
    <x v="1"/>
    <n v="0"/>
    <x v="3"/>
  </r>
  <r>
    <s v="Match557"/>
    <x v="1"/>
    <n v="1"/>
    <x v="4"/>
  </r>
  <r>
    <s v="Match558"/>
    <x v="0"/>
    <n v="0"/>
    <x v="8"/>
  </r>
  <r>
    <s v="Match559"/>
    <x v="0"/>
    <n v="0"/>
    <x v="8"/>
  </r>
  <r>
    <s v="Match560"/>
    <x v="0"/>
    <n v="0"/>
    <x v="8"/>
  </r>
  <r>
    <s v="Match561"/>
    <x v="0"/>
    <n v="0"/>
    <x v="8"/>
  </r>
  <r>
    <s v="Match562"/>
    <x v="0"/>
    <n v="0"/>
    <x v="8"/>
  </r>
  <r>
    <s v="Match563"/>
    <x v="0"/>
    <n v="0"/>
    <x v="8"/>
  </r>
  <r>
    <s v="Match564"/>
    <x v="1"/>
    <n v="1"/>
    <x v="13"/>
  </r>
  <r>
    <s v="Match565"/>
    <x v="0"/>
    <n v="0"/>
    <x v="8"/>
  </r>
  <r>
    <s v="Match566"/>
    <x v="1"/>
    <n v="0"/>
    <x v="8"/>
  </r>
  <r>
    <s v="Match567"/>
    <x v="0"/>
    <n v="0"/>
    <x v="8"/>
  </r>
  <r>
    <s v="Match568"/>
    <x v="1"/>
    <n v="1"/>
    <x v="0"/>
  </r>
  <r>
    <s v="Match569"/>
    <x v="0"/>
    <n v="1"/>
    <x v="0"/>
  </r>
  <r>
    <s v="Match570"/>
    <x v="1"/>
    <n v="1"/>
    <x v="0"/>
  </r>
  <r>
    <s v="Match571"/>
    <x v="1"/>
    <n v="1"/>
    <x v="0"/>
  </r>
  <r>
    <s v="Match572"/>
    <x v="0"/>
    <n v="1"/>
    <x v="0"/>
  </r>
  <r>
    <s v="Match573"/>
    <x v="1"/>
    <n v="1"/>
    <x v="31"/>
  </r>
  <r>
    <s v="Match574"/>
    <x v="1"/>
    <n v="1"/>
    <x v="0"/>
  </r>
  <r>
    <s v="Match575"/>
    <x v="0"/>
    <n v="1"/>
    <x v="0"/>
  </r>
  <r>
    <s v="Match576"/>
    <x v="0"/>
    <n v="1"/>
    <x v="1"/>
  </r>
  <r>
    <s v="Match577"/>
    <x v="0"/>
    <n v="0"/>
    <x v="3"/>
  </r>
  <r>
    <s v="Match578"/>
    <x v="1"/>
    <n v="1"/>
    <x v="4"/>
  </r>
  <r>
    <s v="Match579"/>
    <x v="0"/>
    <n v="0"/>
    <x v="3"/>
  </r>
  <r>
    <s v="Match580"/>
    <x v="0"/>
    <n v="1"/>
    <x v="13"/>
  </r>
  <r>
    <s v="Match581"/>
    <x v="0"/>
    <n v="1"/>
    <x v="13"/>
  </r>
  <r>
    <s v="Match582"/>
    <x v="0"/>
    <n v="1"/>
    <x v="12"/>
  </r>
  <r>
    <s v="Match583"/>
    <x v="0"/>
    <n v="1"/>
    <x v="13"/>
  </r>
  <r>
    <s v="Match584"/>
    <x v="0"/>
    <n v="1"/>
    <x v="14"/>
  </r>
  <r>
    <s v="Match585"/>
    <x v="1"/>
    <n v="1"/>
    <x v="13"/>
  </r>
  <r>
    <s v="Match586"/>
    <x v="0"/>
    <n v="1"/>
    <x v="15"/>
  </r>
  <r>
    <s v="Match587"/>
    <x v="0"/>
    <n v="1"/>
    <x v="12"/>
  </r>
  <r>
    <s v="Match588"/>
    <x v="0"/>
    <n v="0"/>
    <x v="3"/>
  </r>
  <r>
    <s v="Match589"/>
    <x v="0"/>
    <n v="1"/>
    <x v="4"/>
  </r>
  <r>
    <s v="Match590"/>
    <x v="0"/>
    <n v="0"/>
    <x v="34"/>
  </r>
  <r>
    <s v="Match591"/>
    <x v="0"/>
    <n v="0"/>
    <x v="21"/>
  </r>
  <r>
    <s v="Match592"/>
    <x v="0"/>
    <n v="1"/>
    <x v="4"/>
  </r>
  <r>
    <s v="Match593"/>
    <x v="0"/>
    <n v="1"/>
    <x v="2"/>
  </r>
  <r>
    <s v="Match594"/>
    <x v="0"/>
    <n v="0"/>
    <x v="8"/>
  </r>
  <r>
    <s v="Match595"/>
    <x v="0"/>
    <n v="0"/>
    <x v="8"/>
  </r>
  <r>
    <s v="Match596"/>
    <x v="1"/>
    <n v="1"/>
    <x v="2"/>
  </r>
  <r>
    <s v="Match597"/>
    <x v="0"/>
    <n v="0"/>
    <x v="23"/>
  </r>
  <r>
    <s v="Match598"/>
    <x v="1"/>
    <n v="0"/>
    <x v="8"/>
  </r>
  <r>
    <s v="Match599"/>
    <x v="0"/>
    <n v="1"/>
    <x v="13"/>
  </r>
  <r>
    <s v="Match600"/>
    <x v="1"/>
    <n v="1"/>
    <x v="31"/>
  </r>
  <r>
    <s v="Match601"/>
    <x v="0"/>
    <n v="1"/>
    <x v="0"/>
  </r>
  <r>
    <s v="Match602"/>
    <x v="1"/>
    <n v="1"/>
    <x v="0"/>
  </r>
  <r>
    <s v="Match603"/>
    <x v="0"/>
    <n v="1"/>
    <x v="1"/>
  </r>
  <r>
    <s v="Match604"/>
    <x v="0"/>
    <n v="1"/>
    <x v="0"/>
  </r>
  <r>
    <s v="Match605"/>
    <x v="0"/>
    <n v="1"/>
    <x v="0"/>
  </r>
  <r>
    <s v="Match606"/>
    <x v="1"/>
    <n v="1"/>
    <x v="31"/>
  </r>
  <r>
    <s v="Match607"/>
    <x v="0"/>
    <n v="1"/>
    <x v="38"/>
  </r>
  <r>
    <s v="Match608"/>
    <x v="0"/>
    <n v="0"/>
    <x v="33"/>
  </r>
  <r>
    <s v="Match609"/>
    <x v="1"/>
    <n v="0"/>
    <x v="3"/>
  </r>
  <r>
    <s v="Match610"/>
    <x v="0"/>
    <n v="1"/>
    <x v="4"/>
  </r>
  <r>
    <s v="Match611"/>
    <x v="0"/>
    <n v="0"/>
    <x v="30"/>
  </r>
  <r>
    <s v="Match612"/>
    <x v="0"/>
    <n v="0"/>
    <x v="39"/>
  </r>
  <r>
    <s v="Match613"/>
    <x v="1"/>
    <n v="0"/>
    <x v="6"/>
  </r>
  <r>
    <s v="Match614"/>
    <x v="0"/>
    <n v="0"/>
    <x v="3"/>
  </r>
  <r>
    <s v="Match615"/>
    <x v="0"/>
    <n v="1"/>
    <x v="7"/>
  </r>
  <r>
    <s v="Match616"/>
    <x v="0"/>
    <n v="1"/>
    <x v="40"/>
  </r>
  <r>
    <s v="Match617"/>
    <x v="0"/>
    <n v="0"/>
    <x v="3"/>
  </r>
  <r>
    <s v="Match618"/>
    <x v="0"/>
    <n v="0"/>
    <x v="3"/>
  </r>
  <r>
    <s v="Match619"/>
    <x v="1"/>
    <n v="0"/>
    <x v="3"/>
  </r>
  <r>
    <s v="Match620"/>
    <x v="1"/>
    <n v="0"/>
    <x v="3"/>
  </r>
  <r>
    <s v="Match621"/>
    <x v="1"/>
    <n v="1"/>
    <x v="4"/>
  </r>
  <r>
    <s v="Match622"/>
    <x v="0"/>
    <n v="0"/>
    <x v="41"/>
  </r>
  <r>
    <s v="Match623"/>
    <x v="0"/>
    <n v="1"/>
    <x v="12"/>
  </r>
  <r>
    <s v="Match624"/>
    <x v="1"/>
    <n v="0"/>
    <x v="3"/>
  </r>
  <r>
    <s v="Match625"/>
    <x v="1"/>
    <n v="0"/>
    <x v="3"/>
  </r>
  <r>
    <s v="Match626"/>
    <x v="1"/>
    <n v="0"/>
    <x v="3"/>
  </r>
  <r>
    <s v="Match627"/>
    <x v="0"/>
    <n v="0"/>
    <x v="3"/>
  </r>
  <r>
    <s v="Match628"/>
    <x v="1"/>
    <n v="0"/>
    <x v="3"/>
  </r>
  <r>
    <s v="Match629"/>
    <x v="0"/>
    <n v="1"/>
    <x v="12"/>
  </r>
  <r>
    <s v="Match630"/>
    <x v="0"/>
    <n v="0"/>
    <x v="8"/>
  </r>
  <r>
    <s v="Match631"/>
    <x v="0"/>
    <n v="0"/>
    <x v="8"/>
  </r>
  <r>
    <s v="Match632"/>
    <x v="1"/>
    <n v="1"/>
    <x v="2"/>
  </r>
  <r>
    <s v="Match633"/>
    <x v="0"/>
    <n v="1"/>
    <x v="13"/>
  </r>
  <r>
    <s v="Match634"/>
    <x v="0"/>
    <n v="0"/>
    <x v="8"/>
  </r>
  <r>
    <s v="Match635"/>
    <x v="1"/>
    <n v="0"/>
    <x v="8"/>
  </r>
  <r>
    <s v="Match636"/>
    <x v="0"/>
    <n v="1"/>
    <x v="13"/>
  </r>
  <r>
    <s v="Match637"/>
    <x v="0"/>
    <n v="0"/>
    <x v="8"/>
  </r>
  <r>
    <s v="Match638"/>
    <x v="0"/>
    <n v="1"/>
    <x v="0"/>
  </r>
  <r>
    <s v="Match639"/>
    <x v="1"/>
    <n v="1"/>
    <x v="31"/>
  </r>
  <r>
    <s v="Match640"/>
    <x v="1"/>
    <n v="1"/>
    <x v="0"/>
  </r>
  <r>
    <s v="Match641"/>
    <x v="0"/>
    <n v="1"/>
    <x v="38"/>
  </r>
  <r>
    <s v="Match642"/>
    <x v="0"/>
    <n v="1"/>
    <x v="1"/>
  </r>
  <r>
    <s v="Match643"/>
    <x v="0"/>
    <n v="0"/>
    <x v="3"/>
  </r>
  <r>
    <s v="Match644"/>
    <x v="0"/>
    <n v="0"/>
    <x v="3"/>
  </r>
  <r>
    <s v="Match645"/>
    <x v="0"/>
    <n v="0"/>
    <x v="3"/>
  </r>
  <r>
    <s v="Match646"/>
    <x v="0"/>
    <n v="0"/>
    <x v="3"/>
  </r>
  <r>
    <s v="Match647"/>
    <x v="0"/>
    <n v="0"/>
    <x v="3"/>
  </r>
  <r>
    <s v="Match648"/>
    <x v="1"/>
    <n v="1"/>
    <x v="12"/>
  </r>
  <r>
    <s v="Match649"/>
    <x v="1"/>
    <n v="1"/>
    <x v="4"/>
  </r>
  <r>
    <s v="Match650"/>
    <x v="0"/>
    <n v="1"/>
    <x v="4"/>
  </r>
  <r>
    <s v="Match651"/>
    <x v="0"/>
    <n v="1"/>
    <x v="4"/>
  </r>
  <r>
    <s v="Match652"/>
    <x v="0"/>
    <n v="0"/>
    <x v="34"/>
  </r>
  <r>
    <s v="Match653"/>
    <x v="0"/>
    <n v="1"/>
    <x v="4"/>
  </r>
  <r>
    <s v="Match654"/>
    <x v="1"/>
    <n v="0"/>
    <x v="3"/>
  </r>
  <r>
    <s v="Match655"/>
    <x v="1"/>
    <n v="0"/>
    <x v="3"/>
  </r>
  <r>
    <s v="Match656"/>
    <x v="0"/>
    <n v="1"/>
    <x v="4"/>
  </r>
  <r>
    <s v="Match657"/>
    <x v="0"/>
    <n v="0"/>
    <x v="21"/>
  </r>
  <r>
    <s v="Match658"/>
    <x v="0"/>
    <n v="1"/>
    <x v="12"/>
  </r>
  <r>
    <s v="Match659"/>
    <x v="1"/>
    <n v="0"/>
    <x v="3"/>
  </r>
  <r>
    <s v="Match660"/>
    <x v="0"/>
    <n v="0"/>
    <x v="3"/>
  </r>
  <r>
    <s v="Match661"/>
    <x v="1"/>
    <n v="0"/>
    <x v="3"/>
  </r>
  <r>
    <s v="Match662"/>
    <x v="1"/>
    <n v="1"/>
    <x v="4"/>
  </r>
  <r>
    <s v="Match663"/>
    <x v="0"/>
    <n v="1"/>
    <x v="13"/>
  </r>
  <r>
    <s v="Match664"/>
    <x v="1"/>
    <n v="1"/>
    <x v="10"/>
  </r>
  <r>
    <s v="Match665"/>
    <x v="0"/>
    <n v="0"/>
    <x v="17"/>
  </r>
  <r>
    <s v="Match666"/>
    <x v="0"/>
    <n v="1"/>
    <x v="0"/>
  </r>
  <r>
    <s v="Match667"/>
    <x v="0"/>
    <n v="1"/>
    <x v="0"/>
  </r>
  <r>
    <s v="Match668"/>
    <x v="1"/>
    <n v="1"/>
    <x v="0"/>
  </r>
  <r>
    <s v="Match669"/>
    <x v="1"/>
    <n v="1"/>
    <x v="0"/>
  </r>
  <r>
    <s v="Match670"/>
    <x v="0"/>
    <n v="1"/>
    <x v="0"/>
  </r>
  <r>
    <s v="Match671"/>
    <x v="0"/>
    <n v="1"/>
    <x v="0"/>
  </r>
  <r>
    <s v="Match672"/>
    <x v="1"/>
    <n v="1"/>
    <x v="0"/>
  </r>
  <r>
    <s v="Match673"/>
    <x v="0"/>
    <n v="1"/>
    <x v="0"/>
  </r>
  <r>
    <s v="Match674"/>
    <x v="0"/>
    <n v="1"/>
    <x v="0"/>
  </r>
  <r>
    <s v="Match675"/>
    <x v="1"/>
    <n v="0"/>
    <x v="8"/>
  </r>
  <r>
    <s v="Match676"/>
    <x v="1"/>
    <n v="0"/>
    <x v="8"/>
  </r>
  <r>
    <s v="Match677"/>
    <x v="1"/>
    <n v="0"/>
    <x v="8"/>
  </r>
  <r>
    <s v="Match678"/>
    <x v="0"/>
    <n v="0"/>
    <x v="8"/>
  </r>
  <r>
    <s v="Match679"/>
    <x v="0"/>
    <n v="0"/>
    <x v="8"/>
  </r>
  <r>
    <s v="Match680"/>
    <x v="0"/>
    <n v="1"/>
    <x v="2"/>
  </r>
  <r>
    <s v="Match681"/>
    <x v="1"/>
    <n v="1"/>
    <x v="4"/>
  </r>
  <r>
    <s v="Match682"/>
    <x v="0"/>
    <n v="1"/>
    <x v="12"/>
  </r>
  <r>
    <s v="Match683"/>
    <x v="0"/>
    <n v="1"/>
    <x v="4"/>
  </r>
  <r>
    <s v="Match684"/>
    <x v="0"/>
    <n v="0"/>
    <x v="21"/>
  </r>
  <r>
    <s v="Match685"/>
    <x v="0"/>
    <n v="1"/>
    <x v="4"/>
  </r>
  <r>
    <s v="Match686"/>
    <x v="0"/>
    <n v="1"/>
    <x v="13"/>
  </r>
  <r>
    <s v="Match687"/>
    <x v="0"/>
    <n v="1"/>
    <x v="13"/>
  </r>
  <r>
    <s v="Match688"/>
    <x v="0"/>
    <n v="1"/>
    <x v="13"/>
  </r>
  <r>
    <s v="Match689"/>
    <x v="1"/>
    <n v="1"/>
    <x v="13"/>
  </r>
  <r>
    <s v="Match690"/>
    <x v="1"/>
    <n v="1"/>
    <x v="12"/>
  </r>
  <r>
    <s v="Match691"/>
    <x v="0"/>
    <n v="0"/>
    <x v="8"/>
  </r>
  <r>
    <s v="Match692"/>
    <x v="0"/>
    <n v="0"/>
    <x v="8"/>
  </r>
  <r>
    <s v="Match693"/>
    <x v="0"/>
    <n v="0"/>
    <x v="8"/>
  </r>
  <r>
    <s v="Match694"/>
    <x v="1"/>
    <n v="0"/>
    <x v="8"/>
  </r>
  <r>
    <s v="Match695"/>
    <x v="1"/>
    <n v="0"/>
    <x v="8"/>
  </r>
  <r>
    <s v="Match696"/>
    <x v="0"/>
    <n v="0"/>
    <x v="8"/>
  </r>
  <r>
    <s v="Match697"/>
    <x v="0"/>
    <n v="0"/>
    <x v="8"/>
  </r>
  <r>
    <s v="Match698"/>
    <x v="0"/>
    <n v="0"/>
    <x v="8"/>
  </r>
  <r>
    <s v="Match699"/>
    <x v="1"/>
    <n v="0"/>
    <x v="8"/>
  </r>
  <r>
    <s v="Match700"/>
    <x v="0"/>
    <n v="0"/>
    <x v="8"/>
  </r>
  <r>
    <s v="Match701"/>
    <x v="1"/>
    <n v="0"/>
    <x v="8"/>
  </r>
  <r>
    <s v="Match702"/>
    <x v="0"/>
    <n v="1"/>
    <x v="0"/>
  </r>
  <r>
    <s v="Match703"/>
    <x v="0"/>
    <n v="1"/>
    <x v="0"/>
  </r>
  <r>
    <s v="Match704"/>
    <x v="0"/>
    <n v="1"/>
    <x v="0"/>
  </r>
  <r>
    <s v="Match705"/>
    <x v="1"/>
    <n v="1"/>
    <x v="0"/>
  </r>
  <r>
    <s v="Match706"/>
    <x v="1"/>
    <n v="1"/>
    <x v="1"/>
  </r>
  <r>
    <s v="Match707"/>
    <x v="1"/>
    <n v="1"/>
    <x v="4"/>
  </r>
  <r>
    <s v="Match708"/>
    <x v="0"/>
    <n v="1"/>
    <x v="12"/>
  </r>
  <r>
    <s v="Match709"/>
    <x v="0"/>
    <n v="1"/>
    <x v="13"/>
  </r>
  <r>
    <s v="Match710"/>
    <x v="0"/>
    <n v="0"/>
    <x v="3"/>
  </r>
  <r>
    <s v="Match711"/>
    <x v="0"/>
    <n v="1"/>
    <x v="4"/>
  </r>
  <r>
    <s v="Match712"/>
    <x v="0"/>
    <n v="1"/>
    <x v="4"/>
  </r>
  <r>
    <s v="Match713"/>
    <x v="0"/>
    <n v="1"/>
    <x v="4"/>
  </r>
  <r>
    <s v="Match714"/>
    <x v="0"/>
    <n v="0"/>
    <x v="3"/>
  </r>
  <r>
    <s v="Match715"/>
    <x v="0"/>
    <n v="0"/>
    <x v="3"/>
  </r>
  <r>
    <s v="Match716"/>
    <x v="0"/>
    <n v="1"/>
    <x v="4"/>
  </r>
  <r>
    <s v="Match717"/>
    <x v="0"/>
    <n v="0"/>
    <x v="3"/>
  </r>
  <r>
    <s v="Match718"/>
    <x v="0"/>
    <n v="0"/>
    <x v="3"/>
  </r>
  <r>
    <s v="Match719"/>
    <x v="1"/>
    <n v="1"/>
    <x v="4"/>
  </r>
  <r>
    <s v="Match720"/>
    <x v="0"/>
    <n v="0"/>
    <x v="21"/>
  </r>
  <r>
    <s v="Match721"/>
    <x v="0"/>
    <n v="1"/>
    <x v="4"/>
  </r>
  <r>
    <s v="Match722"/>
    <x v="0"/>
    <n v="0"/>
    <x v="3"/>
  </r>
  <r>
    <s v="Match723"/>
    <x v="0"/>
    <n v="0"/>
    <x v="3"/>
  </r>
  <r>
    <s v="Match724"/>
    <x v="1"/>
    <n v="0"/>
    <x v="3"/>
  </r>
  <r>
    <s v="Match725"/>
    <x v="0"/>
    <n v="0"/>
    <x v="3"/>
  </r>
  <r>
    <s v="Match726"/>
    <x v="0"/>
    <n v="0"/>
    <x v="21"/>
  </r>
  <r>
    <s v="Match727"/>
    <x v="0"/>
    <n v="1"/>
    <x v="4"/>
  </r>
  <r>
    <s v="Match728"/>
    <x v="0"/>
    <n v="0"/>
    <x v="3"/>
  </r>
  <r>
    <s v="Match729"/>
    <x v="0"/>
    <n v="0"/>
    <x v="3"/>
  </r>
  <r>
    <s v="Match730"/>
    <x v="0"/>
    <n v="1"/>
    <x v="4"/>
  </r>
  <r>
    <s v="Match731"/>
    <x v="0"/>
    <n v="0"/>
    <x v="8"/>
  </r>
  <r>
    <s v="Match732"/>
    <x v="1"/>
    <n v="0"/>
    <x v="8"/>
  </r>
  <r>
    <s v="Match733"/>
    <x v="0"/>
    <n v="0"/>
    <x v="8"/>
  </r>
  <r>
    <s v="Match734"/>
    <x v="1"/>
    <n v="0"/>
    <x v="8"/>
  </r>
  <r>
    <s v="Match735"/>
    <x v="1"/>
    <n v="0"/>
    <x v="8"/>
  </r>
  <r>
    <s v="Match736"/>
    <x v="0"/>
    <n v="0"/>
    <x v="8"/>
  </r>
  <r>
    <s v="Match737"/>
    <x v="0"/>
    <n v="0"/>
    <x v="8"/>
  </r>
  <r>
    <s v="Match738"/>
    <x v="1"/>
    <n v="0"/>
    <x v="8"/>
  </r>
  <r>
    <s v="Match739"/>
    <x v="1"/>
    <n v="1"/>
    <x v="2"/>
  </r>
  <r>
    <s v="Match740"/>
    <x v="1"/>
    <n v="1"/>
    <x v="0"/>
  </r>
  <r>
    <s v="Match741"/>
    <x v="1"/>
    <n v="1"/>
    <x v="1"/>
  </r>
  <r>
    <s v="Match742"/>
    <x v="0"/>
    <n v="0"/>
    <x v="33"/>
  </r>
  <r>
    <s v="Match743"/>
    <x v="0"/>
    <n v="0"/>
    <x v="5"/>
  </r>
  <r>
    <s v="Match744"/>
    <x v="1"/>
    <n v="0"/>
    <x v="5"/>
  </r>
  <r>
    <s v="Match745"/>
    <x v="0"/>
    <n v="0"/>
    <x v="3"/>
  </r>
  <r>
    <s v="Match746"/>
    <x v="0"/>
    <n v="0"/>
    <x v="5"/>
  </r>
  <r>
    <s v="Match747"/>
    <x v="0"/>
    <n v="0"/>
    <x v="39"/>
  </r>
  <r>
    <s v="Match748"/>
    <x v="0"/>
    <n v="0"/>
    <x v="6"/>
  </r>
  <r>
    <s v="Match749"/>
    <x v="1"/>
    <n v="0"/>
    <x v="3"/>
  </r>
  <r>
    <s v="Match750"/>
    <x v="1"/>
    <n v="1"/>
    <x v="7"/>
  </r>
  <r>
    <s v="Match751"/>
    <x v="0"/>
    <n v="0"/>
    <x v="21"/>
  </r>
  <r>
    <s v="Match752"/>
    <x v="0"/>
    <n v="0"/>
    <x v="5"/>
  </r>
  <r>
    <s v="Match753"/>
    <x v="0"/>
    <n v="1"/>
    <x v="10"/>
  </r>
  <r>
    <s v="Match754"/>
    <x v="1"/>
    <n v="1"/>
    <x v="4"/>
  </r>
  <r>
    <s v="Match755"/>
    <x v="0"/>
    <n v="1"/>
    <x v="7"/>
  </r>
  <r>
    <s v="Match756"/>
    <x v="0"/>
    <n v="1"/>
    <x v="13"/>
  </r>
  <r>
    <s v="Match757"/>
    <x v="0"/>
    <n v="1"/>
    <x v="14"/>
  </r>
  <r>
    <s v="Match758"/>
    <x v="1"/>
    <n v="1"/>
    <x v="12"/>
  </r>
  <r>
    <s v="Match759"/>
    <x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ED585-6B35-4134-987C-D44DD2773714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6:I27" firstHeaderRow="1" firstDataRow="1" firstDataCol="1"/>
  <pivotFields count="4">
    <pivotField numFmtId="2" showAll="0"/>
    <pivotField axis="axisRow" dataField="1" numFmtId="1" showAll="0">
      <items count="11">
        <item x="0"/>
        <item x="9"/>
        <item x="3"/>
        <item x="6"/>
        <item x="2"/>
        <item x="5"/>
        <item x="8"/>
        <item x="1"/>
        <item x="7"/>
        <item x="4"/>
        <item t="default"/>
      </items>
    </pivotField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raining_bins" fld="1" subtotal="count" baseField="1" baseItem="2"/>
  </dataFields>
  <formats count="1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B7005-DCF6-4A47-8755-FD55EC9161A8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16:K27" firstHeaderRow="1" firstDataRow="1" firstDataCol="1"/>
  <pivotFields count="4">
    <pivotField numFmtId="2" showAll="0"/>
    <pivotField numFmtId="1" showAll="0"/>
    <pivotField showAll="0"/>
    <pivotField axis="axisRow" dataField="1" showAll="0">
      <items count="12">
        <item x="8"/>
        <item x="2"/>
        <item x="3"/>
        <item x="9"/>
        <item x="4"/>
        <item x="5"/>
        <item x="7"/>
        <item x="1"/>
        <item x="6"/>
        <item x="0"/>
        <item h="1" x="10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esting_bins" fld="3" subtotal="count" baseField="3" baseItem="0"/>
  </dataFields>
  <formats count="1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field="3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20223-DE2D-431E-BE45-BD2658DA4F7A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J6" firstHeaderRow="0" firstDataRow="1" firstDataCol="1"/>
  <pivotFields count="4">
    <pivotField dataField="1" showAll="0"/>
    <pivotField axis="axisRow" showAll="0">
      <items count="3">
        <item x="0"/>
        <item x="1"/>
        <item t="default"/>
      </items>
    </pivotField>
    <pivotField showAll="0"/>
    <pivotField dataField="1" numFmtId="2" showAll="0" sortType="descending">
      <items count="43">
        <item x="38"/>
        <item x="15"/>
        <item x="36"/>
        <item x="12"/>
        <item x="1"/>
        <item x="10"/>
        <item x="11"/>
        <item x="29"/>
        <item x="19"/>
        <item x="2"/>
        <item x="26"/>
        <item x="4"/>
        <item x="35"/>
        <item x="7"/>
        <item x="31"/>
        <item x="40"/>
        <item x="13"/>
        <item x="24"/>
        <item x="37"/>
        <item x="14"/>
        <item x="32"/>
        <item x="0"/>
        <item x="28"/>
        <item x="8"/>
        <item x="3"/>
        <item x="39"/>
        <item x="5"/>
        <item x="6"/>
        <item x="27"/>
        <item x="18"/>
        <item x="16"/>
        <item x="22"/>
        <item x="33"/>
        <item x="9"/>
        <item x="25"/>
        <item x="34"/>
        <item x="41"/>
        <item x="20"/>
        <item x="17"/>
        <item x="23"/>
        <item x="21"/>
        <item x="3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Probablity" fld="3" subtotal="max" baseField="1" baseItem="0" numFmtId="2"/>
    <dataField name="Count of Match_ID" fld="0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A457-113F-40E0-BF7D-D3AD0899A7B4}">
  <dimension ref="A1:H920"/>
  <sheetViews>
    <sheetView zoomScale="150" zoomScaleNormal="150" workbookViewId="0">
      <selection activeCell="F6" sqref="F6"/>
    </sheetView>
  </sheetViews>
  <sheetFormatPr defaultRowHeight="14.4" x14ac:dyDescent="0.3"/>
  <cols>
    <col min="1" max="1" width="8.77734375" bestFit="1" customWidth="1"/>
    <col min="2" max="2" width="4.77734375" bestFit="1" customWidth="1"/>
    <col min="3" max="3" width="4.109375" bestFit="1" customWidth="1"/>
    <col min="4" max="4" width="16.5546875" bestFit="1" customWidth="1"/>
    <col min="5" max="5" width="7.77734375" bestFit="1" customWidth="1"/>
    <col min="6" max="6" width="9.21875" bestFit="1" customWidth="1"/>
    <col min="7" max="7" width="7.21875" bestFit="1" customWidth="1"/>
    <col min="8" max="8" width="6.44140625" bestFit="1" customWidth="1"/>
  </cols>
  <sheetData>
    <row r="1" spans="1:8" x14ac:dyDescent="0.3">
      <c r="A1" s="44" t="s">
        <v>2</v>
      </c>
      <c r="B1" s="44"/>
      <c r="C1" s="44"/>
      <c r="D1" s="44"/>
      <c r="E1" s="44"/>
      <c r="F1" s="44"/>
      <c r="G1" s="44"/>
      <c r="H1" s="44"/>
    </row>
    <row r="2" spans="1:8" x14ac:dyDescent="0.3">
      <c r="A2" s="35" t="s">
        <v>3</v>
      </c>
      <c r="B2" s="36" t="s">
        <v>4</v>
      </c>
      <c r="C2" s="36" t="s">
        <v>5</v>
      </c>
      <c r="D2" s="36" t="s">
        <v>6</v>
      </c>
      <c r="E2" s="37">
        <v>46119</v>
      </c>
      <c r="F2" s="36">
        <v>83.3</v>
      </c>
      <c r="G2" s="36">
        <v>0</v>
      </c>
      <c r="H2" s="36">
        <v>0</v>
      </c>
    </row>
    <row r="3" spans="1:8" x14ac:dyDescent="0.3">
      <c r="A3" s="35" t="s">
        <v>7</v>
      </c>
      <c r="B3" s="36" t="s">
        <v>8</v>
      </c>
      <c r="C3" s="36" t="s">
        <v>5</v>
      </c>
      <c r="D3" s="36" t="s">
        <v>9</v>
      </c>
      <c r="E3" s="37">
        <v>46116</v>
      </c>
      <c r="F3" s="36">
        <v>134.6</v>
      </c>
      <c r="G3" s="36">
        <v>5</v>
      </c>
      <c r="H3" s="36">
        <v>1</v>
      </c>
    </row>
    <row r="4" spans="1:8" x14ac:dyDescent="0.3">
      <c r="A4" s="35" t="s">
        <v>10</v>
      </c>
      <c r="B4" s="36" t="s">
        <v>11</v>
      </c>
      <c r="C4" s="36" t="s">
        <v>5</v>
      </c>
      <c r="D4" s="36" t="s">
        <v>12</v>
      </c>
      <c r="E4" s="37">
        <v>46110</v>
      </c>
      <c r="F4" s="36">
        <v>205.2</v>
      </c>
      <c r="G4" s="36">
        <v>6</v>
      </c>
      <c r="H4" s="36">
        <v>6</v>
      </c>
    </row>
    <row r="5" spans="1:8" x14ac:dyDescent="0.3">
      <c r="A5" s="44" t="s">
        <v>13</v>
      </c>
      <c r="B5" s="44"/>
      <c r="C5" s="44"/>
      <c r="D5" s="44"/>
      <c r="E5" s="44"/>
      <c r="F5" s="44"/>
      <c r="G5" s="44"/>
      <c r="H5" s="44"/>
    </row>
    <row r="6" spans="1:8" x14ac:dyDescent="0.3">
      <c r="A6" s="35" t="s">
        <v>14</v>
      </c>
      <c r="B6" s="36" t="s">
        <v>15</v>
      </c>
      <c r="C6" s="36" t="s">
        <v>16</v>
      </c>
      <c r="D6" s="36" t="s">
        <v>17</v>
      </c>
      <c r="E6" s="37">
        <v>46040</v>
      </c>
      <c r="F6" s="36">
        <v>84.6</v>
      </c>
      <c r="G6" s="36">
        <v>2</v>
      </c>
      <c r="H6" s="36">
        <v>0</v>
      </c>
    </row>
    <row r="7" spans="1:8" x14ac:dyDescent="0.3">
      <c r="A7" s="35" t="s">
        <v>18</v>
      </c>
      <c r="B7" s="36" t="s">
        <v>15</v>
      </c>
      <c r="C7" s="36" t="s">
        <v>16</v>
      </c>
      <c r="D7" s="36" t="s">
        <v>19</v>
      </c>
      <c r="E7" s="37">
        <v>46036</v>
      </c>
      <c r="F7" s="36">
        <v>63.1</v>
      </c>
      <c r="G7" s="36">
        <v>4</v>
      </c>
      <c r="H7" s="36">
        <v>0</v>
      </c>
    </row>
    <row r="8" spans="1:8" x14ac:dyDescent="0.3">
      <c r="A8" s="35" t="s">
        <v>20</v>
      </c>
      <c r="B8" s="36" t="s">
        <v>15</v>
      </c>
      <c r="C8" s="36" t="s">
        <v>16</v>
      </c>
      <c r="D8" s="36" t="s">
        <v>21</v>
      </c>
      <c r="E8" s="37">
        <v>46033</v>
      </c>
      <c r="F8" s="36">
        <v>89.6</v>
      </c>
      <c r="G8" s="36">
        <v>3</v>
      </c>
      <c r="H8" s="36">
        <v>2</v>
      </c>
    </row>
    <row r="9" spans="1:8" x14ac:dyDescent="0.3">
      <c r="A9" s="44" t="s">
        <v>22</v>
      </c>
      <c r="B9" s="44"/>
      <c r="C9" s="44"/>
      <c r="D9" s="44"/>
      <c r="E9" s="44"/>
      <c r="F9" s="44"/>
      <c r="G9" s="44"/>
      <c r="H9" s="44"/>
    </row>
    <row r="10" spans="1:8" x14ac:dyDescent="0.3">
      <c r="A10" s="35" t="s">
        <v>23</v>
      </c>
      <c r="B10" s="36" t="s">
        <v>24</v>
      </c>
      <c r="C10" s="36" t="s">
        <v>16</v>
      </c>
      <c r="D10" s="36" t="s">
        <v>25</v>
      </c>
      <c r="E10" s="37">
        <v>45997</v>
      </c>
      <c r="F10" s="36">
        <v>102.7</v>
      </c>
      <c r="G10" s="36">
        <v>7</v>
      </c>
      <c r="H10" s="36">
        <v>3</v>
      </c>
    </row>
    <row r="11" spans="1:8" x14ac:dyDescent="0.3">
      <c r="A11" s="35" t="s">
        <v>26</v>
      </c>
      <c r="B11" s="36" t="s">
        <v>24</v>
      </c>
      <c r="C11" s="36" t="s">
        <v>16</v>
      </c>
      <c r="D11" s="36" t="s">
        <v>27</v>
      </c>
      <c r="E11" s="37">
        <v>45994</v>
      </c>
      <c r="F11" s="36">
        <v>175</v>
      </c>
      <c r="G11" s="36">
        <v>3</v>
      </c>
      <c r="H11" s="36">
        <v>0</v>
      </c>
    </row>
    <row r="12" spans="1:8" x14ac:dyDescent="0.3">
      <c r="A12" s="35" t="s">
        <v>28</v>
      </c>
      <c r="B12" s="36" t="s">
        <v>24</v>
      </c>
      <c r="C12" s="36" t="s">
        <v>16</v>
      </c>
      <c r="D12" s="36" t="s">
        <v>29</v>
      </c>
      <c r="E12" s="37">
        <v>45991</v>
      </c>
      <c r="F12" s="36">
        <v>111.7</v>
      </c>
      <c r="G12" s="36">
        <v>5</v>
      </c>
      <c r="H12" s="36">
        <v>3</v>
      </c>
    </row>
    <row r="13" spans="1:8" x14ac:dyDescent="0.3">
      <c r="A13" s="44" t="s">
        <v>30</v>
      </c>
      <c r="B13" s="44"/>
      <c r="C13" s="44"/>
      <c r="D13" s="44"/>
      <c r="E13" s="44"/>
      <c r="F13" s="44"/>
      <c r="G13" s="44"/>
      <c r="H13" s="44"/>
    </row>
    <row r="14" spans="1:8" x14ac:dyDescent="0.3">
      <c r="A14" s="35" t="s">
        <v>31</v>
      </c>
      <c r="B14" s="36" t="s">
        <v>32</v>
      </c>
      <c r="C14" s="36" t="s">
        <v>16</v>
      </c>
      <c r="D14" s="36" t="s">
        <v>33</v>
      </c>
      <c r="E14" s="37">
        <v>45955</v>
      </c>
      <c r="F14" s="36">
        <v>96.8</v>
      </c>
      <c r="G14" s="36">
        <v>13</v>
      </c>
      <c r="H14" s="36">
        <v>3</v>
      </c>
    </row>
    <row r="15" spans="1:8" x14ac:dyDescent="0.3">
      <c r="A15" s="35" t="s">
        <v>34</v>
      </c>
      <c r="B15" s="36" t="s">
        <v>32</v>
      </c>
      <c r="C15" s="36" t="s">
        <v>16</v>
      </c>
      <c r="D15" s="36" t="s">
        <v>35</v>
      </c>
      <c r="E15" s="37">
        <v>45953</v>
      </c>
      <c r="F15" s="36">
        <v>75.2</v>
      </c>
      <c r="G15" s="36">
        <v>7</v>
      </c>
      <c r="H15" s="36">
        <v>2</v>
      </c>
    </row>
    <row r="16" spans="1:8" x14ac:dyDescent="0.3">
      <c r="A16" s="35" t="s">
        <v>36</v>
      </c>
      <c r="B16" s="36" t="s">
        <v>32</v>
      </c>
      <c r="C16" s="36" t="s">
        <v>16</v>
      </c>
      <c r="D16" s="36" t="s">
        <v>37</v>
      </c>
      <c r="E16" s="37">
        <v>45949</v>
      </c>
      <c r="F16" s="36">
        <v>57.1</v>
      </c>
      <c r="G16" s="36">
        <v>1</v>
      </c>
      <c r="H16" s="36">
        <v>0</v>
      </c>
    </row>
    <row r="17" spans="1:8" x14ac:dyDescent="0.3">
      <c r="A17" s="44" t="s">
        <v>38</v>
      </c>
      <c r="B17" s="44"/>
      <c r="C17" s="44"/>
      <c r="D17" s="44"/>
      <c r="E17" s="44"/>
      <c r="F17" s="44"/>
      <c r="G17" s="44"/>
      <c r="H17" s="44"/>
    </row>
    <row r="18" spans="1:8" x14ac:dyDescent="0.3">
      <c r="A18" s="35" t="s">
        <v>39</v>
      </c>
      <c r="B18" s="36" t="s">
        <v>40</v>
      </c>
      <c r="C18" s="36" t="s">
        <v>5</v>
      </c>
      <c r="D18" s="36" t="s">
        <v>41</v>
      </c>
      <c r="E18" s="37">
        <v>45809</v>
      </c>
      <c r="F18" s="36">
        <v>114.2</v>
      </c>
      <c r="G18" s="36">
        <v>1</v>
      </c>
      <c r="H18" s="36">
        <v>0</v>
      </c>
    </row>
    <row r="19" spans="1:8" x14ac:dyDescent="0.3">
      <c r="A19" s="35" t="s">
        <v>42</v>
      </c>
      <c r="B19" s="36" t="s">
        <v>43</v>
      </c>
      <c r="C19" s="36" t="s">
        <v>5</v>
      </c>
      <c r="D19" s="36" t="s">
        <v>44</v>
      </c>
      <c r="E19" s="37">
        <v>45807</v>
      </c>
      <c r="F19" s="36">
        <v>162</v>
      </c>
      <c r="G19" s="36">
        <v>9</v>
      </c>
      <c r="H19" s="36">
        <v>4</v>
      </c>
    </row>
    <row r="20" spans="1:8" x14ac:dyDescent="0.3">
      <c r="A20" s="35" t="s">
        <v>45</v>
      </c>
      <c r="B20" s="36" t="s">
        <v>40</v>
      </c>
      <c r="C20" s="36" t="s">
        <v>5</v>
      </c>
      <c r="D20" s="36" t="s">
        <v>46</v>
      </c>
      <c r="E20" s="37">
        <v>45803</v>
      </c>
      <c r="F20" s="36">
        <v>114.2</v>
      </c>
      <c r="G20" s="36">
        <v>2</v>
      </c>
      <c r="H20" s="36">
        <v>1</v>
      </c>
    </row>
    <row r="21" spans="1:8" x14ac:dyDescent="0.3">
      <c r="A21" s="35" t="s">
        <v>47</v>
      </c>
      <c r="B21" s="36" t="s">
        <v>8</v>
      </c>
      <c r="C21" s="36" t="s">
        <v>5</v>
      </c>
      <c r="D21" s="36" t="s">
        <v>12</v>
      </c>
      <c r="E21" s="37">
        <v>45798</v>
      </c>
      <c r="F21" s="36">
        <v>100</v>
      </c>
      <c r="G21" s="36">
        <v>1</v>
      </c>
      <c r="H21" s="36">
        <v>0</v>
      </c>
    </row>
    <row r="22" spans="1:8" x14ac:dyDescent="0.3">
      <c r="A22" s="35" t="s">
        <v>48</v>
      </c>
      <c r="B22" s="36" t="s">
        <v>43</v>
      </c>
      <c r="C22" s="36" t="s">
        <v>5</v>
      </c>
      <c r="D22" s="36" t="s">
        <v>12</v>
      </c>
      <c r="E22" s="37">
        <v>45783</v>
      </c>
      <c r="F22" s="36">
        <v>87.5</v>
      </c>
      <c r="G22" s="36">
        <v>1</v>
      </c>
      <c r="H22" s="36">
        <v>0</v>
      </c>
    </row>
    <row r="23" spans="1:8" x14ac:dyDescent="0.3">
      <c r="A23" s="35" t="s">
        <v>49</v>
      </c>
      <c r="B23" s="36" t="s">
        <v>4</v>
      </c>
      <c r="C23" s="36" t="s">
        <v>5</v>
      </c>
      <c r="D23" s="36" t="s">
        <v>46</v>
      </c>
      <c r="E23" s="37">
        <v>45778</v>
      </c>
      <c r="F23" s="36">
        <v>147.19999999999999</v>
      </c>
      <c r="G23" s="36">
        <v>9</v>
      </c>
      <c r="H23" s="36">
        <v>0</v>
      </c>
    </row>
    <row r="24" spans="1:8" x14ac:dyDescent="0.3">
      <c r="A24" s="35" t="s">
        <v>50</v>
      </c>
      <c r="B24" s="36" t="s">
        <v>51</v>
      </c>
      <c r="C24" s="36" t="s">
        <v>5</v>
      </c>
      <c r="D24" s="36" t="s">
        <v>12</v>
      </c>
      <c r="E24" s="37">
        <v>45774</v>
      </c>
      <c r="F24" s="36">
        <v>240</v>
      </c>
      <c r="G24" s="36">
        <v>0</v>
      </c>
      <c r="H24" s="36">
        <v>2</v>
      </c>
    </row>
    <row r="25" spans="1:8" x14ac:dyDescent="0.3">
      <c r="A25" s="35" t="s">
        <v>52</v>
      </c>
      <c r="B25" s="36" t="s">
        <v>53</v>
      </c>
      <c r="C25" s="36" t="s">
        <v>5</v>
      </c>
      <c r="D25" s="36" t="s">
        <v>54</v>
      </c>
      <c r="E25" s="37">
        <v>45770</v>
      </c>
      <c r="F25" s="36">
        <v>152.1</v>
      </c>
      <c r="G25" s="36">
        <v>8</v>
      </c>
      <c r="H25" s="36">
        <v>3</v>
      </c>
    </row>
    <row r="26" spans="1:8" x14ac:dyDescent="0.3">
      <c r="A26" s="35" t="s">
        <v>55</v>
      </c>
      <c r="B26" s="36" t="s">
        <v>56</v>
      </c>
      <c r="C26" s="36" t="s">
        <v>5</v>
      </c>
      <c r="D26" s="36" t="s">
        <v>12</v>
      </c>
      <c r="E26" s="37">
        <v>45767</v>
      </c>
      <c r="F26" s="36">
        <v>168.8</v>
      </c>
      <c r="G26" s="36">
        <v>4</v>
      </c>
      <c r="H26" s="36">
        <v>6</v>
      </c>
    </row>
    <row r="27" spans="1:8" x14ac:dyDescent="0.3">
      <c r="A27" s="35" t="s">
        <v>57</v>
      </c>
      <c r="B27" s="36" t="s">
        <v>53</v>
      </c>
      <c r="C27" s="36" t="s">
        <v>5</v>
      </c>
      <c r="D27" s="36" t="s">
        <v>12</v>
      </c>
      <c r="E27" s="37">
        <v>45764</v>
      </c>
      <c r="F27" s="36">
        <v>162.5</v>
      </c>
      <c r="G27" s="36">
        <v>0</v>
      </c>
      <c r="H27" s="36">
        <v>3</v>
      </c>
    </row>
    <row r="28" spans="1:8" x14ac:dyDescent="0.3">
      <c r="A28" s="35" t="s">
        <v>58</v>
      </c>
      <c r="B28" s="36" t="s">
        <v>8</v>
      </c>
      <c r="C28" s="36" t="s">
        <v>5</v>
      </c>
      <c r="D28" s="36" t="s">
        <v>9</v>
      </c>
      <c r="E28" s="37">
        <v>45760</v>
      </c>
      <c r="F28" s="36">
        <v>150</v>
      </c>
      <c r="G28" s="36">
        <v>2</v>
      </c>
      <c r="H28" s="36">
        <v>1</v>
      </c>
    </row>
    <row r="29" spans="1:8" x14ac:dyDescent="0.3">
      <c r="A29" s="35" t="s">
        <v>59</v>
      </c>
      <c r="B29" s="36" t="s">
        <v>60</v>
      </c>
      <c r="C29" s="36" t="s">
        <v>5</v>
      </c>
      <c r="D29" s="36" t="s">
        <v>12</v>
      </c>
      <c r="E29" s="37">
        <v>45754</v>
      </c>
      <c r="F29" s="36">
        <v>188.8</v>
      </c>
      <c r="G29" s="36">
        <v>2</v>
      </c>
      <c r="H29" s="36">
        <v>1</v>
      </c>
    </row>
    <row r="30" spans="1:8" x14ac:dyDescent="0.3">
      <c r="A30" s="35" t="s">
        <v>61</v>
      </c>
      <c r="B30" s="36" t="s">
        <v>11</v>
      </c>
      <c r="C30" s="36" t="s">
        <v>5</v>
      </c>
      <c r="D30" s="36" t="s">
        <v>12</v>
      </c>
      <c r="E30" s="37">
        <v>45747</v>
      </c>
      <c r="F30" s="36">
        <v>108.3</v>
      </c>
      <c r="G30" s="36">
        <v>0</v>
      </c>
      <c r="H30" s="36">
        <v>1</v>
      </c>
    </row>
    <row r="31" spans="1:8" x14ac:dyDescent="0.3">
      <c r="A31" s="35" t="s">
        <v>62</v>
      </c>
      <c r="B31" s="36" t="s">
        <v>43</v>
      </c>
      <c r="C31" s="36" t="s">
        <v>5</v>
      </c>
      <c r="D31" s="36" t="s">
        <v>41</v>
      </c>
      <c r="E31" s="37">
        <v>45745</v>
      </c>
      <c r="F31" s="36">
        <v>200</v>
      </c>
      <c r="G31" s="36">
        <v>2</v>
      </c>
      <c r="H31" s="36">
        <v>0</v>
      </c>
    </row>
    <row r="32" spans="1:8" x14ac:dyDescent="0.3">
      <c r="A32" s="35" t="s">
        <v>63</v>
      </c>
      <c r="B32" s="36" t="s">
        <v>56</v>
      </c>
      <c r="C32" s="36" t="s">
        <v>5</v>
      </c>
      <c r="D32" s="36" t="s">
        <v>64</v>
      </c>
      <c r="E32" s="37">
        <v>45739</v>
      </c>
      <c r="F32" s="36">
        <v>0</v>
      </c>
      <c r="G32" s="36">
        <v>0</v>
      </c>
      <c r="H32" s="36">
        <v>0</v>
      </c>
    </row>
    <row r="33" spans="1:8" x14ac:dyDescent="0.3">
      <c r="A33" s="44" t="s">
        <v>65</v>
      </c>
      <c r="B33" s="44"/>
      <c r="C33" s="44"/>
      <c r="D33" s="44"/>
      <c r="E33" s="44"/>
      <c r="F33" s="44"/>
      <c r="G33" s="44"/>
      <c r="H33" s="44"/>
    </row>
    <row r="34" spans="1:8" x14ac:dyDescent="0.3">
      <c r="A34" s="35" t="s">
        <v>66</v>
      </c>
      <c r="B34" s="36" t="s">
        <v>15</v>
      </c>
      <c r="C34" s="36" t="s">
        <v>16</v>
      </c>
      <c r="D34" s="36" t="s">
        <v>67</v>
      </c>
      <c r="E34" s="37">
        <v>45725</v>
      </c>
      <c r="F34" s="36">
        <v>91.5</v>
      </c>
      <c r="G34" s="36">
        <v>7</v>
      </c>
      <c r="H34" s="36">
        <v>3</v>
      </c>
    </row>
    <row r="35" spans="1:8" x14ac:dyDescent="0.3">
      <c r="A35" s="35" t="s">
        <v>68</v>
      </c>
      <c r="B35" s="36" t="s">
        <v>32</v>
      </c>
      <c r="C35" s="36" t="s">
        <v>16</v>
      </c>
      <c r="D35" s="36" t="s">
        <v>67</v>
      </c>
      <c r="E35" s="37">
        <v>45720</v>
      </c>
      <c r="F35" s="36">
        <v>96.5</v>
      </c>
      <c r="G35" s="36">
        <v>3</v>
      </c>
      <c r="H35" s="36">
        <v>1</v>
      </c>
    </row>
    <row r="36" spans="1:8" x14ac:dyDescent="0.3">
      <c r="A36" s="35" t="s">
        <v>69</v>
      </c>
      <c r="B36" s="36" t="s">
        <v>15</v>
      </c>
      <c r="C36" s="36" t="s">
        <v>16</v>
      </c>
      <c r="D36" s="36" t="s">
        <v>67</v>
      </c>
      <c r="E36" s="37">
        <v>45718</v>
      </c>
      <c r="F36" s="36">
        <v>88.2</v>
      </c>
      <c r="G36" s="36">
        <v>1</v>
      </c>
      <c r="H36" s="36">
        <v>1</v>
      </c>
    </row>
    <row r="37" spans="1:8" x14ac:dyDescent="0.3">
      <c r="A37" s="35" t="s">
        <v>70</v>
      </c>
      <c r="B37" s="36" t="s">
        <v>71</v>
      </c>
      <c r="C37" s="36" t="s">
        <v>16</v>
      </c>
      <c r="D37" s="36" t="s">
        <v>67</v>
      </c>
      <c r="E37" s="37">
        <v>45711</v>
      </c>
      <c r="F37" s="36">
        <v>133.30000000000001</v>
      </c>
      <c r="G37" s="36">
        <v>3</v>
      </c>
      <c r="H37" s="36">
        <v>1</v>
      </c>
    </row>
    <row r="38" spans="1:8" x14ac:dyDescent="0.3">
      <c r="A38" s="35" t="s">
        <v>72</v>
      </c>
      <c r="B38" s="36" t="s">
        <v>73</v>
      </c>
      <c r="C38" s="36" t="s">
        <v>16</v>
      </c>
      <c r="D38" s="36" t="s">
        <v>67</v>
      </c>
      <c r="E38" s="37">
        <v>45708</v>
      </c>
      <c r="F38" s="36">
        <v>113.8</v>
      </c>
      <c r="G38" s="36">
        <v>7</v>
      </c>
      <c r="H38" s="36">
        <v>0</v>
      </c>
    </row>
    <row r="39" spans="1:8" x14ac:dyDescent="0.3">
      <c r="A39" s="44" t="s">
        <v>74</v>
      </c>
      <c r="B39" s="44"/>
      <c r="C39" s="44"/>
      <c r="D39" s="44"/>
      <c r="E39" s="44"/>
      <c r="F39" s="44"/>
      <c r="G39" s="44"/>
      <c r="H39" s="44"/>
    </row>
    <row r="40" spans="1:8" x14ac:dyDescent="0.3">
      <c r="A40" s="35" t="s">
        <v>75</v>
      </c>
      <c r="B40" s="36" t="s">
        <v>76</v>
      </c>
      <c r="C40" s="36" t="s">
        <v>16</v>
      </c>
      <c r="D40" s="36" t="s">
        <v>41</v>
      </c>
      <c r="E40" s="37">
        <v>45700</v>
      </c>
      <c r="F40" s="36">
        <v>50</v>
      </c>
      <c r="G40" s="36">
        <v>0</v>
      </c>
      <c r="H40" s="36">
        <v>0</v>
      </c>
    </row>
    <row r="41" spans="1:8" x14ac:dyDescent="0.3">
      <c r="A41" s="35" t="s">
        <v>77</v>
      </c>
      <c r="B41" s="36" t="s">
        <v>76</v>
      </c>
      <c r="C41" s="36" t="s">
        <v>16</v>
      </c>
      <c r="D41" s="36" t="s">
        <v>78</v>
      </c>
      <c r="E41" s="37">
        <v>45697</v>
      </c>
      <c r="F41" s="36">
        <v>132.19999999999999</v>
      </c>
      <c r="G41" s="36">
        <v>12</v>
      </c>
      <c r="H41" s="36">
        <v>7</v>
      </c>
    </row>
    <row r="42" spans="1:8" x14ac:dyDescent="0.3">
      <c r="A42" s="35" t="s">
        <v>79</v>
      </c>
      <c r="B42" s="36" t="s">
        <v>76</v>
      </c>
      <c r="C42" s="36" t="s">
        <v>16</v>
      </c>
      <c r="D42" s="36" t="s">
        <v>80</v>
      </c>
      <c r="E42" s="37">
        <v>45694</v>
      </c>
      <c r="F42" s="36">
        <v>28.5</v>
      </c>
      <c r="G42" s="36">
        <v>0</v>
      </c>
      <c r="H42" s="36">
        <v>0</v>
      </c>
    </row>
    <row r="43" spans="1:8" x14ac:dyDescent="0.3">
      <c r="A43" s="44" t="s">
        <v>81</v>
      </c>
      <c r="B43" s="44"/>
      <c r="C43" s="44"/>
      <c r="D43" s="44"/>
      <c r="E43" s="44"/>
      <c r="F43" s="44"/>
      <c r="G43" s="44"/>
      <c r="H43" s="44"/>
    </row>
    <row r="44" spans="1:8" x14ac:dyDescent="0.3">
      <c r="A44" s="35" t="s">
        <v>82</v>
      </c>
      <c r="B44" s="36" t="s">
        <v>32</v>
      </c>
      <c r="C44" s="36" t="s">
        <v>83</v>
      </c>
      <c r="D44" s="36" t="s">
        <v>84</v>
      </c>
      <c r="E44" s="37">
        <v>45652</v>
      </c>
      <c r="F44" s="36" t="s">
        <v>85</v>
      </c>
      <c r="G44" s="36" t="s">
        <v>86</v>
      </c>
      <c r="H44" s="36" t="s">
        <v>86</v>
      </c>
    </row>
    <row r="45" spans="1:8" x14ac:dyDescent="0.3">
      <c r="A45" s="35" t="s">
        <v>87</v>
      </c>
      <c r="B45" s="36" t="s">
        <v>32</v>
      </c>
      <c r="C45" s="36" t="s">
        <v>83</v>
      </c>
      <c r="D45" s="36" t="s">
        <v>88</v>
      </c>
      <c r="E45" s="37">
        <v>45640</v>
      </c>
      <c r="F45" s="36" t="s">
        <v>89</v>
      </c>
      <c r="G45" s="36" t="s">
        <v>90</v>
      </c>
      <c r="H45" s="36" t="s">
        <v>91</v>
      </c>
    </row>
    <row r="46" spans="1:8" x14ac:dyDescent="0.3">
      <c r="A46" s="35" t="s">
        <v>92</v>
      </c>
      <c r="B46" s="36" t="s">
        <v>32</v>
      </c>
      <c r="C46" s="36" t="s">
        <v>83</v>
      </c>
      <c r="D46" s="36" t="s">
        <v>35</v>
      </c>
      <c r="E46" s="37">
        <v>45632</v>
      </c>
      <c r="F46" s="36" t="s">
        <v>93</v>
      </c>
      <c r="G46" s="36" t="s">
        <v>94</v>
      </c>
      <c r="H46" s="36" t="s">
        <v>86</v>
      </c>
    </row>
    <row r="47" spans="1:8" x14ac:dyDescent="0.3">
      <c r="A47" s="44" t="s">
        <v>95</v>
      </c>
      <c r="B47" s="44"/>
      <c r="C47" s="44"/>
      <c r="D47" s="44"/>
      <c r="E47" s="44"/>
      <c r="F47" s="44"/>
      <c r="G47" s="44"/>
      <c r="H47" s="44"/>
    </row>
    <row r="48" spans="1:8" x14ac:dyDescent="0.3">
      <c r="A48" s="35" t="s">
        <v>96</v>
      </c>
      <c r="B48" s="36" t="s">
        <v>15</v>
      </c>
      <c r="C48" s="36" t="s">
        <v>83</v>
      </c>
      <c r="D48" s="36" t="s">
        <v>12</v>
      </c>
      <c r="E48" s="37">
        <v>45597</v>
      </c>
      <c r="F48" s="36" t="s">
        <v>97</v>
      </c>
      <c r="G48" s="36" t="s">
        <v>98</v>
      </c>
      <c r="H48" s="36" t="s">
        <v>86</v>
      </c>
    </row>
    <row r="49" spans="1:8" x14ac:dyDescent="0.3">
      <c r="A49" s="35" t="s">
        <v>99</v>
      </c>
      <c r="B49" s="36" t="s">
        <v>15</v>
      </c>
      <c r="C49" s="36" t="s">
        <v>83</v>
      </c>
      <c r="D49" s="36" t="s">
        <v>100</v>
      </c>
      <c r="E49" s="37">
        <v>45589</v>
      </c>
      <c r="F49" s="36" t="s">
        <v>101</v>
      </c>
      <c r="G49" s="36" t="s">
        <v>94</v>
      </c>
      <c r="H49" s="36" t="s">
        <v>86</v>
      </c>
    </row>
    <row r="50" spans="1:8" x14ac:dyDescent="0.3">
      <c r="A50" s="35" t="s">
        <v>102</v>
      </c>
      <c r="B50" s="36" t="s">
        <v>15</v>
      </c>
      <c r="C50" s="36" t="s">
        <v>83</v>
      </c>
      <c r="D50" s="36" t="s">
        <v>103</v>
      </c>
      <c r="E50" s="37">
        <v>45581</v>
      </c>
      <c r="F50" s="36" t="s">
        <v>104</v>
      </c>
      <c r="G50" s="36" t="s">
        <v>99</v>
      </c>
      <c r="H50" s="36" t="s">
        <v>94</v>
      </c>
    </row>
    <row r="51" spans="1:8" x14ac:dyDescent="0.3">
      <c r="A51" s="44" t="s">
        <v>105</v>
      </c>
      <c r="B51" s="44"/>
      <c r="C51" s="44"/>
      <c r="D51" s="44"/>
      <c r="E51" s="44"/>
      <c r="F51" s="44"/>
      <c r="G51" s="44"/>
      <c r="H51" s="44"/>
    </row>
    <row r="52" spans="1:8" x14ac:dyDescent="0.3">
      <c r="A52" s="35" t="s">
        <v>106</v>
      </c>
      <c r="B52" s="36" t="s">
        <v>73</v>
      </c>
      <c r="C52" s="36" t="s">
        <v>83</v>
      </c>
      <c r="D52" s="36" t="s">
        <v>107</v>
      </c>
      <c r="E52" s="37">
        <v>45562</v>
      </c>
      <c r="F52" s="36" t="s">
        <v>108</v>
      </c>
      <c r="G52" s="36" t="s">
        <v>109</v>
      </c>
      <c r="H52" s="36" t="s">
        <v>110</v>
      </c>
    </row>
    <row r="53" spans="1:8" x14ac:dyDescent="0.3">
      <c r="A53" s="35" t="s">
        <v>111</v>
      </c>
      <c r="B53" s="36" t="s">
        <v>73</v>
      </c>
      <c r="C53" s="36" t="s">
        <v>83</v>
      </c>
      <c r="D53" s="36" t="s">
        <v>64</v>
      </c>
      <c r="E53" s="37">
        <v>45554</v>
      </c>
      <c r="F53" s="36" t="s">
        <v>112</v>
      </c>
      <c r="G53" s="36" t="s">
        <v>109</v>
      </c>
      <c r="H53" s="36" t="s">
        <v>86</v>
      </c>
    </row>
    <row r="54" spans="1:8" x14ac:dyDescent="0.3">
      <c r="A54" s="44" t="s">
        <v>113</v>
      </c>
      <c r="B54" s="44"/>
      <c r="C54" s="44"/>
      <c r="D54" s="44"/>
      <c r="E54" s="44"/>
      <c r="F54" s="44"/>
      <c r="G54" s="44"/>
      <c r="H54" s="44"/>
    </row>
    <row r="55" spans="1:8" x14ac:dyDescent="0.3">
      <c r="A55" s="35" t="s">
        <v>114</v>
      </c>
      <c r="B55" s="36" t="s">
        <v>115</v>
      </c>
      <c r="C55" s="36" t="s">
        <v>16</v>
      </c>
      <c r="D55" s="36" t="s">
        <v>116</v>
      </c>
      <c r="E55" s="37">
        <v>45511</v>
      </c>
      <c r="F55" s="36">
        <v>175</v>
      </c>
      <c r="G55" s="36">
        <v>6</v>
      </c>
      <c r="H55" s="36">
        <v>1</v>
      </c>
    </row>
    <row r="56" spans="1:8" x14ac:dyDescent="0.3">
      <c r="A56" s="35" t="s">
        <v>117</v>
      </c>
      <c r="B56" s="36" t="s">
        <v>115</v>
      </c>
      <c r="C56" s="36" t="s">
        <v>16</v>
      </c>
      <c r="D56" s="36" t="s">
        <v>116</v>
      </c>
      <c r="E56" s="37">
        <v>45508</v>
      </c>
      <c r="F56" s="36">
        <v>145.4</v>
      </c>
      <c r="G56" s="36">
        <v>5</v>
      </c>
      <c r="H56" s="36">
        <v>4</v>
      </c>
    </row>
    <row r="57" spans="1:8" x14ac:dyDescent="0.3">
      <c r="A57" s="35" t="s">
        <v>118</v>
      </c>
      <c r="B57" s="36" t="s">
        <v>115</v>
      </c>
      <c r="C57" s="36" t="s">
        <v>16</v>
      </c>
      <c r="D57" s="36" t="s">
        <v>116</v>
      </c>
      <c r="E57" s="37">
        <v>45506</v>
      </c>
      <c r="F57" s="36">
        <v>123.4</v>
      </c>
      <c r="G57" s="36">
        <v>7</v>
      </c>
      <c r="H57" s="36">
        <v>3</v>
      </c>
    </row>
    <row r="58" spans="1:8" x14ac:dyDescent="0.3">
      <c r="A58" s="44" t="s">
        <v>119</v>
      </c>
      <c r="B58" s="44"/>
      <c r="C58" s="44"/>
      <c r="D58" s="44"/>
      <c r="E58" s="44"/>
      <c r="F58" s="44"/>
      <c r="G58" s="44"/>
      <c r="H58" s="44"/>
    </row>
    <row r="59" spans="1:8" x14ac:dyDescent="0.3">
      <c r="A59" s="35" t="s">
        <v>120</v>
      </c>
      <c r="B59" s="36" t="s">
        <v>24</v>
      </c>
      <c r="C59" s="36" t="s">
        <v>121</v>
      </c>
      <c r="D59" s="36" t="s">
        <v>122</v>
      </c>
      <c r="E59" s="37">
        <v>45472</v>
      </c>
      <c r="F59" s="36">
        <v>180</v>
      </c>
      <c r="G59" s="36">
        <v>2</v>
      </c>
      <c r="H59" s="36">
        <v>0</v>
      </c>
    </row>
    <row r="60" spans="1:8" x14ac:dyDescent="0.3">
      <c r="A60" s="35" t="s">
        <v>123</v>
      </c>
      <c r="B60" s="36" t="s">
        <v>76</v>
      </c>
      <c r="C60" s="36" t="s">
        <v>121</v>
      </c>
      <c r="D60" s="36" t="s">
        <v>124</v>
      </c>
      <c r="E60" s="37">
        <v>45470</v>
      </c>
      <c r="F60" s="36">
        <v>146.1</v>
      </c>
      <c r="G60" s="36">
        <v>6</v>
      </c>
      <c r="H60" s="36">
        <v>2</v>
      </c>
    </row>
    <row r="61" spans="1:8" x14ac:dyDescent="0.3">
      <c r="A61" s="35" t="s">
        <v>125</v>
      </c>
      <c r="B61" s="36" t="s">
        <v>32</v>
      </c>
      <c r="C61" s="36" t="s">
        <v>121</v>
      </c>
      <c r="D61" s="36" t="s">
        <v>126</v>
      </c>
      <c r="E61" s="37">
        <v>45467</v>
      </c>
      <c r="F61" s="36">
        <v>224.3</v>
      </c>
      <c r="G61" s="36">
        <v>7</v>
      </c>
      <c r="H61" s="36">
        <v>8</v>
      </c>
    </row>
    <row r="62" spans="1:8" x14ac:dyDescent="0.3">
      <c r="A62" s="35" t="s">
        <v>127</v>
      </c>
      <c r="B62" s="36" t="s">
        <v>73</v>
      </c>
      <c r="C62" s="36" t="s">
        <v>121</v>
      </c>
      <c r="D62" s="36" t="s">
        <v>128</v>
      </c>
      <c r="E62" s="37">
        <v>45465</v>
      </c>
      <c r="F62" s="36">
        <v>209</v>
      </c>
      <c r="G62" s="36">
        <v>3</v>
      </c>
      <c r="H62" s="36">
        <v>1</v>
      </c>
    </row>
    <row r="63" spans="1:8" x14ac:dyDescent="0.3">
      <c r="A63" s="35" t="s">
        <v>129</v>
      </c>
      <c r="B63" s="36" t="s">
        <v>130</v>
      </c>
      <c r="C63" s="36" t="s">
        <v>121</v>
      </c>
      <c r="D63" s="36" t="s">
        <v>122</v>
      </c>
      <c r="E63" s="37">
        <v>45463</v>
      </c>
      <c r="F63" s="36">
        <v>61.5</v>
      </c>
      <c r="G63" s="36">
        <v>1</v>
      </c>
      <c r="H63" s="36">
        <v>0</v>
      </c>
    </row>
    <row r="64" spans="1:8" x14ac:dyDescent="0.3">
      <c r="A64" s="35" t="s">
        <v>131</v>
      </c>
      <c r="B64" s="36" t="s">
        <v>132</v>
      </c>
      <c r="C64" s="36" t="s">
        <v>121</v>
      </c>
      <c r="D64" s="36" t="s">
        <v>133</v>
      </c>
      <c r="E64" s="37">
        <v>45455</v>
      </c>
      <c r="F64" s="36">
        <v>50</v>
      </c>
      <c r="G64" s="36">
        <v>0</v>
      </c>
      <c r="H64" s="36">
        <v>0</v>
      </c>
    </row>
    <row r="65" spans="1:8" x14ac:dyDescent="0.3">
      <c r="A65" s="35" t="s">
        <v>61</v>
      </c>
      <c r="B65" s="36" t="s">
        <v>71</v>
      </c>
      <c r="C65" s="36" t="s">
        <v>121</v>
      </c>
      <c r="D65" s="36" t="s">
        <v>133</v>
      </c>
      <c r="E65" s="37">
        <v>45452</v>
      </c>
      <c r="F65" s="36">
        <v>108.3</v>
      </c>
      <c r="G65" s="36">
        <v>1</v>
      </c>
      <c r="H65" s="36">
        <v>1</v>
      </c>
    </row>
    <row r="66" spans="1:8" x14ac:dyDescent="0.3">
      <c r="A66" s="35" t="s">
        <v>134</v>
      </c>
      <c r="B66" s="36" t="s">
        <v>135</v>
      </c>
      <c r="C66" s="36" t="s">
        <v>121</v>
      </c>
      <c r="D66" s="36" t="s">
        <v>133</v>
      </c>
      <c r="E66" s="37">
        <v>45448</v>
      </c>
      <c r="F66" s="36">
        <v>140.5</v>
      </c>
      <c r="G66" s="36">
        <v>4</v>
      </c>
      <c r="H66" s="36">
        <v>3</v>
      </c>
    </row>
    <row r="67" spans="1:8" x14ac:dyDescent="0.3">
      <c r="A67" s="44" t="s">
        <v>136</v>
      </c>
      <c r="B67" s="44"/>
      <c r="C67" s="44"/>
      <c r="D67" s="44"/>
      <c r="E67" s="44"/>
      <c r="F67" s="44"/>
      <c r="G67" s="44"/>
      <c r="H67" s="44"/>
    </row>
    <row r="68" spans="1:8" x14ac:dyDescent="0.3">
      <c r="A68" s="35" t="s">
        <v>137</v>
      </c>
      <c r="B68" s="36" t="s">
        <v>51</v>
      </c>
      <c r="C68" s="36" t="s">
        <v>5</v>
      </c>
      <c r="D68" s="36" t="s">
        <v>12</v>
      </c>
      <c r="E68" s="37">
        <v>45429</v>
      </c>
      <c r="F68" s="36">
        <v>178.9</v>
      </c>
      <c r="G68" s="36">
        <v>10</v>
      </c>
      <c r="H68" s="36">
        <v>3</v>
      </c>
    </row>
    <row r="69" spans="1:8" x14ac:dyDescent="0.3">
      <c r="A69" s="35" t="s">
        <v>138</v>
      </c>
      <c r="B69" s="36" t="s">
        <v>11</v>
      </c>
      <c r="C69" s="36" t="s">
        <v>5</v>
      </c>
      <c r="D69" s="36" t="s">
        <v>139</v>
      </c>
      <c r="E69" s="37">
        <v>45423</v>
      </c>
      <c r="F69" s="36">
        <v>79.099999999999994</v>
      </c>
      <c r="G69" s="36">
        <v>1</v>
      </c>
      <c r="H69" s="36">
        <v>1</v>
      </c>
    </row>
    <row r="70" spans="1:8" x14ac:dyDescent="0.3">
      <c r="A70" s="35" t="s">
        <v>140</v>
      </c>
      <c r="B70" s="36" t="s">
        <v>53</v>
      </c>
      <c r="C70" s="36" t="s">
        <v>5</v>
      </c>
      <c r="D70" s="36" t="s">
        <v>12</v>
      </c>
      <c r="E70" s="37">
        <v>45418</v>
      </c>
      <c r="F70" s="36">
        <v>80</v>
      </c>
      <c r="G70" s="36">
        <v>1</v>
      </c>
      <c r="H70" s="36">
        <v>0</v>
      </c>
    </row>
    <row r="71" spans="1:8" x14ac:dyDescent="0.3">
      <c r="A71" s="35" t="s">
        <v>141</v>
      </c>
      <c r="B71" s="36" t="s">
        <v>11</v>
      </c>
      <c r="C71" s="36" t="s">
        <v>5</v>
      </c>
      <c r="D71" s="36" t="s">
        <v>12</v>
      </c>
      <c r="E71" s="37">
        <v>45415</v>
      </c>
      <c r="F71" s="36">
        <v>91.6</v>
      </c>
      <c r="G71" s="36">
        <v>0</v>
      </c>
      <c r="H71" s="36">
        <v>1</v>
      </c>
    </row>
    <row r="72" spans="1:8" x14ac:dyDescent="0.3">
      <c r="A72" s="35" t="s">
        <v>140</v>
      </c>
      <c r="B72" s="36" t="s">
        <v>51</v>
      </c>
      <c r="C72" s="36" t="s">
        <v>5</v>
      </c>
      <c r="D72" s="36" t="s">
        <v>142</v>
      </c>
      <c r="E72" s="37">
        <v>45412</v>
      </c>
      <c r="F72" s="36">
        <v>80</v>
      </c>
      <c r="G72" s="36">
        <v>1</v>
      </c>
      <c r="H72" s="36">
        <v>0</v>
      </c>
    </row>
    <row r="73" spans="1:8" x14ac:dyDescent="0.3">
      <c r="A73" s="35" t="s">
        <v>143</v>
      </c>
      <c r="B73" s="36" t="s">
        <v>8</v>
      </c>
      <c r="C73" s="36" t="s">
        <v>5</v>
      </c>
      <c r="D73" s="36" t="s">
        <v>9</v>
      </c>
      <c r="E73" s="37">
        <v>45409</v>
      </c>
      <c r="F73" s="36">
        <v>100</v>
      </c>
      <c r="G73" s="36">
        <v>1</v>
      </c>
      <c r="H73" s="36">
        <v>0</v>
      </c>
    </row>
    <row r="74" spans="1:8" x14ac:dyDescent="0.3">
      <c r="A74" s="35" t="s">
        <v>144</v>
      </c>
      <c r="B74" s="36" t="s">
        <v>4</v>
      </c>
      <c r="C74" s="36" t="s">
        <v>5</v>
      </c>
      <c r="D74" s="36" t="s">
        <v>46</v>
      </c>
      <c r="E74" s="37">
        <v>45404</v>
      </c>
      <c r="F74" s="36">
        <v>120</v>
      </c>
      <c r="G74" s="36">
        <v>1</v>
      </c>
      <c r="H74" s="36">
        <v>0</v>
      </c>
    </row>
    <row r="75" spans="1:8" x14ac:dyDescent="0.3">
      <c r="A75" s="35" t="s">
        <v>145</v>
      </c>
      <c r="B75" s="36" t="s">
        <v>40</v>
      </c>
      <c r="C75" s="36" t="s">
        <v>5</v>
      </c>
      <c r="D75" s="36" t="s">
        <v>44</v>
      </c>
      <c r="E75" s="37">
        <v>45400</v>
      </c>
      <c r="F75" s="36">
        <v>144</v>
      </c>
      <c r="G75" s="36">
        <v>2</v>
      </c>
      <c r="H75" s="36">
        <v>3</v>
      </c>
    </row>
    <row r="76" spans="1:8" x14ac:dyDescent="0.3">
      <c r="A76" s="35" t="s">
        <v>146</v>
      </c>
      <c r="B76" s="36" t="s">
        <v>56</v>
      </c>
      <c r="C76" s="36" t="s">
        <v>5</v>
      </c>
      <c r="D76" s="36" t="s">
        <v>12</v>
      </c>
      <c r="E76" s="37">
        <v>45396</v>
      </c>
      <c r="F76" s="36">
        <v>166.6</v>
      </c>
      <c r="G76" s="36">
        <v>11</v>
      </c>
      <c r="H76" s="36">
        <v>5</v>
      </c>
    </row>
    <row r="77" spans="1:8" x14ac:dyDescent="0.3">
      <c r="A77" s="35" t="s">
        <v>147</v>
      </c>
      <c r="B77" s="36" t="s">
        <v>60</v>
      </c>
      <c r="C77" s="36" t="s">
        <v>5</v>
      </c>
      <c r="D77" s="36" t="s">
        <v>12</v>
      </c>
      <c r="E77" s="37">
        <v>45393</v>
      </c>
      <c r="F77" s="36">
        <v>158.30000000000001</v>
      </c>
      <c r="G77" s="36">
        <v>3</v>
      </c>
      <c r="H77" s="36">
        <v>3</v>
      </c>
    </row>
    <row r="78" spans="1:8" x14ac:dyDescent="0.3">
      <c r="A78" s="35" t="s">
        <v>148</v>
      </c>
      <c r="B78" s="36" t="s">
        <v>8</v>
      </c>
      <c r="C78" s="36" t="s">
        <v>5</v>
      </c>
      <c r="D78" s="36" t="s">
        <v>12</v>
      </c>
      <c r="E78" s="37">
        <v>45389</v>
      </c>
      <c r="F78" s="36">
        <v>181.4</v>
      </c>
      <c r="G78" s="36">
        <v>6</v>
      </c>
      <c r="H78" s="36">
        <v>3</v>
      </c>
    </row>
    <row r="79" spans="1:8" x14ac:dyDescent="0.3">
      <c r="A79" s="35" t="s">
        <v>149</v>
      </c>
      <c r="B79" s="36" t="s">
        <v>4</v>
      </c>
      <c r="C79" s="36" t="s">
        <v>5</v>
      </c>
      <c r="D79" s="36" t="s">
        <v>12</v>
      </c>
      <c r="E79" s="37">
        <v>45383</v>
      </c>
      <c r="F79" s="36">
        <v>0</v>
      </c>
      <c r="G79" s="36">
        <v>0</v>
      </c>
      <c r="H79" s="36">
        <v>0</v>
      </c>
    </row>
    <row r="80" spans="1:8" x14ac:dyDescent="0.3">
      <c r="A80" s="35" t="s">
        <v>150</v>
      </c>
      <c r="B80" s="36" t="s">
        <v>53</v>
      </c>
      <c r="C80" s="36" t="s">
        <v>5</v>
      </c>
      <c r="D80" s="36" t="s">
        <v>54</v>
      </c>
      <c r="E80" s="37">
        <v>45378</v>
      </c>
      <c r="F80" s="36">
        <v>216.6</v>
      </c>
      <c r="G80" s="36">
        <v>1</v>
      </c>
      <c r="H80" s="36">
        <v>3</v>
      </c>
    </row>
    <row r="81" spans="1:8" x14ac:dyDescent="0.3">
      <c r="A81" s="35" t="s">
        <v>151</v>
      </c>
      <c r="B81" s="36" t="s">
        <v>43</v>
      </c>
      <c r="C81" s="36" t="s">
        <v>5</v>
      </c>
      <c r="D81" s="36" t="s">
        <v>41</v>
      </c>
      <c r="E81" s="37">
        <v>45375</v>
      </c>
      <c r="F81" s="36">
        <v>148.19999999999999</v>
      </c>
      <c r="G81" s="36">
        <v>7</v>
      </c>
      <c r="H81" s="36">
        <v>1</v>
      </c>
    </row>
    <row r="82" spans="1:8" x14ac:dyDescent="0.3">
      <c r="A82" s="44" t="s">
        <v>152</v>
      </c>
      <c r="B82" s="44"/>
      <c r="C82" s="44"/>
      <c r="D82" s="44"/>
      <c r="E82" s="44"/>
      <c r="F82" s="44"/>
      <c r="G82" s="44"/>
      <c r="H82" s="44"/>
    </row>
    <row r="83" spans="1:8" x14ac:dyDescent="0.3">
      <c r="A83" s="35" t="s">
        <v>153</v>
      </c>
      <c r="B83" s="36" t="s">
        <v>76</v>
      </c>
      <c r="C83" s="36" t="s">
        <v>83</v>
      </c>
      <c r="D83" s="36" t="s">
        <v>154</v>
      </c>
      <c r="E83" s="37">
        <v>45358</v>
      </c>
      <c r="F83" s="36" t="s">
        <v>155</v>
      </c>
      <c r="G83" s="36" t="s">
        <v>156</v>
      </c>
      <c r="H83" s="36" t="s">
        <v>157</v>
      </c>
    </row>
    <row r="84" spans="1:8" x14ac:dyDescent="0.3">
      <c r="A84" s="35" t="s">
        <v>158</v>
      </c>
      <c r="B84" s="36" t="s">
        <v>76</v>
      </c>
      <c r="C84" s="36" t="s">
        <v>83</v>
      </c>
      <c r="D84" s="36" t="s">
        <v>29</v>
      </c>
      <c r="E84" s="37">
        <v>45345</v>
      </c>
      <c r="F84" s="36" t="s">
        <v>159</v>
      </c>
      <c r="G84" s="36" t="s">
        <v>160</v>
      </c>
      <c r="H84" s="36" t="s">
        <v>94</v>
      </c>
    </row>
    <row r="85" spans="1:8" x14ac:dyDescent="0.3">
      <c r="A85" s="35" t="s">
        <v>161</v>
      </c>
      <c r="B85" s="36" t="s">
        <v>76</v>
      </c>
      <c r="C85" s="36" t="s">
        <v>83</v>
      </c>
      <c r="D85" s="36" t="s">
        <v>19</v>
      </c>
      <c r="E85" s="37">
        <v>45337</v>
      </c>
      <c r="F85" s="36" t="s">
        <v>162</v>
      </c>
      <c r="G85" s="36" t="s">
        <v>163</v>
      </c>
      <c r="H85" s="36" t="s">
        <v>110</v>
      </c>
    </row>
    <row r="86" spans="1:8" x14ac:dyDescent="0.3">
      <c r="A86" s="35" t="s">
        <v>164</v>
      </c>
      <c r="B86" s="36" t="s">
        <v>76</v>
      </c>
      <c r="C86" s="36" t="s">
        <v>83</v>
      </c>
      <c r="D86" s="36" t="s">
        <v>25</v>
      </c>
      <c r="E86" s="37">
        <v>45324</v>
      </c>
      <c r="F86" s="36" t="s">
        <v>165</v>
      </c>
      <c r="G86" s="36" t="s">
        <v>166</v>
      </c>
      <c r="H86" s="36" t="s">
        <v>86</v>
      </c>
    </row>
    <row r="87" spans="1:8" x14ac:dyDescent="0.3">
      <c r="A87" s="35" t="s">
        <v>167</v>
      </c>
      <c r="B87" s="36" t="s">
        <v>76</v>
      </c>
      <c r="C87" s="36" t="s">
        <v>83</v>
      </c>
      <c r="D87" s="36" t="s">
        <v>54</v>
      </c>
      <c r="E87" s="37">
        <v>45316</v>
      </c>
      <c r="F87" s="36" t="s">
        <v>168</v>
      </c>
      <c r="G87" s="36" t="s">
        <v>169</v>
      </c>
      <c r="H87" s="36" t="s">
        <v>86</v>
      </c>
    </row>
    <row r="88" spans="1:8" x14ac:dyDescent="0.3">
      <c r="A88" s="44" t="s">
        <v>170</v>
      </c>
      <c r="B88" s="44"/>
      <c r="C88" s="44"/>
      <c r="D88" s="44"/>
      <c r="E88" s="44"/>
      <c r="F88" s="44"/>
      <c r="G88" s="44"/>
      <c r="H88" s="44"/>
    </row>
    <row r="89" spans="1:8" x14ac:dyDescent="0.3">
      <c r="A89" s="35" t="s">
        <v>171</v>
      </c>
      <c r="B89" s="36" t="s">
        <v>130</v>
      </c>
      <c r="C89" s="36" t="s">
        <v>121</v>
      </c>
      <c r="D89" s="36" t="s">
        <v>103</v>
      </c>
      <c r="E89" s="37">
        <v>45308</v>
      </c>
      <c r="F89" s="36">
        <v>175.3</v>
      </c>
      <c r="G89" s="36">
        <v>11</v>
      </c>
      <c r="H89" s="36">
        <v>8</v>
      </c>
    </row>
    <row r="90" spans="1:8" x14ac:dyDescent="0.3">
      <c r="A90" s="35" t="s">
        <v>149</v>
      </c>
      <c r="B90" s="36" t="s">
        <v>130</v>
      </c>
      <c r="C90" s="36" t="s">
        <v>121</v>
      </c>
      <c r="D90" s="36" t="s">
        <v>17</v>
      </c>
      <c r="E90" s="37">
        <v>45305</v>
      </c>
      <c r="F90" s="36">
        <v>0</v>
      </c>
      <c r="G90" s="36">
        <v>0</v>
      </c>
      <c r="H90" s="36">
        <v>0</v>
      </c>
    </row>
    <row r="91" spans="1:8" x14ac:dyDescent="0.3">
      <c r="A91" s="35" t="s">
        <v>172</v>
      </c>
      <c r="B91" s="36" t="s">
        <v>130</v>
      </c>
      <c r="C91" s="36" t="s">
        <v>121</v>
      </c>
      <c r="D91" s="36" t="s">
        <v>173</v>
      </c>
      <c r="E91" s="37">
        <v>45302</v>
      </c>
      <c r="F91" s="36">
        <v>0</v>
      </c>
      <c r="G91" s="36">
        <v>0</v>
      </c>
      <c r="H91" s="36">
        <v>0</v>
      </c>
    </row>
    <row r="92" spans="1:8" x14ac:dyDescent="0.3">
      <c r="A92" s="44" t="s">
        <v>174</v>
      </c>
      <c r="B92" s="44"/>
      <c r="C92" s="44"/>
      <c r="D92" s="44"/>
      <c r="E92" s="44"/>
      <c r="F92" s="44"/>
      <c r="G92" s="44"/>
      <c r="H92" s="44"/>
    </row>
    <row r="93" spans="1:8" x14ac:dyDescent="0.3">
      <c r="A93" s="35" t="s">
        <v>175</v>
      </c>
      <c r="B93" s="36" t="s">
        <v>24</v>
      </c>
      <c r="C93" s="36" t="s">
        <v>83</v>
      </c>
      <c r="D93" s="36" t="s">
        <v>176</v>
      </c>
      <c r="E93" s="37">
        <v>45294</v>
      </c>
      <c r="F93" s="36" t="s">
        <v>177</v>
      </c>
      <c r="G93" s="36" t="s">
        <v>178</v>
      </c>
      <c r="H93" s="36" t="s">
        <v>86</v>
      </c>
    </row>
    <row r="94" spans="1:8" x14ac:dyDescent="0.3">
      <c r="A94" s="35" t="s">
        <v>179</v>
      </c>
      <c r="B94" s="36" t="s">
        <v>24</v>
      </c>
      <c r="C94" s="36" t="s">
        <v>83</v>
      </c>
      <c r="D94" s="36" t="s">
        <v>180</v>
      </c>
      <c r="E94" s="37">
        <v>45286</v>
      </c>
      <c r="F94" s="36" t="s">
        <v>181</v>
      </c>
      <c r="G94" s="36" t="s">
        <v>182</v>
      </c>
      <c r="H94" s="36" t="s">
        <v>86</v>
      </c>
    </row>
    <row r="95" spans="1:8" x14ac:dyDescent="0.3">
      <c r="A95" s="44" t="s">
        <v>183</v>
      </c>
      <c r="B95" s="44"/>
      <c r="C95" s="44"/>
      <c r="D95" s="44"/>
      <c r="E95" s="44"/>
      <c r="F95" s="44"/>
      <c r="G95" s="44"/>
      <c r="H95" s="44"/>
    </row>
    <row r="96" spans="1:8" x14ac:dyDescent="0.3">
      <c r="A96" s="35" t="s">
        <v>184</v>
      </c>
      <c r="B96" s="36" t="s">
        <v>32</v>
      </c>
      <c r="C96" s="36" t="s">
        <v>16</v>
      </c>
      <c r="D96" s="36" t="s">
        <v>41</v>
      </c>
      <c r="E96" s="37">
        <v>45249</v>
      </c>
      <c r="F96" s="36">
        <v>151.6</v>
      </c>
      <c r="G96" s="36">
        <v>4</v>
      </c>
      <c r="H96" s="36">
        <v>3</v>
      </c>
    </row>
    <row r="97" spans="1:8" x14ac:dyDescent="0.3">
      <c r="A97" s="35" t="s">
        <v>185</v>
      </c>
      <c r="B97" s="36" t="s">
        <v>15</v>
      </c>
      <c r="C97" s="36" t="s">
        <v>16</v>
      </c>
      <c r="D97" s="36" t="s">
        <v>12</v>
      </c>
      <c r="E97" s="37">
        <v>45245</v>
      </c>
      <c r="F97" s="36">
        <v>162</v>
      </c>
      <c r="G97" s="36">
        <v>4</v>
      </c>
      <c r="H97" s="36">
        <v>4</v>
      </c>
    </row>
    <row r="98" spans="1:8" x14ac:dyDescent="0.3">
      <c r="A98" s="35" t="s">
        <v>186</v>
      </c>
      <c r="B98" s="36" t="s">
        <v>187</v>
      </c>
      <c r="C98" s="36" t="s">
        <v>16</v>
      </c>
      <c r="D98" s="36" t="s">
        <v>103</v>
      </c>
      <c r="E98" s="37">
        <v>45242</v>
      </c>
      <c r="F98" s="36">
        <v>112.9</v>
      </c>
      <c r="G98" s="36">
        <v>8</v>
      </c>
      <c r="H98" s="36">
        <v>2</v>
      </c>
    </row>
    <row r="99" spans="1:8" x14ac:dyDescent="0.3">
      <c r="A99" s="35" t="s">
        <v>188</v>
      </c>
      <c r="B99" s="36" t="s">
        <v>24</v>
      </c>
      <c r="C99" s="36" t="s">
        <v>16</v>
      </c>
      <c r="D99" s="36" t="s">
        <v>139</v>
      </c>
      <c r="E99" s="37">
        <v>45235</v>
      </c>
      <c r="F99" s="36">
        <v>166.6</v>
      </c>
      <c r="G99" s="36">
        <v>6</v>
      </c>
      <c r="H99" s="36">
        <v>2</v>
      </c>
    </row>
    <row r="100" spans="1:8" x14ac:dyDescent="0.3">
      <c r="A100" s="35" t="s">
        <v>189</v>
      </c>
      <c r="B100" s="36" t="s">
        <v>115</v>
      </c>
      <c r="C100" s="36" t="s">
        <v>16</v>
      </c>
      <c r="D100" s="36" t="s">
        <v>12</v>
      </c>
      <c r="E100" s="37">
        <v>45232</v>
      </c>
      <c r="F100" s="36">
        <v>200</v>
      </c>
      <c r="G100" s="36">
        <v>1</v>
      </c>
      <c r="H100" s="36">
        <v>0</v>
      </c>
    </row>
    <row r="101" spans="1:8" x14ac:dyDescent="0.3">
      <c r="A101" s="35" t="s">
        <v>190</v>
      </c>
      <c r="B101" s="36" t="s">
        <v>76</v>
      </c>
      <c r="C101" s="36" t="s">
        <v>16</v>
      </c>
      <c r="D101" s="36" t="s">
        <v>142</v>
      </c>
      <c r="E101" s="37">
        <v>45228</v>
      </c>
      <c r="F101" s="36">
        <v>86.1</v>
      </c>
      <c r="G101" s="36">
        <v>10</v>
      </c>
      <c r="H101" s="36">
        <v>3</v>
      </c>
    </row>
    <row r="102" spans="1:8" x14ac:dyDescent="0.3">
      <c r="A102" s="35" t="s">
        <v>191</v>
      </c>
      <c r="B102" s="36" t="s">
        <v>15</v>
      </c>
      <c r="C102" s="36" t="s">
        <v>16</v>
      </c>
      <c r="D102" s="36" t="s">
        <v>154</v>
      </c>
      <c r="E102" s="37">
        <v>45221</v>
      </c>
      <c r="F102" s="36">
        <v>115</v>
      </c>
      <c r="G102" s="36">
        <v>4</v>
      </c>
      <c r="H102" s="36">
        <v>4</v>
      </c>
    </row>
    <row r="103" spans="1:8" x14ac:dyDescent="0.3">
      <c r="A103" s="35" t="s">
        <v>192</v>
      </c>
      <c r="B103" s="36" t="s">
        <v>73</v>
      </c>
      <c r="C103" s="36" t="s">
        <v>16</v>
      </c>
      <c r="D103" s="36" t="s">
        <v>100</v>
      </c>
      <c r="E103" s="37">
        <v>45218</v>
      </c>
      <c r="F103" s="36">
        <v>120</v>
      </c>
      <c r="G103" s="36">
        <v>7</v>
      </c>
      <c r="H103" s="36">
        <v>2</v>
      </c>
    </row>
    <row r="104" spans="1:8" x14ac:dyDescent="0.3">
      <c r="A104" s="35" t="s">
        <v>193</v>
      </c>
      <c r="B104" s="36" t="s">
        <v>71</v>
      </c>
      <c r="C104" s="36" t="s">
        <v>16</v>
      </c>
      <c r="D104" s="36" t="s">
        <v>41</v>
      </c>
      <c r="E104" s="37">
        <v>45213</v>
      </c>
      <c r="F104" s="36">
        <v>136.5</v>
      </c>
      <c r="G104" s="36">
        <v>6</v>
      </c>
      <c r="H104" s="36">
        <v>6</v>
      </c>
    </row>
    <row r="105" spans="1:8" x14ac:dyDescent="0.3">
      <c r="A105" s="35" t="s">
        <v>194</v>
      </c>
      <c r="B105" s="36" t="s">
        <v>130</v>
      </c>
      <c r="C105" s="36" t="s">
        <v>16</v>
      </c>
      <c r="D105" s="36" t="s">
        <v>9</v>
      </c>
      <c r="E105" s="37">
        <v>45210</v>
      </c>
      <c r="F105" s="36">
        <v>155.9</v>
      </c>
      <c r="G105" s="36">
        <v>16</v>
      </c>
      <c r="H105" s="36">
        <v>5</v>
      </c>
    </row>
    <row r="106" spans="1:8" x14ac:dyDescent="0.3">
      <c r="A106" s="35" t="s">
        <v>195</v>
      </c>
      <c r="B106" s="36" t="s">
        <v>32</v>
      </c>
      <c r="C106" s="36" t="s">
        <v>16</v>
      </c>
      <c r="D106" s="36" t="s">
        <v>64</v>
      </c>
      <c r="E106" s="37">
        <v>45207</v>
      </c>
      <c r="F106" s="36">
        <v>0</v>
      </c>
      <c r="G106" s="36">
        <v>0</v>
      </c>
      <c r="H106" s="36">
        <v>0</v>
      </c>
    </row>
    <row r="107" spans="1:8" x14ac:dyDescent="0.3">
      <c r="A107" s="44" t="s">
        <v>196</v>
      </c>
      <c r="B107" s="44"/>
      <c r="C107" s="44"/>
      <c r="D107" s="44"/>
      <c r="E107" s="44"/>
      <c r="F107" s="44"/>
      <c r="G107" s="44"/>
      <c r="H107" s="44"/>
    </row>
    <row r="108" spans="1:8" x14ac:dyDescent="0.3">
      <c r="A108" s="35" t="s">
        <v>197</v>
      </c>
      <c r="B108" s="36" t="s">
        <v>32</v>
      </c>
      <c r="C108" s="36" t="s">
        <v>16</v>
      </c>
      <c r="D108" s="36" t="s">
        <v>19</v>
      </c>
      <c r="E108" s="37">
        <v>45196</v>
      </c>
      <c r="F108" s="36">
        <v>142.1</v>
      </c>
      <c r="G108" s="36">
        <v>5</v>
      </c>
      <c r="H108" s="36">
        <v>6</v>
      </c>
    </row>
    <row r="109" spans="1:8" x14ac:dyDescent="0.3">
      <c r="A109" s="44" t="s">
        <v>198</v>
      </c>
      <c r="B109" s="44"/>
      <c r="C109" s="44"/>
      <c r="D109" s="44"/>
      <c r="E109" s="44"/>
      <c r="F109" s="44"/>
      <c r="G109" s="44"/>
      <c r="H109" s="44"/>
    </row>
    <row r="110" spans="1:8" x14ac:dyDescent="0.3">
      <c r="A110" s="35" t="s">
        <v>199</v>
      </c>
      <c r="B110" s="36" t="s">
        <v>115</v>
      </c>
      <c r="C110" s="36" t="s">
        <v>16</v>
      </c>
      <c r="D110" s="36" t="s">
        <v>116</v>
      </c>
      <c r="E110" s="37">
        <v>45186</v>
      </c>
      <c r="F110" s="36" t="s">
        <v>199</v>
      </c>
      <c r="G110" s="36" t="s">
        <v>199</v>
      </c>
      <c r="H110" s="36" t="s">
        <v>199</v>
      </c>
    </row>
    <row r="111" spans="1:8" x14ac:dyDescent="0.3">
      <c r="A111" s="35" t="s">
        <v>172</v>
      </c>
      <c r="B111" s="36" t="s">
        <v>73</v>
      </c>
      <c r="C111" s="36" t="s">
        <v>16</v>
      </c>
      <c r="D111" s="36" t="s">
        <v>116</v>
      </c>
      <c r="E111" s="37">
        <v>45184</v>
      </c>
      <c r="F111" s="36">
        <v>0</v>
      </c>
      <c r="G111" s="36">
        <v>0</v>
      </c>
      <c r="H111" s="36">
        <v>0</v>
      </c>
    </row>
    <row r="112" spans="1:8" x14ac:dyDescent="0.3">
      <c r="A112" s="35" t="s">
        <v>200</v>
      </c>
      <c r="B112" s="36" t="s">
        <v>115</v>
      </c>
      <c r="C112" s="36" t="s">
        <v>16</v>
      </c>
      <c r="D112" s="36" t="s">
        <v>116</v>
      </c>
      <c r="E112" s="37">
        <v>45181</v>
      </c>
      <c r="F112" s="36">
        <v>110.4</v>
      </c>
      <c r="G112" s="36">
        <v>7</v>
      </c>
      <c r="H112" s="36">
        <v>2</v>
      </c>
    </row>
    <row r="113" spans="1:8" x14ac:dyDescent="0.3">
      <c r="A113" s="35" t="s">
        <v>201</v>
      </c>
      <c r="B113" s="36" t="s">
        <v>71</v>
      </c>
      <c r="C113" s="36" t="s">
        <v>16</v>
      </c>
      <c r="D113" s="36" t="s">
        <v>116</v>
      </c>
      <c r="E113" s="37">
        <v>45179</v>
      </c>
      <c r="F113" s="36">
        <v>114.2</v>
      </c>
      <c r="G113" s="36">
        <v>6</v>
      </c>
      <c r="H113" s="36">
        <v>4</v>
      </c>
    </row>
    <row r="114" spans="1:8" x14ac:dyDescent="0.3">
      <c r="A114" s="35" t="s">
        <v>202</v>
      </c>
      <c r="B114" s="36" t="s">
        <v>203</v>
      </c>
      <c r="C114" s="36" t="s">
        <v>16</v>
      </c>
      <c r="D114" s="36" t="s">
        <v>204</v>
      </c>
      <c r="E114" s="37">
        <v>45173</v>
      </c>
      <c r="F114" s="36">
        <v>125.4</v>
      </c>
      <c r="G114" s="36">
        <v>6</v>
      </c>
      <c r="H114" s="36">
        <v>5</v>
      </c>
    </row>
    <row r="115" spans="1:8" x14ac:dyDescent="0.3">
      <c r="A115" s="35" t="s">
        <v>205</v>
      </c>
      <c r="B115" s="36" t="s">
        <v>71</v>
      </c>
      <c r="C115" s="36" t="s">
        <v>16</v>
      </c>
      <c r="D115" s="36" t="s">
        <v>204</v>
      </c>
      <c r="E115" s="37">
        <v>45171</v>
      </c>
      <c r="F115" s="36">
        <v>50</v>
      </c>
      <c r="G115" s="36">
        <v>2</v>
      </c>
      <c r="H115" s="36">
        <v>0</v>
      </c>
    </row>
    <row r="116" spans="1:8" x14ac:dyDescent="0.3">
      <c r="A116" s="44" t="s">
        <v>206</v>
      </c>
      <c r="B116" s="44"/>
      <c r="C116" s="44"/>
      <c r="D116" s="44"/>
      <c r="E116" s="44"/>
      <c r="F116" s="44"/>
      <c r="G116" s="44"/>
      <c r="H116" s="44"/>
    </row>
    <row r="117" spans="1:8" x14ac:dyDescent="0.3">
      <c r="A117" s="35" t="s">
        <v>207</v>
      </c>
      <c r="B117" s="36" t="s">
        <v>208</v>
      </c>
      <c r="C117" s="36" t="s">
        <v>16</v>
      </c>
      <c r="D117" s="36" t="s">
        <v>122</v>
      </c>
      <c r="E117" s="37">
        <v>45134</v>
      </c>
      <c r="F117" s="36">
        <v>63.1</v>
      </c>
      <c r="G117" s="36">
        <v>2</v>
      </c>
      <c r="H117" s="36">
        <v>0</v>
      </c>
    </row>
    <row r="118" spans="1:8" x14ac:dyDescent="0.3">
      <c r="A118" s="35" t="s">
        <v>209</v>
      </c>
      <c r="B118" s="36" t="s">
        <v>208</v>
      </c>
      <c r="C118" s="36" t="s">
        <v>83</v>
      </c>
      <c r="D118" s="36" t="s">
        <v>210</v>
      </c>
      <c r="E118" s="37">
        <v>45127</v>
      </c>
      <c r="F118" s="36" t="s">
        <v>211</v>
      </c>
      <c r="G118" s="36" t="s">
        <v>212</v>
      </c>
      <c r="H118" s="36" t="s">
        <v>213</v>
      </c>
    </row>
    <row r="119" spans="1:8" x14ac:dyDescent="0.3">
      <c r="A119" s="35" t="s">
        <v>153</v>
      </c>
      <c r="B119" s="36" t="s">
        <v>208</v>
      </c>
      <c r="C119" s="36" t="s">
        <v>83</v>
      </c>
      <c r="D119" s="36" t="s">
        <v>214</v>
      </c>
      <c r="E119" s="37">
        <v>45119</v>
      </c>
      <c r="F119" s="36" t="s">
        <v>215</v>
      </c>
      <c r="G119" s="36" t="s">
        <v>87</v>
      </c>
      <c r="H119" s="36" t="s">
        <v>90</v>
      </c>
    </row>
    <row r="120" spans="1:8" x14ac:dyDescent="0.3">
      <c r="A120" s="44" t="s">
        <v>216</v>
      </c>
      <c r="B120" s="44"/>
      <c r="C120" s="44"/>
      <c r="D120" s="44"/>
      <c r="E120" s="44"/>
      <c r="F120" s="44"/>
      <c r="G120" s="44"/>
      <c r="H120" s="44"/>
    </row>
    <row r="121" spans="1:8" x14ac:dyDescent="0.3">
      <c r="A121" s="35" t="s">
        <v>217</v>
      </c>
      <c r="B121" s="36" t="s">
        <v>32</v>
      </c>
      <c r="C121" s="36" t="s">
        <v>83</v>
      </c>
      <c r="D121" s="36" t="s">
        <v>218</v>
      </c>
      <c r="E121" s="37">
        <v>45084</v>
      </c>
      <c r="F121" s="36" t="s">
        <v>219</v>
      </c>
      <c r="G121" s="36" t="s">
        <v>220</v>
      </c>
      <c r="H121" s="36" t="s">
        <v>94</v>
      </c>
    </row>
    <row r="122" spans="1:8" x14ac:dyDescent="0.3">
      <c r="A122" s="44" t="s">
        <v>221</v>
      </c>
      <c r="B122" s="44"/>
      <c r="C122" s="44"/>
      <c r="D122" s="44"/>
      <c r="E122" s="44"/>
      <c r="F122" s="44"/>
      <c r="G122" s="44"/>
      <c r="H122" s="44"/>
    </row>
    <row r="123" spans="1:8" x14ac:dyDescent="0.3">
      <c r="A123" s="35" t="s">
        <v>39</v>
      </c>
      <c r="B123" s="36" t="s">
        <v>43</v>
      </c>
      <c r="C123" s="36" t="s">
        <v>5</v>
      </c>
      <c r="D123" s="36" t="s">
        <v>41</v>
      </c>
      <c r="E123" s="37">
        <v>45072</v>
      </c>
      <c r="F123" s="36">
        <v>114.2</v>
      </c>
      <c r="G123" s="36">
        <v>1</v>
      </c>
      <c r="H123" s="36">
        <v>0</v>
      </c>
    </row>
    <row r="124" spans="1:8" x14ac:dyDescent="0.3">
      <c r="A124" s="35" t="s">
        <v>222</v>
      </c>
      <c r="B124" s="36" t="s">
        <v>51</v>
      </c>
      <c r="C124" s="36" t="s">
        <v>5</v>
      </c>
      <c r="D124" s="36" t="s">
        <v>64</v>
      </c>
      <c r="E124" s="37">
        <v>45070</v>
      </c>
      <c r="F124" s="36">
        <v>110</v>
      </c>
      <c r="G124" s="36">
        <v>1</v>
      </c>
      <c r="H124" s="36">
        <v>1</v>
      </c>
    </row>
    <row r="125" spans="1:8" x14ac:dyDescent="0.3">
      <c r="A125" s="35" t="s">
        <v>223</v>
      </c>
      <c r="B125" s="36" t="s">
        <v>53</v>
      </c>
      <c r="C125" s="36" t="s">
        <v>5</v>
      </c>
      <c r="D125" s="36" t="s">
        <v>12</v>
      </c>
      <c r="E125" s="37">
        <v>45067</v>
      </c>
      <c r="F125" s="36">
        <v>151.30000000000001</v>
      </c>
      <c r="G125" s="36">
        <v>8</v>
      </c>
      <c r="H125" s="36">
        <v>1</v>
      </c>
    </row>
    <row r="126" spans="1:8" x14ac:dyDescent="0.3">
      <c r="A126" s="35" t="s">
        <v>224</v>
      </c>
      <c r="B126" s="36" t="s">
        <v>51</v>
      </c>
      <c r="C126" s="36" t="s">
        <v>5</v>
      </c>
      <c r="D126" s="36" t="s">
        <v>142</v>
      </c>
      <c r="E126" s="37">
        <v>45062</v>
      </c>
      <c r="F126" s="36">
        <v>148</v>
      </c>
      <c r="G126" s="36">
        <v>1</v>
      </c>
      <c r="H126" s="36">
        <v>3</v>
      </c>
    </row>
    <row r="127" spans="1:8" x14ac:dyDescent="0.3">
      <c r="A127" s="35" t="s">
        <v>225</v>
      </c>
      <c r="B127" s="36" t="s">
        <v>43</v>
      </c>
      <c r="C127" s="36" t="s">
        <v>5</v>
      </c>
      <c r="D127" s="36" t="s">
        <v>12</v>
      </c>
      <c r="E127" s="37">
        <v>45058</v>
      </c>
      <c r="F127" s="36">
        <v>161.1</v>
      </c>
      <c r="G127" s="36">
        <v>3</v>
      </c>
      <c r="H127" s="36">
        <v>2</v>
      </c>
    </row>
    <row r="128" spans="1:8" x14ac:dyDescent="0.3">
      <c r="A128" s="35" t="s">
        <v>48</v>
      </c>
      <c r="B128" s="36" t="s">
        <v>60</v>
      </c>
      <c r="C128" s="36" t="s">
        <v>5</v>
      </c>
      <c r="D128" s="36" t="s">
        <v>12</v>
      </c>
      <c r="E128" s="37">
        <v>45055</v>
      </c>
      <c r="F128" s="36">
        <v>87.5</v>
      </c>
      <c r="G128" s="36">
        <v>1</v>
      </c>
      <c r="H128" s="36">
        <v>0</v>
      </c>
    </row>
    <row r="129" spans="1:8" x14ac:dyDescent="0.3">
      <c r="A129" s="35" t="s">
        <v>226</v>
      </c>
      <c r="B129" s="36" t="s">
        <v>56</v>
      </c>
      <c r="C129" s="36" t="s">
        <v>5</v>
      </c>
      <c r="D129" s="36" t="s">
        <v>64</v>
      </c>
      <c r="E129" s="37">
        <v>45052</v>
      </c>
      <c r="F129" s="36">
        <v>0</v>
      </c>
      <c r="G129" s="36">
        <v>0</v>
      </c>
      <c r="H129" s="36">
        <v>0</v>
      </c>
    </row>
    <row r="130" spans="1:8" x14ac:dyDescent="0.3">
      <c r="A130" s="35" t="s">
        <v>226</v>
      </c>
      <c r="B130" s="36" t="s">
        <v>40</v>
      </c>
      <c r="C130" s="36" t="s">
        <v>5</v>
      </c>
      <c r="D130" s="36" t="s">
        <v>173</v>
      </c>
      <c r="E130" s="37">
        <v>45049</v>
      </c>
      <c r="F130" s="36">
        <v>0</v>
      </c>
      <c r="G130" s="36">
        <v>0</v>
      </c>
      <c r="H130" s="36">
        <v>0</v>
      </c>
    </row>
    <row r="131" spans="1:8" x14ac:dyDescent="0.3">
      <c r="A131" s="35" t="s">
        <v>227</v>
      </c>
      <c r="B131" s="36" t="s">
        <v>4</v>
      </c>
      <c r="C131" s="36" t="s">
        <v>5</v>
      </c>
      <c r="D131" s="36" t="s">
        <v>12</v>
      </c>
      <c r="E131" s="37">
        <v>45046</v>
      </c>
      <c r="F131" s="36">
        <v>60</v>
      </c>
      <c r="G131" s="36">
        <v>0</v>
      </c>
      <c r="H131" s="36">
        <v>0</v>
      </c>
    </row>
    <row r="132" spans="1:8" x14ac:dyDescent="0.3">
      <c r="A132" s="35" t="s">
        <v>228</v>
      </c>
      <c r="B132" s="36" t="s">
        <v>43</v>
      </c>
      <c r="C132" s="36" t="s">
        <v>5</v>
      </c>
      <c r="D132" s="36" t="s">
        <v>41</v>
      </c>
      <c r="E132" s="37">
        <v>45041</v>
      </c>
      <c r="F132" s="36">
        <v>25</v>
      </c>
      <c r="G132" s="36">
        <v>0</v>
      </c>
      <c r="H132" s="36">
        <v>0</v>
      </c>
    </row>
    <row r="133" spans="1:8" x14ac:dyDescent="0.3">
      <c r="A133" s="35" t="s">
        <v>229</v>
      </c>
      <c r="B133" s="36" t="s">
        <v>40</v>
      </c>
      <c r="C133" s="36" t="s">
        <v>5</v>
      </c>
      <c r="D133" s="36" t="s">
        <v>12</v>
      </c>
      <c r="E133" s="37">
        <v>45038</v>
      </c>
      <c r="F133" s="36">
        <v>162.9</v>
      </c>
      <c r="G133" s="36">
        <v>4</v>
      </c>
      <c r="H133" s="36">
        <v>3</v>
      </c>
    </row>
    <row r="134" spans="1:8" x14ac:dyDescent="0.3">
      <c r="A134" s="35" t="s">
        <v>230</v>
      </c>
      <c r="B134" s="36" t="s">
        <v>53</v>
      </c>
      <c r="C134" s="36" t="s">
        <v>5</v>
      </c>
      <c r="D134" s="36" t="s">
        <v>54</v>
      </c>
      <c r="E134" s="37">
        <v>45034</v>
      </c>
      <c r="F134" s="36">
        <v>155.5</v>
      </c>
      <c r="G134" s="36">
        <v>6</v>
      </c>
      <c r="H134" s="36">
        <v>0</v>
      </c>
    </row>
    <row r="135" spans="1:8" x14ac:dyDescent="0.3">
      <c r="A135" s="35" t="s">
        <v>231</v>
      </c>
      <c r="B135" s="36" t="s">
        <v>11</v>
      </c>
      <c r="C135" s="36" t="s">
        <v>5</v>
      </c>
      <c r="D135" s="36" t="s">
        <v>12</v>
      </c>
      <c r="E135" s="37">
        <v>45032</v>
      </c>
      <c r="F135" s="36">
        <v>153.80000000000001</v>
      </c>
      <c r="G135" s="36">
        <v>1</v>
      </c>
      <c r="H135" s="36">
        <v>2</v>
      </c>
    </row>
    <row r="136" spans="1:8" x14ac:dyDescent="0.3">
      <c r="A136" s="35" t="s">
        <v>232</v>
      </c>
      <c r="B136" s="36" t="s">
        <v>8</v>
      </c>
      <c r="C136" s="36" t="s">
        <v>5</v>
      </c>
      <c r="D136" s="36" t="s">
        <v>9</v>
      </c>
      <c r="E136" s="37">
        <v>45027</v>
      </c>
      <c r="F136" s="36">
        <v>144.4</v>
      </c>
      <c r="G136" s="36">
        <v>6</v>
      </c>
      <c r="H136" s="36">
        <v>4</v>
      </c>
    </row>
    <row r="137" spans="1:8" x14ac:dyDescent="0.3">
      <c r="A137" s="35" t="s">
        <v>233</v>
      </c>
      <c r="B137" s="36" t="s">
        <v>56</v>
      </c>
      <c r="C137" s="36" t="s">
        <v>5</v>
      </c>
      <c r="D137" s="36" t="s">
        <v>12</v>
      </c>
      <c r="E137" s="37">
        <v>45024</v>
      </c>
      <c r="F137" s="36">
        <v>161.5</v>
      </c>
      <c r="G137" s="36">
        <v>3</v>
      </c>
      <c r="H137" s="36">
        <v>1</v>
      </c>
    </row>
    <row r="138" spans="1:8" x14ac:dyDescent="0.3">
      <c r="A138" s="35" t="s">
        <v>234</v>
      </c>
      <c r="B138" s="36" t="s">
        <v>60</v>
      </c>
      <c r="C138" s="36" t="s">
        <v>5</v>
      </c>
      <c r="D138" s="36" t="s">
        <v>103</v>
      </c>
      <c r="E138" s="37">
        <v>45018</v>
      </c>
      <c r="F138" s="36">
        <v>10</v>
      </c>
      <c r="G138" s="36">
        <v>0</v>
      </c>
      <c r="H138" s="36">
        <v>0</v>
      </c>
    </row>
    <row r="139" spans="1:8" x14ac:dyDescent="0.3">
      <c r="A139" s="44" t="s">
        <v>196</v>
      </c>
      <c r="B139" s="44"/>
      <c r="C139" s="44"/>
      <c r="D139" s="44"/>
      <c r="E139" s="44"/>
      <c r="F139" s="44"/>
      <c r="G139" s="44"/>
      <c r="H139" s="44"/>
    </row>
    <row r="140" spans="1:8" x14ac:dyDescent="0.3">
      <c r="A140" s="35" t="s">
        <v>235</v>
      </c>
      <c r="B140" s="36" t="s">
        <v>32</v>
      </c>
      <c r="C140" s="36" t="s">
        <v>16</v>
      </c>
      <c r="D140" s="36" t="s">
        <v>64</v>
      </c>
      <c r="E140" s="37">
        <v>45007</v>
      </c>
      <c r="F140" s="36">
        <v>176.4</v>
      </c>
      <c r="G140" s="36">
        <v>2</v>
      </c>
      <c r="H140" s="36">
        <v>2</v>
      </c>
    </row>
    <row r="141" spans="1:8" x14ac:dyDescent="0.3">
      <c r="A141" s="35" t="s">
        <v>236</v>
      </c>
      <c r="B141" s="36" t="s">
        <v>32</v>
      </c>
      <c r="C141" s="36" t="s">
        <v>16</v>
      </c>
      <c r="D141" s="36" t="s">
        <v>25</v>
      </c>
      <c r="E141" s="37">
        <v>45004</v>
      </c>
      <c r="F141" s="36">
        <v>86.6</v>
      </c>
      <c r="G141" s="36">
        <v>2</v>
      </c>
      <c r="H141" s="36">
        <v>0</v>
      </c>
    </row>
    <row r="142" spans="1:8" x14ac:dyDescent="0.3">
      <c r="A142" s="35" t="s">
        <v>237</v>
      </c>
      <c r="B142" s="36" t="s">
        <v>32</v>
      </c>
      <c r="C142" s="36" t="s">
        <v>83</v>
      </c>
      <c r="D142" s="36" t="s">
        <v>41</v>
      </c>
      <c r="E142" s="37">
        <v>44994</v>
      </c>
      <c r="F142" s="36" t="s">
        <v>238</v>
      </c>
      <c r="G142" s="36" t="s">
        <v>157</v>
      </c>
      <c r="H142" s="36" t="s">
        <v>239</v>
      </c>
    </row>
    <row r="143" spans="1:8" x14ac:dyDescent="0.3">
      <c r="A143" s="35" t="s">
        <v>240</v>
      </c>
      <c r="B143" s="36" t="s">
        <v>32</v>
      </c>
      <c r="C143" s="36" t="s">
        <v>83</v>
      </c>
      <c r="D143" s="36" t="s">
        <v>17</v>
      </c>
      <c r="E143" s="37">
        <v>44986</v>
      </c>
      <c r="F143" s="36" t="s">
        <v>241</v>
      </c>
      <c r="G143" s="36" t="s">
        <v>110</v>
      </c>
      <c r="H143" s="36" t="s">
        <v>86</v>
      </c>
    </row>
    <row r="144" spans="1:8" x14ac:dyDescent="0.3">
      <c r="A144" s="35" t="s">
        <v>242</v>
      </c>
      <c r="B144" s="36" t="s">
        <v>32</v>
      </c>
      <c r="C144" s="36" t="s">
        <v>83</v>
      </c>
      <c r="D144" s="36" t="s">
        <v>9</v>
      </c>
      <c r="E144" s="37">
        <v>44974</v>
      </c>
      <c r="F144" s="36" t="s">
        <v>243</v>
      </c>
      <c r="G144" s="36" t="s">
        <v>213</v>
      </c>
      <c r="H144" s="36" t="s">
        <v>244</v>
      </c>
    </row>
    <row r="145" spans="1:8" x14ac:dyDescent="0.3">
      <c r="A145" s="35" t="s">
        <v>245</v>
      </c>
      <c r="B145" s="36" t="s">
        <v>32</v>
      </c>
      <c r="C145" s="36" t="s">
        <v>83</v>
      </c>
      <c r="D145" s="36" t="s">
        <v>80</v>
      </c>
      <c r="E145" s="37">
        <v>44966</v>
      </c>
      <c r="F145" s="36" t="s">
        <v>246</v>
      </c>
      <c r="G145" s="36" t="s">
        <v>247</v>
      </c>
      <c r="H145" s="36" t="s">
        <v>90</v>
      </c>
    </row>
    <row r="146" spans="1:8" x14ac:dyDescent="0.3">
      <c r="A146" s="44" t="s">
        <v>248</v>
      </c>
      <c r="B146" s="44"/>
      <c r="C146" s="44"/>
      <c r="D146" s="44"/>
      <c r="E146" s="44"/>
      <c r="F146" s="44"/>
      <c r="G146" s="44"/>
      <c r="H146" s="44"/>
    </row>
    <row r="147" spans="1:8" x14ac:dyDescent="0.3">
      <c r="A147" s="35" t="s">
        <v>249</v>
      </c>
      <c r="B147" s="36" t="s">
        <v>15</v>
      </c>
      <c r="C147" s="36" t="s">
        <v>16</v>
      </c>
      <c r="D147" s="36" t="s">
        <v>17</v>
      </c>
      <c r="E147" s="37">
        <v>44950</v>
      </c>
      <c r="F147" s="36">
        <v>118.8</v>
      </c>
      <c r="G147" s="36">
        <v>9</v>
      </c>
      <c r="H147" s="36">
        <v>6</v>
      </c>
    </row>
    <row r="148" spans="1:8" x14ac:dyDescent="0.3">
      <c r="A148" s="35" t="s">
        <v>250</v>
      </c>
      <c r="B148" s="36" t="s">
        <v>15</v>
      </c>
      <c r="C148" s="36" t="s">
        <v>16</v>
      </c>
      <c r="D148" s="36" t="s">
        <v>27</v>
      </c>
      <c r="E148" s="37">
        <v>44947</v>
      </c>
      <c r="F148" s="36">
        <v>102</v>
      </c>
      <c r="G148" s="36">
        <v>7</v>
      </c>
      <c r="H148" s="36">
        <v>2</v>
      </c>
    </row>
    <row r="149" spans="1:8" x14ac:dyDescent="0.3">
      <c r="A149" s="35" t="s">
        <v>251</v>
      </c>
      <c r="B149" s="36" t="s">
        <v>15</v>
      </c>
      <c r="C149" s="36" t="s">
        <v>16</v>
      </c>
      <c r="D149" s="36" t="s">
        <v>54</v>
      </c>
      <c r="E149" s="37">
        <v>44944</v>
      </c>
      <c r="F149" s="36">
        <v>89.4</v>
      </c>
      <c r="G149" s="36">
        <v>4</v>
      </c>
      <c r="H149" s="36">
        <v>2</v>
      </c>
    </row>
    <row r="150" spans="1:8" x14ac:dyDescent="0.3">
      <c r="A150" s="44" t="s">
        <v>252</v>
      </c>
      <c r="B150" s="44"/>
      <c r="C150" s="44"/>
      <c r="D150" s="44"/>
      <c r="E150" s="44"/>
      <c r="F150" s="44"/>
      <c r="G150" s="44"/>
      <c r="H150" s="44"/>
    </row>
    <row r="151" spans="1:8" x14ac:dyDescent="0.3">
      <c r="A151" s="35" t="s">
        <v>253</v>
      </c>
      <c r="B151" s="36" t="s">
        <v>115</v>
      </c>
      <c r="C151" s="36" t="s">
        <v>16</v>
      </c>
      <c r="D151" s="36" t="s">
        <v>254</v>
      </c>
      <c r="E151" s="37">
        <v>44941</v>
      </c>
      <c r="F151" s="36">
        <v>85.7</v>
      </c>
      <c r="G151" s="36">
        <v>2</v>
      </c>
      <c r="H151" s="36">
        <v>3</v>
      </c>
    </row>
    <row r="152" spans="1:8" x14ac:dyDescent="0.3">
      <c r="A152" s="35" t="s">
        <v>255</v>
      </c>
      <c r="B152" s="36" t="s">
        <v>115</v>
      </c>
      <c r="C152" s="36" t="s">
        <v>16</v>
      </c>
      <c r="D152" s="36" t="s">
        <v>139</v>
      </c>
      <c r="E152" s="37">
        <v>44938</v>
      </c>
      <c r="F152" s="36">
        <v>80.900000000000006</v>
      </c>
      <c r="G152" s="36">
        <v>2</v>
      </c>
      <c r="H152" s="36">
        <v>1</v>
      </c>
    </row>
    <row r="153" spans="1:8" x14ac:dyDescent="0.3">
      <c r="A153" s="35" t="s">
        <v>256</v>
      </c>
      <c r="B153" s="36" t="s">
        <v>115</v>
      </c>
      <c r="C153" s="36" t="s">
        <v>16</v>
      </c>
      <c r="D153" s="36" t="s">
        <v>6</v>
      </c>
      <c r="E153" s="37">
        <v>44936</v>
      </c>
      <c r="F153" s="36">
        <v>123.8</v>
      </c>
      <c r="G153" s="36">
        <v>9</v>
      </c>
      <c r="H153" s="36">
        <v>3</v>
      </c>
    </row>
    <row r="154" spans="1:8" x14ac:dyDescent="0.3">
      <c r="A154" s="44" t="s">
        <v>257</v>
      </c>
      <c r="B154" s="44"/>
      <c r="C154" s="44"/>
      <c r="D154" s="44"/>
      <c r="E154" s="44"/>
      <c r="F154" s="44"/>
      <c r="G154" s="44"/>
      <c r="H154" s="44"/>
    </row>
    <row r="155" spans="1:8" x14ac:dyDescent="0.3">
      <c r="A155" s="35" t="s">
        <v>258</v>
      </c>
      <c r="B155" s="36" t="s">
        <v>73</v>
      </c>
      <c r="C155" s="36" t="s">
        <v>16</v>
      </c>
      <c r="D155" s="36" t="s">
        <v>259</v>
      </c>
      <c r="E155" s="37">
        <v>44902</v>
      </c>
      <c r="F155" s="36">
        <v>182.1</v>
      </c>
      <c r="G155" s="36">
        <v>3</v>
      </c>
      <c r="H155" s="36">
        <v>5</v>
      </c>
    </row>
    <row r="156" spans="1:8" x14ac:dyDescent="0.3">
      <c r="A156" s="35" t="s">
        <v>260</v>
      </c>
      <c r="B156" s="36" t="s">
        <v>73</v>
      </c>
      <c r="C156" s="36" t="s">
        <v>16</v>
      </c>
      <c r="D156" s="36" t="s">
        <v>259</v>
      </c>
      <c r="E156" s="37">
        <v>44899</v>
      </c>
      <c r="F156" s="36">
        <v>87.1</v>
      </c>
      <c r="G156" s="36">
        <v>4</v>
      </c>
      <c r="H156" s="36">
        <v>1</v>
      </c>
    </row>
    <row r="157" spans="1:8" x14ac:dyDescent="0.3">
      <c r="A157" s="44" t="s">
        <v>261</v>
      </c>
      <c r="B157" s="44"/>
      <c r="C157" s="44"/>
      <c r="D157" s="44"/>
      <c r="E157" s="44"/>
      <c r="F157" s="44"/>
      <c r="G157" s="44"/>
      <c r="H157" s="44"/>
    </row>
    <row r="158" spans="1:8" x14ac:dyDescent="0.3">
      <c r="A158" s="35" t="s">
        <v>262</v>
      </c>
      <c r="B158" s="36" t="s">
        <v>76</v>
      </c>
      <c r="C158" s="36" t="s">
        <v>121</v>
      </c>
      <c r="D158" s="36" t="s">
        <v>35</v>
      </c>
      <c r="E158" s="37">
        <v>44875</v>
      </c>
      <c r="F158" s="36">
        <v>96.4</v>
      </c>
      <c r="G158" s="36">
        <v>4</v>
      </c>
      <c r="H158" s="36">
        <v>0</v>
      </c>
    </row>
    <row r="159" spans="1:8" x14ac:dyDescent="0.3">
      <c r="A159" s="35" t="s">
        <v>263</v>
      </c>
      <c r="B159" s="36" t="s">
        <v>264</v>
      </c>
      <c r="C159" s="36" t="s">
        <v>121</v>
      </c>
      <c r="D159" s="36" t="s">
        <v>84</v>
      </c>
      <c r="E159" s="37">
        <v>44871</v>
      </c>
      <c r="F159" s="36">
        <v>115.3</v>
      </c>
      <c r="G159" s="36">
        <v>2</v>
      </c>
      <c r="H159" s="36">
        <v>0</v>
      </c>
    </row>
    <row r="160" spans="1:8" x14ac:dyDescent="0.3">
      <c r="A160" s="35" t="s">
        <v>228</v>
      </c>
      <c r="B160" s="36" t="s">
        <v>73</v>
      </c>
      <c r="C160" s="36" t="s">
        <v>121</v>
      </c>
      <c r="D160" s="36" t="s">
        <v>35</v>
      </c>
      <c r="E160" s="37">
        <v>44867</v>
      </c>
      <c r="F160" s="36">
        <v>25</v>
      </c>
      <c r="G160" s="36">
        <v>0</v>
      </c>
      <c r="H160" s="36">
        <v>0</v>
      </c>
    </row>
    <row r="161" spans="1:8" x14ac:dyDescent="0.3">
      <c r="A161" s="35" t="s">
        <v>265</v>
      </c>
      <c r="B161" s="36" t="s">
        <v>24</v>
      </c>
      <c r="C161" s="36" t="s">
        <v>121</v>
      </c>
      <c r="D161" s="36" t="s">
        <v>37</v>
      </c>
      <c r="E161" s="37">
        <v>44864</v>
      </c>
      <c r="F161" s="36">
        <v>107.1</v>
      </c>
      <c r="G161" s="36">
        <v>1</v>
      </c>
      <c r="H161" s="36">
        <v>1</v>
      </c>
    </row>
    <row r="162" spans="1:8" x14ac:dyDescent="0.3">
      <c r="A162" s="35" t="s">
        <v>266</v>
      </c>
      <c r="B162" s="36" t="s">
        <v>187</v>
      </c>
      <c r="C162" s="36" t="s">
        <v>121</v>
      </c>
      <c r="D162" s="36" t="s">
        <v>33</v>
      </c>
      <c r="E162" s="37">
        <v>44861</v>
      </c>
      <c r="F162" s="36">
        <v>135.9</v>
      </c>
      <c r="G162" s="36">
        <v>4</v>
      </c>
      <c r="H162" s="36">
        <v>3</v>
      </c>
    </row>
    <row r="163" spans="1:8" x14ac:dyDescent="0.3">
      <c r="A163" s="35" t="s">
        <v>267</v>
      </c>
      <c r="B163" s="36" t="s">
        <v>71</v>
      </c>
      <c r="C163" s="36" t="s">
        <v>121</v>
      </c>
      <c r="D163" s="36" t="s">
        <v>84</v>
      </c>
      <c r="E163" s="37">
        <v>44857</v>
      </c>
      <c r="F163" s="36">
        <v>57.1</v>
      </c>
      <c r="G163" s="36">
        <v>0</v>
      </c>
      <c r="H163" s="36">
        <v>0</v>
      </c>
    </row>
    <row r="164" spans="1:8" x14ac:dyDescent="0.3">
      <c r="A164" s="44" t="s">
        <v>268</v>
      </c>
      <c r="B164" s="44"/>
      <c r="C164" s="44"/>
      <c r="D164" s="44"/>
      <c r="E164" s="44"/>
      <c r="F164" s="44"/>
      <c r="G164" s="44"/>
      <c r="H164" s="44"/>
    </row>
    <row r="165" spans="1:8" x14ac:dyDescent="0.3">
      <c r="A165" s="35" t="s">
        <v>172</v>
      </c>
      <c r="B165" s="36" t="s">
        <v>24</v>
      </c>
      <c r="C165" s="36" t="s">
        <v>121</v>
      </c>
      <c r="D165" s="36" t="s">
        <v>17</v>
      </c>
      <c r="E165" s="37">
        <v>44838</v>
      </c>
      <c r="F165" s="36">
        <v>0</v>
      </c>
      <c r="G165" s="36">
        <v>0</v>
      </c>
      <c r="H165" s="36">
        <v>0</v>
      </c>
    </row>
    <row r="166" spans="1:8" x14ac:dyDescent="0.3">
      <c r="A166" s="35" t="s">
        <v>269</v>
      </c>
      <c r="B166" s="36" t="s">
        <v>24</v>
      </c>
      <c r="C166" s="36" t="s">
        <v>121</v>
      </c>
      <c r="D166" s="36" t="s">
        <v>6</v>
      </c>
      <c r="E166" s="37">
        <v>44836</v>
      </c>
      <c r="F166" s="36">
        <v>116.2</v>
      </c>
      <c r="G166" s="36">
        <v>7</v>
      </c>
      <c r="H166" s="36">
        <v>1</v>
      </c>
    </row>
    <row r="167" spans="1:8" x14ac:dyDescent="0.3">
      <c r="A167" s="35" t="s">
        <v>172</v>
      </c>
      <c r="B167" s="36" t="s">
        <v>24</v>
      </c>
      <c r="C167" s="36" t="s">
        <v>121</v>
      </c>
      <c r="D167" s="36" t="s">
        <v>254</v>
      </c>
      <c r="E167" s="37">
        <v>44832</v>
      </c>
      <c r="F167" s="36">
        <v>0</v>
      </c>
      <c r="G167" s="36">
        <v>0</v>
      </c>
      <c r="H167" s="36">
        <v>0</v>
      </c>
    </row>
    <row r="168" spans="1:8" x14ac:dyDescent="0.3">
      <c r="A168" s="44" t="s">
        <v>270</v>
      </c>
      <c r="B168" s="44"/>
      <c r="C168" s="44"/>
      <c r="D168" s="44"/>
      <c r="E168" s="44"/>
      <c r="F168" s="44"/>
      <c r="G168" s="44"/>
      <c r="H168" s="44"/>
    </row>
    <row r="169" spans="1:8" x14ac:dyDescent="0.3">
      <c r="A169" s="35" t="s">
        <v>271</v>
      </c>
      <c r="B169" s="36" t="s">
        <v>32</v>
      </c>
      <c r="C169" s="36" t="s">
        <v>121</v>
      </c>
      <c r="D169" s="36" t="s">
        <v>54</v>
      </c>
      <c r="E169" s="37">
        <v>44829</v>
      </c>
      <c r="F169" s="36">
        <v>121.4</v>
      </c>
      <c r="G169" s="36">
        <v>2</v>
      </c>
      <c r="H169" s="36">
        <v>1</v>
      </c>
    </row>
    <row r="170" spans="1:8" x14ac:dyDescent="0.3">
      <c r="A170" s="35" t="s">
        <v>272</v>
      </c>
      <c r="B170" s="36" t="s">
        <v>32</v>
      </c>
      <c r="C170" s="36" t="s">
        <v>121</v>
      </c>
      <c r="D170" s="36" t="s">
        <v>80</v>
      </c>
      <c r="E170" s="37">
        <v>44827</v>
      </c>
      <c r="F170" s="36">
        <v>230</v>
      </c>
      <c r="G170" s="36">
        <v>4</v>
      </c>
      <c r="H170" s="36">
        <v>4</v>
      </c>
    </row>
    <row r="171" spans="1:8" x14ac:dyDescent="0.3">
      <c r="A171" s="35" t="s">
        <v>273</v>
      </c>
      <c r="B171" s="36" t="s">
        <v>32</v>
      </c>
      <c r="C171" s="36" t="s">
        <v>121</v>
      </c>
      <c r="D171" s="36" t="s">
        <v>173</v>
      </c>
      <c r="E171" s="37">
        <v>44824</v>
      </c>
      <c r="F171" s="36">
        <v>122.2</v>
      </c>
      <c r="G171" s="36">
        <v>1</v>
      </c>
      <c r="H171" s="36">
        <v>1</v>
      </c>
    </row>
    <row r="172" spans="1:8" x14ac:dyDescent="0.3">
      <c r="A172" s="44" t="s">
        <v>274</v>
      </c>
      <c r="B172" s="44"/>
      <c r="C172" s="44"/>
      <c r="D172" s="44"/>
      <c r="E172" s="44"/>
      <c r="F172" s="44"/>
      <c r="G172" s="44"/>
      <c r="H172" s="44"/>
    </row>
    <row r="173" spans="1:8" x14ac:dyDescent="0.3">
      <c r="A173" s="35" t="s">
        <v>275</v>
      </c>
      <c r="B173" s="36" t="s">
        <v>115</v>
      </c>
      <c r="C173" s="36" t="s">
        <v>121</v>
      </c>
      <c r="D173" s="36" t="s">
        <v>67</v>
      </c>
      <c r="E173" s="37">
        <v>44810</v>
      </c>
      <c r="F173" s="36">
        <v>175.6</v>
      </c>
      <c r="G173" s="36">
        <v>5</v>
      </c>
      <c r="H173" s="36">
        <v>4</v>
      </c>
    </row>
    <row r="174" spans="1:8" x14ac:dyDescent="0.3">
      <c r="A174" s="35" t="s">
        <v>276</v>
      </c>
      <c r="B174" s="36" t="s">
        <v>71</v>
      </c>
      <c r="C174" s="36" t="s">
        <v>121</v>
      </c>
      <c r="D174" s="36" t="s">
        <v>67</v>
      </c>
      <c r="E174" s="37">
        <v>44808</v>
      </c>
      <c r="F174" s="36">
        <v>175</v>
      </c>
      <c r="G174" s="36">
        <v>3</v>
      </c>
      <c r="H174" s="36">
        <v>2</v>
      </c>
    </row>
    <row r="175" spans="1:8" x14ac:dyDescent="0.3">
      <c r="A175" s="35" t="s">
        <v>233</v>
      </c>
      <c r="B175" s="36" t="s">
        <v>277</v>
      </c>
      <c r="C175" s="36" t="s">
        <v>121</v>
      </c>
      <c r="D175" s="36" t="s">
        <v>67</v>
      </c>
      <c r="E175" s="37">
        <v>44804</v>
      </c>
      <c r="F175" s="36">
        <v>161.5</v>
      </c>
      <c r="G175" s="36">
        <v>2</v>
      </c>
      <c r="H175" s="36">
        <v>1</v>
      </c>
    </row>
    <row r="176" spans="1:8" x14ac:dyDescent="0.3">
      <c r="A176" s="35" t="s">
        <v>278</v>
      </c>
      <c r="B176" s="36" t="s">
        <v>71</v>
      </c>
      <c r="C176" s="36" t="s">
        <v>121</v>
      </c>
      <c r="D176" s="36" t="s">
        <v>67</v>
      </c>
      <c r="E176" s="37">
        <v>44801</v>
      </c>
      <c r="F176" s="36">
        <v>66.599999999999994</v>
      </c>
      <c r="G176" s="36">
        <v>0</v>
      </c>
      <c r="H176" s="36">
        <v>1</v>
      </c>
    </row>
    <row r="177" spans="1:8" x14ac:dyDescent="0.3">
      <c r="A177" s="44" t="s">
        <v>279</v>
      </c>
      <c r="B177" s="44"/>
      <c r="C177" s="44"/>
      <c r="D177" s="44"/>
      <c r="E177" s="44"/>
      <c r="F177" s="44"/>
      <c r="G177" s="44"/>
      <c r="H177" s="44"/>
    </row>
    <row r="178" spans="1:8" x14ac:dyDescent="0.3">
      <c r="A178" s="35" t="s">
        <v>280</v>
      </c>
      <c r="B178" s="36" t="s">
        <v>208</v>
      </c>
      <c r="C178" s="36" t="s">
        <v>121</v>
      </c>
      <c r="D178" s="36" t="s">
        <v>281</v>
      </c>
      <c r="E178" s="37">
        <v>44779</v>
      </c>
      <c r="F178" s="36">
        <v>206.2</v>
      </c>
      <c r="G178" s="36">
        <v>2</v>
      </c>
      <c r="H178" s="36">
        <v>3</v>
      </c>
    </row>
    <row r="179" spans="1:8" x14ac:dyDescent="0.3">
      <c r="A179" s="35" t="s">
        <v>282</v>
      </c>
      <c r="B179" s="36" t="s">
        <v>208</v>
      </c>
      <c r="C179" s="36" t="s">
        <v>121</v>
      </c>
      <c r="D179" s="36" t="s">
        <v>283</v>
      </c>
      <c r="E179" s="37">
        <v>44775</v>
      </c>
      <c r="F179" s="36">
        <v>220</v>
      </c>
      <c r="G179" s="36">
        <v>1</v>
      </c>
      <c r="H179" s="36">
        <v>1</v>
      </c>
    </row>
    <row r="180" spans="1:8" x14ac:dyDescent="0.3">
      <c r="A180" s="35" t="s">
        <v>149</v>
      </c>
      <c r="B180" s="36" t="s">
        <v>208</v>
      </c>
      <c r="C180" s="36" t="s">
        <v>121</v>
      </c>
      <c r="D180" s="36" t="s">
        <v>283</v>
      </c>
      <c r="E180" s="37">
        <v>44774</v>
      </c>
      <c r="F180" s="36">
        <v>0</v>
      </c>
      <c r="G180" s="36">
        <v>0</v>
      </c>
      <c r="H180" s="36">
        <v>0</v>
      </c>
    </row>
    <row r="181" spans="1:8" x14ac:dyDescent="0.3">
      <c r="A181" s="35" t="s">
        <v>117</v>
      </c>
      <c r="B181" s="36" t="s">
        <v>208</v>
      </c>
      <c r="C181" s="36" t="s">
        <v>121</v>
      </c>
      <c r="D181" s="36" t="s">
        <v>284</v>
      </c>
      <c r="E181" s="37">
        <v>44771</v>
      </c>
      <c r="F181" s="36">
        <v>145.4</v>
      </c>
      <c r="G181" s="36">
        <v>7</v>
      </c>
      <c r="H181" s="36">
        <v>2</v>
      </c>
    </row>
    <row r="182" spans="1:8" x14ac:dyDescent="0.3">
      <c r="A182" s="44" t="s">
        <v>285</v>
      </c>
      <c r="B182" s="44"/>
      <c r="C182" s="44"/>
      <c r="D182" s="44"/>
      <c r="E182" s="44"/>
      <c r="F182" s="44"/>
      <c r="G182" s="44"/>
      <c r="H182" s="44"/>
    </row>
    <row r="183" spans="1:8" x14ac:dyDescent="0.3">
      <c r="A183" s="35" t="s">
        <v>286</v>
      </c>
      <c r="B183" s="36" t="s">
        <v>76</v>
      </c>
      <c r="C183" s="36" t="s">
        <v>16</v>
      </c>
      <c r="D183" s="36" t="s">
        <v>287</v>
      </c>
      <c r="E183" s="37">
        <v>44759</v>
      </c>
      <c r="F183" s="36">
        <v>100</v>
      </c>
      <c r="G183" s="36">
        <v>4</v>
      </c>
      <c r="H183" s="36">
        <v>0</v>
      </c>
    </row>
    <row r="184" spans="1:8" x14ac:dyDescent="0.3">
      <c r="A184" s="35" t="s">
        <v>288</v>
      </c>
      <c r="B184" s="36" t="s">
        <v>76</v>
      </c>
      <c r="C184" s="36" t="s">
        <v>16</v>
      </c>
      <c r="D184" s="36" t="s">
        <v>218</v>
      </c>
      <c r="E184" s="37">
        <v>44756</v>
      </c>
      <c r="F184" s="36">
        <v>0</v>
      </c>
      <c r="G184" s="36">
        <v>0</v>
      </c>
      <c r="H184" s="36">
        <v>0</v>
      </c>
    </row>
    <row r="185" spans="1:8" x14ac:dyDescent="0.3">
      <c r="A185" s="35" t="s">
        <v>289</v>
      </c>
      <c r="B185" s="36" t="s">
        <v>76</v>
      </c>
      <c r="C185" s="36" t="s">
        <v>16</v>
      </c>
      <c r="D185" s="36" t="s">
        <v>218</v>
      </c>
      <c r="E185" s="37">
        <v>44754</v>
      </c>
      <c r="F185" s="36">
        <v>131</v>
      </c>
      <c r="G185" s="36">
        <v>6</v>
      </c>
      <c r="H185" s="36">
        <v>5</v>
      </c>
    </row>
    <row r="186" spans="1:8" x14ac:dyDescent="0.3">
      <c r="A186" s="35" t="s">
        <v>141</v>
      </c>
      <c r="B186" s="36" t="s">
        <v>76</v>
      </c>
      <c r="C186" s="36" t="s">
        <v>121</v>
      </c>
      <c r="D186" s="36" t="s">
        <v>290</v>
      </c>
      <c r="E186" s="37">
        <v>44752</v>
      </c>
      <c r="F186" s="36">
        <v>91.6</v>
      </c>
      <c r="G186" s="36">
        <v>2</v>
      </c>
      <c r="H186" s="36">
        <v>0</v>
      </c>
    </row>
    <row r="187" spans="1:8" x14ac:dyDescent="0.3">
      <c r="A187" s="35" t="s">
        <v>291</v>
      </c>
      <c r="B187" s="36" t="s">
        <v>76</v>
      </c>
      <c r="C187" s="36" t="s">
        <v>121</v>
      </c>
      <c r="D187" s="36" t="s">
        <v>292</v>
      </c>
      <c r="E187" s="37">
        <v>44751</v>
      </c>
      <c r="F187" s="36">
        <v>155</v>
      </c>
      <c r="G187" s="36">
        <v>3</v>
      </c>
      <c r="H187" s="36">
        <v>2</v>
      </c>
    </row>
    <row r="188" spans="1:8" x14ac:dyDescent="0.3">
      <c r="A188" s="35" t="s">
        <v>293</v>
      </c>
      <c r="B188" s="36" t="s">
        <v>76</v>
      </c>
      <c r="C188" s="36" t="s">
        <v>121</v>
      </c>
      <c r="D188" s="36" t="s">
        <v>294</v>
      </c>
      <c r="E188" s="37">
        <v>44749</v>
      </c>
      <c r="F188" s="36">
        <v>171.4</v>
      </c>
      <c r="G188" s="36">
        <v>5</v>
      </c>
      <c r="H188" s="36">
        <v>0</v>
      </c>
    </row>
    <row r="189" spans="1:8" x14ac:dyDescent="0.3">
      <c r="A189" s="44" t="s">
        <v>295</v>
      </c>
      <c r="B189" s="44"/>
      <c r="C189" s="44"/>
      <c r="D189" s="44"/>
      <c r="E189" s="44"/>
      <c r="F189" s="44"/>
      <c r="G189" s="44"/>
      <c r="H189" s="44"/>
    </row>
    <row r="190" spans="1:8" x14ac:dyDescent="0.3">
      <c r="A190" s="35" t="s">
        <v>296</v>
      </c>
      <c r="B190" s="36" t="s">
        <v>8</v>
      </c>
      <c r="C190" s="36" t="s">
        <v>5</v>
      </c>
      <c r="D190" s="36" t="s">
        <v>12</v>
      </c>
      <c r="E190" s="37">
        <v>44702</v>
      </c>
      <c r="F190" s="36">
        <v>15.3</v>
      </c>
      <c r="G190" s="36">
        <v>0</v>
      </c>
      <c r="H190" s="36">
        <v>0</v>
      </c>
    </row>
    <row r="191" spans="1:8" x14ac:dyDescent="0.3">
      <c r="A191" s="35" t="s">
        <v>297</v>
      </c>
      <c r="B191" s="36" t="s">
        <v>53</v>
      </c>
      <c r="C191" s="36" t="s">
        <v>5</v>
      </c>
      <c r="D191" s="36" t="s">
        <v>12</v>
      </c>
      <c r="E191" s="37">
        <v>44698</v>
      </c>
      <c r="F191" s="36">
        <v>133.30000000000001</v>
      </c>
      <c r="G191" s="36">
        <v>2</v>
      </c>
      <c r="H191" s="36">
        <v>4</v>
      </c>
    </row>
    <row r="192" spans="1:8" x14ac:dyDescent="0.3">
      <c r="A192" s="35" t="s">
        <v>298</v>
      </c>
      <c r="B192" s="36" t="s">
        <v>56</v>
      </c>
      <c r="C192" s="36" t="s">
        <v>5</v>
      </c>
      <c r="D192" s="36" t="s">
        <v>12</v>
      </c>
      <c r="E192" s="37">
        <v>44693</v>
      </c>
      <c r="F192" s="36">
        <v>128.5</v>
      </c>
      <c r="G192" s="36">
        <v>4</v>
      </c>
      <c r="H192" s="36">
        <v>0</v>
      </c>
    </row>
    <row r="193" spans="1:8" x14ac:dyDescent="0.3">
      <c r="A193" s="35" t="s">
        <v>299</v>
      </c>
      <c r="B193" s="36" t="s">
        <v>11</v>
      </c>
      <c r="C193" s="36" t="s">
        <v>5</v>
      </c>
      <c r="D193" s="36" t="s">
        <v>300</v>
      </c>
      <c r="E193" s="37">
        <v>44690</v>
      </c>
      <c r="F193" s="36">
        <v>33.299999999999997</v>
      </c>
      <c r="G193" s="36">
        <v>0</v>
      </c>
      <c r="H193" s="36">
        <v>0</v>
      </c>
    </row>
    <row r="194" spans="1:8" x14ac:dyDescent="0.3">
      <c r="A194" s="35" t="s">
        <v>301</v>
      </c>
      <c r="B194" s="36" t="s">
        <v>43</v>
      </c>
      <c r="C194" s="36" t="s">
        <v>5</v>
      </c>
      <c r="D194" s="36" t="s">
        <v>12</v>
      </c>
      <c r="E194" s="37">
        <v>44687</v>
      </c>
      <c r="F194" s="36">
        <v>153.5</v>
      </c>
      <c r="G194" s="36">
        <v>5</v>
      </c>
      <c r="H194" s="36">
        <v>2</v>
      </c>
    </row>
    <row r="195" spans="1:8" x14ac:dyDescent="0.3">
      <c r="A195" s="35" t="s">
        <v>302</v>
      </c>
      <c r="B195" s="36" t="s">
        <v>4</v>
      </c>
      <c r="C195" s="36" t="s">
        <v>5</v>
      </c>
      <c r="D195" s="36" t="s">
        <v>300</v>
      </c>
      <c r="E195" s="37">
        <v>44681</v>
      </c>
      <c r="F195" s="36">
        <v>40</v>
      </c>
      <c r="G195" s="36">
        <v>0</v>
      </c>
      <c r="H195" s="36">
        <v>0</v>
      </c>
    </row>
    <row r="196" spans="1:8" x14ac:dyDescent="0.3">
      <c r="A196" s="35" t="s">
        <v>303</v>
      </c>
      <c r="B196" s="36" t="s">
        <v>51</v>
      </c>
      <c r="C196" s="36" t="s">
        <v>5</v>
      </c>
      <c r="D196" s="36" t="s">
        <v>12</v>
      </c>
      <c r="E196" s="37">
        <v>44675</v>
      </c>
      <c r="F196" s="36">
        <v>125.8</v>
      </c>
      <c r="G196" s="36">
        <v>5</v>
      </c>
      <c r="H196" s="36">
        <v>1</v>
      </c>
    </row>
    <row r="197" spans="1:8" x14ac:dyDescent="0.3">
      <c r="A197" s="35" t="s">
        <v>172</v>
      </c>
      <c r="B197" s="36" t="s">
        <v>56</v>
      </c>
      <c r="C197" s="36" t="s">
        <v>5</v>
      </c>
      <c r="D197" s="36" t="s">
        <v>300</v>
      </c>
      <c r="E197" s="37">
        <v>44672</v>
      </c>
      <c r="F197" s="36">
        <v>0</v>
      </c>
      <c r="G197" s="36">
        <v>0</v>
      </c>
      <c r="H197" s="36">
        <v>0</v>
      </c>
    </row>
    <row r="198" spans="1:8" x14ac:dyDescent="0.3">
      <c r="A198" s="35" t="s">
        <v>304</v>
      </c>
      <c r="B198" s="36" t="s">
        <v>51</v>
      </c>
      <c r="C198" s="36" t="s">
        <v>5</v>
      </c>
      <c r="D198" s="36" t="s">
        <v>12</v>
      </c>
      <c r="E198" s="37">
        <v>44667</v>
      </c>
      <c r="F198" s="36">
        <v>85.7</v>
      </c>
      <c r="G198" s="36">
        <v>1</v>
      </c>
      <c r="H198" s="36">
        <v>0</v>
      </c>
    </row>
    <row r="199" spans="1:8" x14ac:dyDescent="0.3">
      <c r="A199" s="35" t="s">
        <v>305</v>
      </c>
      <c r="B199" s="36" t="s">
        <v>40</v>
      </c>
      <c r="C199" s="36" t="s">
        <v>5</v>
      </c>
      <c r="D199" s="36" t="s">
        <v>100</v>
      </c>
      <c r="E199" s="37">
        <v>44664</v>
      </c>
      <c r="F199" s="36">
        <v>164.7</v>
      </c>
      <c r="G199" s="36">
        <v>3</v>
      </c>
      <c r="H199" s="36">
        <v>2</v>
      </c>
    </row>
    <row r="200" spans="1:8" x14ac:dyDescent="0.3">
      <c r="A200" s="35" t="s">
        <v>306</v>
      </c>
      <c r="B200" s="36" t="s">
        <v>60</v>
      </c>
      <c r="C200" s="36" t="s">
        <v>5</v>
      </c>
      <c r="D200" s="36" t="s">
        <v>100</v>
      </c>
      <c r="E200" s="37">
        <v>44660</v>
      </c>
      <c r="F200" s="36">
        <v>173.3</v>
      </c>
      <c r="G200" s="36">
        <v>4</v>
      </c>
      <c r="H200" s="36">
        <v>1</v>
      </c>
    </row>
    <row r="201" spans="1:8" x14ac:dyDescent="0.3">
      <c r="A201" s="35" t="s">
        <v>307</v>
      </c>
      <c r="B201" s="36" t="s">
        <v>11</v>
      </c>
      <c r="C201" s="36" t="s">
        <v>5</v>
      </c>
      <c r="D201" s="36" t="s">
        <v>100</v>
      </c>
      <c r="E201" s="37">
        <v>44657</v>
      </c>
      <c r="F201" s="36">
        <v>25</v>
      </c>
      <c r="G201" s="36">
        <v>0</v>
      </c>
      <c r="H201" s="36">
        <v>0</v>
      </c>
    </row>
    <row r="202" spans="1:8" x14ac:dyDescent="0.3">
      <c r="A202" s="35" t="s">
        <v>308</v>
      </c>
      <c r="B202" s="36" t="s">
        <v>4</v>
      </c>
      <c r="C202" s="36" t="s">
        <v>5</v>
      </c>
      <c r="D202" s="36" t="s">
        <v>300</v>
      </c>
      <c r="E202" s="37">
        <v>44653</v>
      </c>
      <c r="F202" s="36">
        <v>200</v>
      </c>
      <c r="G202" s="36">
        <v>0</v>
      </c>
      <c r="H202" s="36">
        <v>1</v>
      </c>
    </row>
    <row r="203" spans="1:8" x14ac:dyDescent="0.3">
      <c r="A203" s="35" t="s">
        <v>309</v>
      </c>
      <c r="B203" s="36" t="s">
        <v>8</v>
      </c>
      <c r="C203" s="36" t="s">
        <v>5</v>
      </c>
      <c r="D203" s="36" t="s">
        <v>12</v>
      </c>
      <c r="E203" s="37">
        <v>44647</v>
      </c>
      <c r="F203" s="36">
        <v>128.1</v>
      </c>
      <c r="G203" s="36">
        <v>4</v>
      </c>
      <c r="H203" s="36">
        <v>2</v>
      </c>
    </row>
    <row r="204" spans="1:8" x14ac:dyDescent="0.3">
      <c r="A204" s="44" t="s">
        <v>310</v>
      </c>
      <c r="B204" s="44"/>
      <c r="C204" s="44"/>
      <c r="D204" s="44"/>
      <c r="E204" s="44"/>
      <c r="F204" s="44"/>
      <c r="G204" s="44"/>
      <c r="H204" s="44"/>
    </row>
    <row r="205" spans="1:8" x14ac:dyDescent="0.3">
      <c r="A205" s="35" t="s">
        <v>311</v>
      </c>
      <c r="B205" s="36" t="s">
        <v>115</v>
      </c>
      <c r="C205" s="36" t="s">
        <v>83</v>
      </c>
      <c r="D205" s="36" t="s">
        <v>103</v>
      </c>
      <c r="E205" s="37">
        <v>44632</v>
      </c>
      <c r="F205" s="36" t="s">
        <v>312</v>
      </c>
      <c r="G205" s="36" t="s">
        <v>313</v>
      </c>
      <c r="H205" s="36" t="s">
        <v>182</v>
      </c>
    </row>
    <row r="206" spans="1:8" x14ac:dyDescent="0.3">
      <c r="A206" s="35" t="s">
        <v>314</v>
      </c>
      <c r="B206" s="36" t="s">
        <v>115</v>
      </c>
      <c r="C206" s="36" t="s">
        <v>83</v>
      </c>
      <c r="D206" s="36" t="s">
        <v>173</v>
      </c>
      <c r="E206" s="37">
        <v>44624</v>
      </c>
      <c r="F206" s="36" t="s">
        <v>315</v>
      </c>
      <c r="G206" s="36" t="s">
        <v>316</v>
      </c>
      <c r="H206" s="36" t="s">
        <v>91</v>
      </c>
    </row>
    <row r="207" spans="1:8" x14ac:dyDescent="0.3">
      <c r="A207" s="35" t="s">
        <v>317</v>
      </c>
      <c r="B207" s="36" t="s">
        <v>115</v>
      </c>
      <c r="C207" s="36" t="s">
        <v>121</v>
      </c>
      <c r="D207" s="36" t="s">
        <v>154</v>
      </c>
      <c r="E207" s="37">
        <v>44619</v>
      </c>
      <c r="F207" s="36">
        <v>55.5</v>
      </c>
      <c r="G207" s="36">
        <v>1</v>
      </c>
      <c r="H207" s="36">
        <v>0</v>
      </c>
    </row>
    <row r="208" spans="1:8" x14ac:dyDescent="0.3">
      <c r="A208" s="35" t="s">
        <v>75</v>
      </c>
      <c r="B208" s="36" t="s">
        <v>115</v>
      </c>
      <c r="C208" s="36" t="s">
        <v>121</v>
      </c>
      <c r="D208" s="36" t="s">
        <v>154</v>
      </c>
      <c r="E208" s="37">
        <v>44618</v>
      </c>
      <c r="F208" s="36">
        <v>50</v>
      </c>
      <c r="G208" s="36">
        <v>0</v>
      </c>
      <c r="H208" s="36">
        <v>0</v>
      </c>
    </row>
    <row r="209" spans="1:8" x14ac:dyDescent="0.3">
      <c r="A209" s="35" t="s">
        <v>318</v>
      </c>
      <c r="B209" s="36" t="s">
        <v>115</v>
      </c>
      <c r="C209" s="36" t="s">
        <v>121</v>
      </c>
      <c r="D209" s="36" t="s">
        <v>142</v>
      </c>
      <c r="E209" s="37">
        <v>44616</v>
      </c>
      <c r="F209" s="36">
        <v>137.5</v>
      </c>
      <c r="G209" s="36">
        <v>2</v>
      </c>
      <c r="H209" s="36">
        <v>1</v>
      </c>
    </row>
    <row r="210" spans="1:8" x14ac:dyDescent="0.3">
      <c r="A210" s="44" t="s">
        <v>319</v>
      </c>
      <c r="B210" s="44"/>
      <c r="C210" s="44"/>
      <c r="D210" s="44"/>
      <c r="E210" s="44"/>
      <c r="F210" s="44"/>
      <c r="G210" s="44"/>
      <c r="H210" s="44"/>
    </row>
    <row r="211" spans="1:8" x14ac:dyDescent="0.3">
      <c r="A211" s="35" t="s">
        <v>320</v>
      </c>
      <c r="B211" s="36" t="s">
        <v>208</v>
      </c>
      <c r="C211" s="36" t="s">
        <v>121</v>
      </c>
      <c r="D211" s="36" t="s">
        <v>139</v>
      </c>
      <c r="E211" s="37">
        <v>44612</v>
      </c>
      <c r="F211" s="36">
        <v>46.6</v>
      </c>
      <c r="G211" s="36">
        <v>0</v>
      </c>
      <c r="H211" s="36">
        <v>0</v>
      </c>
    </row>
    <row r="212" spans="1:8" x14ac:dyDescent="0.3">
      <c r="A212" s="35" t="s">
        <v>321</v>
      </c>
      <c r="B212" s="36" t="s">
        <v>208</v>
      </c>
      <c r="C212" s="36" t="s">
        <v>121</v>
      </c>
      <c r="D212" s="36" t="s">
        <v>139</v>
      </c>
      <c r="E212" s="37">
        <v>44610</v>
      </c>
      <c r="F212" s="36">
        <v>105.5</v>
      </c>
      <c r="G212" s="36">
        <v>2</v>
      </c>
      <c r="H212" s="36">
        <v>1</v>
      </c>
    </row>
    <row r="213" spans="1:8" x14ac:dyDescent="0.3">
      <c r="A213" s="35" t="s">
        <v>322</v>
      </c>
      <c r="B213" s="36" t="s">
        <v>208</v>
      </c>
      <c r="C213" s="36" t="s">
        <v>121</v>
      </c>
      <c r="D213" s="36" t="s">
        <v>139</v>
      </c>
      <c r="E213" s="37">
        <v>44608</v>
      </c>
      <c r="F213" s="36">
        <v>210.5</v>
      </c>
      <c r="G213" s="36">
        <v>4</v>
      </c>
      <c r="H213" s="36">
        <v>3</v>
      </c>
    </row>
    <row r="214" spans="1:8" x14ac:dyDescent="0.3">
      <c r="A214" s="35" t="s">
        <v>236</v>
      </c>
      <c r="B214" s="36" t="s">
        <v>208</v>
      </c>
      <c r="C214" s="36" t="s">
        <v>16</v>
      </c>
      <c r="D214" s="36" t="s">
        <v>41</v>
      </c>
      <c r="E214" s="37">
        <v>44603</v>
      </c>
      <c r="F214" s="36">
        <v>86.6</v>
      </c>
      <c r="G214" s="36">
        <v>3</v>
      </c>
      <c r="H214" s="36">
        <v>0</v>
      </c>
    </row>
    <row r="215" spans="1:8" x14ac:dyDescent="0.3">
      <c r="A215" s="35" t="s">
        <v>323</v>
      </c>
      <c r="B215" s="36" t="s">
        <v>208</v>
      </c>
      <c r="C215" s="36" t="s">
        <v>16</v>
      </c>
      <c r="D215" s="36" t="s">
        <v>41</v>
      </c>
      <c r="E215" s="37">
        <v>44601</v>
      </c>
      <c r="F215" s="36">
        <v>62.5</v>
      </c>
      <c r="G215" s="36">
        <v>0</v>
      </c>
      <c r="H215" s="36">
        <v>0</v>
      </c>
    </row>
    <row r="216" spans="1:8" x14ac:dyDescent="0.3">
      <c r="A216" s="35" t="s">
        <v>324</v>
      </c>
      <c r="B216" s="36" t="s">
        <v>208</v>
      </c>
      <c r="C216" s="36" t="s">
        <v>16</v>
      </c>
      <c r="D216" s="36" t="s">
        <v>41</v>
      </c>
      <c r="E216" s="37">
        <v>44598</v>
      </c>
      <c r="F216" s="36">
        <v>117.6</v>
      </c>
      <c r="G216" s="36">
        <v>10</v>
      </c>
      <c r="H216" s="36">
        <v>1</v>
      </c>
    </row>
    <row r="217" spans="1:8" x14ac:dyDescent="0.3">
      <c r="A217" s="44" t="s">
        <v>325</v>
      </c>
      <c r="B217" s="44"/>
      <c r="C217" s="44"/>
      <c r="D217" s="44"/>
      <c r="E217" s="44"/>
      <c r="F217" s="44"/>
      <c r="G217" s="44"/>
      <c r="H217" s="44"/>
    </row>
    <row r="218" spans="1:8" x14ac:dyDescent="0.3">
      <c r="A218" s="35" t="s">
        <v>326</v>
      </c>
      <c r="B218" s="36" t="s">
        <v>15</v>
      </c>
      <c r="C218" s="36" t="s">
        <v>121</v>
      </c>
      <c r="D218" s="36" t="s">
        <v>139</v>
      </c>
      <c r="E218" s="37">
        <v>44521</v>
      </c>
      <c r="F218" s="36">
        <v>180.6</v>
      </c>
      <c r="G218" s="36">
        <v>5</v>
      </c>
      <c r="H218" s="36">
        <v>3</v>
      </c>
    </row>
    <row r="219" spans="1:8" x14ac:dyDescent="0.3">
      <c r="A219" s="35" t="s">
        <v>327</v>
      </c>
      <c r="B219" s="36" t="s">
        <v>15</v>
      </c>
      <c r="C219" s="36" t="s">
        <v>121</v>
      </c>
      <c r="D219" s="36" t="s">
        <v>29</v>
      </c>
      <c r="E219" s="37">
        <v>44519</v>
      </c>
      <c r="F219" s="36">
        <v>152.69999999999999</v>
      </c>
      <c r="G219" s="36">
        <v>1</v>
      </c>
      <c r="H219" s="36">
        <v>5</v>
      </c>
    </row>
    <row r="220" spans="1:8" x14ac:dyDescent="0.3">
      <c r="A220" s="35" t="s">
        <v>297</v>
      </c>
      <c r="B220" s="36" t="s">
        <v>15</v>
      </c>
      <c r="C220" s="36" t="s">
        <v>121</v>
      </c>
      <c r="D220" s="36" t="s">
        <v>46</v>
      </c>
      <c r="E220" s="37">
        <v>44517</v>
      </c>
      <c r="F220" s="36">
        <v>133.30000000000001</v>
      </c>
      <c r="G220" s="36">
        <v>5</v>
      </c>
      <c r="H220" s="36">
        <v>2</v>
      </c>
    </row>
    <row r="221" spans="1:8" x14ac:dyDescent="0.3">
      <c r="A221" s="44" t="s">
        <v>328</v>
      </c>
      <c r="B221" s="44"/>
      <c r="C221" s="44"/>
      <c r="D221" s="44"/>
      <c r="E221" s="44"/>
      <c r="F221" s="44"/>
      <c r="G221" s="44"/>
      <c r="H221" s="44"/>
    </row>
    <row r="222" spans="1:8" x14ac:dyDescent="0.3">
      <c r="A222" s="35" t="s">
        <v>223</v>
      </c>
      <c r="B222" s="36" t="s">
        <v>329</v>
      </c>
      <c r="C222" s="36" t="s">
        <v>121</v>
      </c>
      <c r="D222" s="36" t="s">
        <v>67</v>
      </c>
      <c r="E222" s="37">
        <v>44508</v>
      </c>
      <c r="F222" s="36">
        <v>151.30000000000001</v>
      </c>
      <c r="G222" s="36">
        <v>7</v>
      </c>
      <c r="H222" s="36">
        <v>2</v>
      </c>
    </row>
    <row r="223" spans="1:8" x14ac:dyDescent="0.3">
      <c r="A223" s="35" t="s">
        <v>330</v>
      </c>
      <c r="B223" s="36" t="s">
        <v>331</v>
      </c>
      <c r="C223" s="36" t="s">
        <v>121</v>
      </c>
      <c r="D223" s="36" t="s">
        <v>67</v>
      </c>
      <c r="E223" s="37">
        <v>44505</v>
      </c>
      <c r="F223" s="36">
        <v>187.5</v>
      </c>
      <c r="G223" s="36">
        <v>5</v>
      </c>
      <c r="H223" s="36">
        <v>1</v>
      </c>
    </row>
    <row r="224" spans="1:8" x14ac:dyDescent="0.3">
      <c r="A224" s="35" t="s">
        <v>332</v>
      </c>
      <c r="B224" s="36" t="s">
        <v>130</v>
      </c>
      <c r="C224" s="36" t="s">
        <v>121</v>
      </c>
      <c r="D224" s="36" t="s">
        <v>333</v>
      </c>
      <c r="E224" s="37">
        <v>44503</v>
      </c>
      <c r="F224" s="36">
        <v>157.4</v>
      </c>
      <c r="G224" s="36">
        <v>8</v>
      </c>
      <c r="H224" s="36">
        <v>3</v>
      </c>
    </row>
    <row r="225" spans="1:8" x14ac:dyDescent="0.3">
      <c r="A225" s="35" t="s">
        <v>334</v>
      </c>
      <c r="B225" s="36" t="s">
        <v>15</v>
      </c>
      <c r="C225" s="36" t="s">
        <v>121</v>
      </c>
      <c r="D225" s="36" t="s">
        <v>67</v>
      </c>
      <c r="E225" s="37">
        <v>44500</v>
      </c>
      <c r="F225" s="36">
        <v>100</v>
      </c>
      <c r="G225" s="36">
        <v>1</v>
      </c>
      <c r="H225" s="36">
        <v>1</v>
      </c>
    </row>
    <row r="226" spans="1:8" x14ac:dyDescent="0.3">
      <c r="A226" s="35" t="s">
        <v>149</v>
      </c>
      <c r="B226" s="36" t="s">
        <v>71</v>
      </c>
      <c r="C226" s="36" t="s">
        <v>121</v>
      </c>
      <c r="D226" s="36" t="s">
        <v>67</v>
      </c>
      <c r="E226" s="37">
        <v>44493</v>
      </c>
      <c r="F226" s="36">
        <v>0</v>
      </c>
      <c r="G226" s="36">
        <v>0</v>
      </c>
      <c r="H226" s="36">
        <v>0</v>
      </c>
    </row>
    <row r="227" spans="1:8" x14ac:dyDescent="0.3">
      <c r="A227" s="44" t="s">
        <v>335</v>
      </c>
      <c r="B227" s="44"/>
      <c r="C227" s="44"/>
      <c r="D227" s="44"/>
      <c r="E227" s="44"/>
      <c r="F227" s="44"/>
      <c r="G227" s="44"/>
      <c r="H227" s="44"/>
    </row>
    <row r="228" spans="1:8" x14ac:dyDescent="0.3">
      <c r="A228" s="35" t="s">
        <v>336</v>
      </c>
      <c r="B228" s="36" t="s">
        <v>53</v>
      </c>
      <c r="C228" s="36" t="s">
        <v>5</v>
      </c>
      <c r="D228" s="36" t="s">
        <v>333</v>
      </c>
      <c r="E228" s="37">
        <v>44477</v>
      </c>
      <c r="F228" s="36">
        <v>138.4</v>
      </c>
      <c r="G228" s="36">
        <v>3</v>
      </c>
      <c r="H228" s="36">
        <v>0</v>
      </c>
    </row>
    <row r="229" spans="1:8" x14ac:dyDescent="0.3">
      <c r="A229" s="35" t="s">
        <v>337</v>
      </c>
      <c r="B229" s="36" t="s">
        <v>4</v>
      </c>
      <c r="C229" s="36" t="s">
        <v>5</v>
      </c>
      <c r="D229" s="36" t="s">
        <v>338</v>
      </c>
      <c r="E229" s="37">
        <v>44474</v>
      </c>
      <c r="F229" s="36">
        <v>169.2</v>
      </c>
      <c r="G229" s="36">
        <v>1</v>
      </c>
      <c r="H229" s="36">
        <v>2</v>
      </c>
    </row>
    <row r="230" spans="1:8" x14ac:dyDescent="0.3">
      <c r="A230" s="35" t="s">
        <v>339</v>
      </c>
      <c r="B230" s="36" t="s">
        <v>8</v>
      </c>
      <c r="C230" s="36" t="s">
        <v>5</v>
      </c>
      <c r="D230" s="36" t="s">
        <v>338</v>
      </c>
      <c r="E230" s="37">
        <v>44471</v>
      </c>
      <c r="F230" s="36">
        <v>70</v>
      </c>
      <c r="G230" s="36">
        <v>1</v>
      </c>
      <c r="H230" s="36">
        <v>0</v>
      </c>
    </row>
    <row r="231" spans="1:8" x14ac:dyDescent="0.3">
      <c r="A231" s="35" t="s">
        <v>340</v>
      </c>
      <c r="B231" s="36" t="s">
        <v>40</v>
      </c>
      <c r="C231" s="36" t="s">
        <v>5</v>
      </c>
      <c r="D231" s="36" t="s">
        <v>333</v>
      </c>
      <c r="E231" s="37">
        <v>44467</v>
      </c>
      <c r="F231" s="36">
        <v>80</v>
      </c>
      <c r="G231" s="36">
        <v>1</v>
      </c>
      <c r="H231" s="36">
        <v>0</v>
      </c>
    </row>
    <row r="232" spans="1:8" x14ac:dyDescent="0.3">
      <c r="A232" s="35" t="s">
        <v>301</v>
      </c>
      <c r="B232" s="36" t="s">
        <v>60</v>
      </c>
      <c r="C232" s="36" t="s">
        <v>5</v>
      </c>
      <c r="D232" s="36" t="s">
        <v>67</v>
      </c>
      <c r="E232" s="37">
        <v>44465</v>
      </c>
      <c r="F232" s="36">
        <v>153.5</v>
      </c>
      <c r="G232" s="36">
        <v>5</v>
      </c>
      <c r="H232" s="36">
        <v>1</v>
      </c>
    </row>
    <row r="233" spans="1:8" x14ac:dyDescent="0.3">
      <c r="A233" s="35" t="s">
        <v>341</v>
      </c>
      <c r="B233" s="36" t="s">
        <v>11</v>
      </c>
      <c r="C233" s="36" t="s">
        <v>5</v>
      </c>
      <c r="D233" s="36" t="s">
        <v>333</v>
      </c>
      <c r="E233" s="37">
        <v>44462</v>
      </c>
      <c r="F233" s="36">
        <v>110</v>
      </c>
      <c r="G233" s="36">
        <v>4</v>
      </c>
      <c r="H233" s="36">
        <v>0</v>
      </c>
    </row>
    <row r="234" spans="1:8" x14ac:dyDescent="0.3">
      <c r="A234" s="44" t="s">
        <v>342</v>
      </c>
      <c r="B234" s="44"/>
      <c r="C234" s="44"/>
      <c r="D234" s="44"/>
      <c r="E234" s="44"/>
      <c r="F234" s="44"/>
      <c r="G234" s="44"/>
      <c r="H234" s="44"/>
    </row>
    <row r="235" spans="1:8" x14ac:dyDescent="0.3">
      <c r="A235" s="35" t="s">
        <v>343</v>
      </c>
      <c r="B235" s="36" t="s">
        <v>76</v>
      </c>
      <c r="C235" s="36" t="s">
        <v>83</v>
      </c>
      <c r="D235" s="36" t="s">
        <v>218</v>
      </c>
      <c r="E235" s="37">
        <v>44441</v>
      </c>
      <c r="F235" s="36" t="s">
        <v>344</v>
      </c>
      <c r="G235" s="36" t="s">
        <v>345</v>
      </c>
      <c r="H235" s="36" t="s">
        <v>94</v>
      </c>
    </row>
    <row r="236" spans="1:8" x14ac:dyDescent="0.3">
      <c r="A236" s="35" t="s">
        <v>346</v>
      </c>
      <c r="B236" s="36" t="s">
        <v>76</v>
      </c>
      <c r="C236" s="36" t="s">
        <v>83</v>
      </c>
      <c r="D236" s="36" t="s">
        <v>347</v>
      </c>
      <c r="E236" s="37">
        <v>44433</v>
      </c>
      <c r="F236" s="36" t="s">
        <v>348</v>
      </c>
      <c r="G236" s="36" t="s">
        <v>349</v>
      </c>
      <c r="H236" s="36" t="s">
        <v>94</v>
      </c>
    </row>
    <row r="237" spans="1:8" x14ac:dyDescent="0.3">
      <c r="A237" s="35" t="s">
        <v>350</v>
      </c>
      <c r="B237" s="36" t="s">
        <v>76</v>
      </c>
      <c r="C237" s="36" t="s">
        <v>83</v>
      </c>
      <c r="D237" s="36" t="s">
        <v>218</v>
      </c>
      <c r="E237" s="37">
        <v>44420</v>
      </c>
      <c r="F237" s="36" t="s">
        <v>351</v>
      </c>
      <c r="G237" s="36" t="s">
        <v>352</v>
      </c>
      <c r="H237" s="36" t="s">
        <v>109</v>
      </c>
    </row>
    <row r="238" spans="1:8" x14ac:dyDescent="0.3">
      <c r="A238" s="35" t="s">
        <v>353</v>
      </c>
      <c r="B238" s="36" t="s">
        <v>76</v>
      </c>
      <c r="C238" s="36" t="s">
        <v>83</v>
      </c>
      <c r="D238" s="36" t="s">
        <v>290</v>
      </c>
      <c r="E238" s="37">
        <v>44412</v>
      </c>
      <c r="F238" s="36" t="s">
        <v>354</v>
      </c>
      <c r="G238" s="36" t="s">
        <v>355</v>
      </c>
      <c r="H238" s="36" t="s">
        <v>86</v>
      </c>
    </row>
    <row r="239" spans="1:8" x14ac:dyDescent="0.3">
      <c r="A239" s="44" t="s">
        <v>356</v>
      </c>
      <c r="B239" s="44"/>
      <c r="C239" s="44"/>
      <c r="D239" s="44"/>
      <c r="E239" s="44"/>
      <c r="F239" s="44"/>
      <c r="G239" s="44"/>
      <c r="H239" s="44"/>
    </row>
    <row r="240" spans="1:8" x14ac:dyDescent="0.3">
      <c r="A240" s="35" t="s">
        <v>357</v>
      </c>
      <c r="B240" s="36" t="s">
        <v>15</v>
      </c>
      <c r="C240" s="36" t="s">
        <v>83</v>
      </c>
      <c r="D240" s="36" t="s">
        <v>294</v>
      </c>
      <c r="E240" s="37">
        <v>44365</v>
      </c>
      <c r="F240" s="36" t="s">
        <v>358</v>
      </c>
      <c r="G240" s="36" t="s">
        <v>359</v>
      </c>
      <c r="H240" s="36" t="s">
        <v>86</v>
      </c>
    </row>
    <row r="241" spans="1:8" x14ac:dyDescent="0.3">
      <c r="A241" s="44" t="s">
        <v>335</v>
      </c>
      <c r="B241" s="44"/>
      <c r="C241" s="44"/>
      <c r="D241" s="44"/>
      <c r="E241" s="44"/>
      <c r="F241" s="44"/>
      <c r="G241" s="44"/>
      <c r="H241" s="44"/>
    </row>
    <row r="242" spans="1:8" x14ac:dyDescent="0.3">
      <c r="A242" s="35" t="s">
        <v>360</v>
      </c>
      <c r="B242" s="36" t="s">
        <v>56</v>
      </c>
      <c r="C242" s="36" t="s">
        <v>5</v>
      </c>
      <c r="D242" s="36" t="s">
        <v>9</v>
      </c>
      <c r="E242" s="37">
        <v>44317</v>
      </c>
      <c r="F242" s="36">
        <v>145.80000000000001</v>
      </c>
      <c r="G242" s="36">
        <v>4</v>
      </c>
      <c r="H242" s="36">
        <v>1</v>
      </c>
    </row>
    <row r="243" spans="1:8" x14ac:dyDescent="0.3">
      <c r="A243" s="35" t="s">
        <v>361</v>
      </c>
      <c r="B243" s="36" t="s">
        <v>4</v>
      </c>
      <c r="C243" s="36" t="s">
        <v>5</v>
      </c>
      <c r="D243" s="36" t="s">
        <v>9</v>
      </c>
      <c r="E243" s="37">
        <v>44315</v>
      </c>
      <c r="F243" s="36">
        <v>82.3</v>
      </c>
      <c r="G243" s="36">
        <v>0</v>
      </c>
      <c r="H243" s="36">
        <v>1</v>
      </c>
    </row>
    <row r="244" spans="1:8" x14ac:dyDescent="0.3">
      <c r="A244" s="35" t="s">
        <v>362</v>
      </c>
      <c r="B244" s="36" t="s">
        <v>40</v>
      </c>
      <c r="C244" s="36" t="s">
        <v>5</v>
      </c>
      <c r="D244" s="36" t="s">
        <v>64</v>
      </c>
      <c r="E244" s="37">
        <v>44309</v>
      </c>
      <c r="F244" s="36">
        <v>121.1</v>
      </c>
      <c r="G244" s="36">
        <v>5</v>
      </c>
      <c r="H244" s="36">
        <v>2</v>
      </c>
    </row>
    <row r="245" spans="1:8" x14ac:dyDescent="0.3">
      <c r="A245" s="35" t="s">
        <v>363</v>
      </c>
      <c r="B245" s="36" t="s">
        <v>8</v>
      </c>
      <c r="C245" s="36" t="s">
        <v>5</v>
      </c>
      <c r="D245" s="36" t="s">
        <v>64</v>
      </c>
      <c r="E245" s="37">
        <v>44306</v>
      </c>
      <c r="F245" s="36">
        <v>146.6</v>
      </c>
      <c r="G245" s="36">
        <v>3</v>
      </c>
      <c r="H245" s="36">
        <v>3</v>
      </c>
    </row>
    <row r="246" spans="1:8" x14ac:dyDescent="0.3">
      <c r="A246" s="35" t="s">
        <v>364</v>
      </c>
      <c r="B246" s="36" t="s">
        <v>53</v>
      </c>
      <c r="C246" s="36" t="s">
        <v>5</v>
      </c>
      <c r="D246" s="36" t="s">
        <v>64</v>
      </c>
      <c r="E246" s="37">
        <v>44303</v>
      </c>
      <c r="F246" s="36">
        <v>128</v>
      </c>
      <c r="G246" s="36">
        <v>2</v>
      </c>
      <c r="H246" s="36">
        <v>2</v>
      </c>
    </row>
    <row r="247" spans="1:8" x14ac:dyDescent="0.3">
      <c r="A247" s="35" t="s">
        <v>365</v>
      </c>
      <c r="B247" s="36" t="s">
        <v>11</v>
      </c>
      <c r="C247" s="36" t="s">
        <v>5</v>
      </c>
      <c r="D247" s="36" t="s">
        <v>64</v>
      </c>
      <c r="E247" s="37">
        <v>44299</v>
      </c>
      <c r="F247" s="36">
        <v>134.30000000000001</v>
      </c>
      <c r="G247" s="36">
        <v>3</v>
      </c>
      <c r="H247" s="36">
        <v>1</v>
      </c>
    </row>
    <row r="248" spans="1:8" x14ac:dyDescent="0.3">
      <c r="A248" s="35" t="s">
        <v>366</v>
      </c>
      <c r="B248" s="36" t="s">
        <v>60</v>
      </c>
      <c r="C248" s="36" t="s">
        <v>5</v>
      </c>
      <c r="D248" s="36" t="s">
        <v>64</v>
      </c>
      <c r="E248" s="37">
        <v>44295</v>
      </c>
      <c r="F248" s="36">
        <v>126.6</v>
      </c>
      <c r="G248" s="36">
        <v>1</v>
      </c>
      <c r="H248" s="36">
        <v>1</v>
      </c>
    </row>
    <row r="249" spans="1:8" x14ac:dyDescent="0.3">
      <c r="A249" s="44" t="s">
        <v>367</v>
      </c>
      <c r="B249" s="44"/>
      <c r="C249" s="44"/>
      <c r="D249" s="44"/>
      <c r="E249" s="44"/>
      <c r="F249" s="44"/>
      <c r="G249" s="44"/>
      <c r="H249" s="44"/>
    </row>
    <row r="250" spans="1:8" x14ac:dyDescent="0.3">
      <c r="A250" s="35" t="s">
        <v>368</v>
      </c>
      <c r="B250" s="36" t="s">
        <v>76</v>
      </c>
      <c r="C250" s="36" t="s">
        <v>16</v>
      </c>
      <c r="D250" s="36" t="s">
        <v>100</v>
      </c>
      <c r="E250" s="37">
        <v>44283</v>
      </c>
      <c r="F250" s="36">
        <v>100</v>
      </c>
      <c r="G250" s="36">
        <v>6</v>
      </c>
      <c r="H250" s="36">
        <v>0</v>
      </c>
    </row>
    <row r="251" spans="1:8" x14ac:dyDescent="0.3">
      <c r="A251" s="35" t="s">
        <v>369</v>
      </c>
      <c r="B251" s="36" t="s">
        <v>76</v>
      </c>
      <c r="C251" s="36" t="s">
        <v>16</v>
      </c>
      <c r="D251" s="36" t="s">
        <v>100</v>
      </c>
      <c r="E251" s="37">
        <v>44281</v>
      </c>
      <c r="F251" s="36">
        <v>100</v>
      </c>
      <c r="G251" s="36">
        <v>5</v>
      </c>
      <c r="H251" s="36">
        <v>0</v>
      </c>
    </row>
    <row r="252" spans="1:8" x14ac:dyDescent="0.3">
      <c r="A252" s="35" t="s">
        <v>370</v>
      </c>
      <c r="B252" s="36" t="s">
        <v>76</v>
      </c>
      <c r="C252" s="36" t="s">
        <v>16</v>
      </c>
      <c r="D252" s="36" t="s">
        <v>100</v>
      </c>
      <c r="E252" s="37">
        <v>44278</v>
      </c>
      <c r="F252" s="36">
        <v>66.599999999999994</v>
      </c>
      <c r="G252" s="36">
        <v>4</v>
      </c>
      <c r="H252" s="36">
        <v>0</v>
      </c>
    </row>
    <row r="253" spans="1:8" x14ac:dyDescent="0.3">
      <c r="A253" s="35" t="s">
        <v>371</v>
      </c>
      <c r="B253" s="36" t="s">
        <v>76</v>
      </c>
      <c r="C253" s="36" t="s">
        <v>121</v>
      </c>
      <c r="D253" s="36" t="s">
        <v>41</v>
      </c>
      <c r="E253" s="37">
        <v>44275</v>
      </c>
      <c r="F253" s="36">
        <v>188.2</v>
      </c>
      <c r="G253" s="36">
        <v>4</v>
      </c>
      <c r="H253" s="36">
        <v>5</v>
      </c>
    </row>
    <row r="254" spans="1:8" x14ac:dyDescent="0.3">
      <c r="A254" s="35" t="s">
        <v>372</v>
      </c>
      <c r="B254" s="36" t="s">
        <v>76</v>
      </c>
      <c r="C254" s="36" t="s">
        <v>121</v>
      </c>
      <c r="D254" s="36" t="s">
        <v>41</v>
      </c>
      <c r="E254" s="37">
        <v>44273</v>
      </c>
      <c r="F254" s="36">
        <v>100</v>
      </c>
      <c r="G254" s="36">
        <v>1</v>
      </c>
      <c r="H254" s="36">
        <v>1</v>
      </c>
    </row>
    <row r="255" spans="1:8" x14ac:dyDescent="0.3">
      <c r="A255" s="35" t="s">
        <v>69</v>
      </c>
      <c r="B255" s="36" t="s">
        <v>76</v>
      </c>
      <c r="C255" s="36" t="s">
        <v>121</v>
      </c>
      <c r="D255" s="36" t="s">
        <v>41</v>
      </c>
      <c r="E255" s="37">
        <v>44271</v>
      </c>
      <c r="F255" s="36">
        <v>88.2</v>
      </c>
      <c r="G255" s="36">
        <v>2</v>
      </c>
      <c r="H255" s="36">
        <v>0</v>
      </c>
    </row>
    <row r="256" spans="1:8" x14ac:dyDescent="0.3">
      <c r="A256" s="35" t="s">
        <v>373</v>
      </c>
      <c r="B256" s="36" t="s">
        <v>76</v>
      </c>
      <c r="C256" s="36" t="s">
        <v>83</v>
      </c>
      <c r="D256" s="36" t="s">
        <v>41</v>
      </c>
      <c r="E256" s="37">
        <v>44259</v>
      </c>
      <c r="F256" s="36" t="s">
        <v>374</v>
      </c>
      <c r="G256" s="36" t="s">
        <v>375</v>
      </c>
      <c r="H256" s="36" t="s">
        <v>91</v>
      </c>
    </row>
    <row r="257" spans="1:8" x14ac:dyDescent="0.3">
      <c r="A257" s="35" t="s">
        <v>376</v>
      </c>
      <c r="B257" s="36" t="s">
        <v>76</v>
      </c>
      <c r="C257" s="36" t="s">
        <v>83</v>
      </c>
      <c r="D257" s="36" t="s">
        <v>41</v>
      </c>
      <c r="E257" s="37">
        <v>44251</v>
      </c>
      <c r="F257" s="36" t="s">
        <v>377</v>
      </c>
      <c r="G257" s="36" t="s">
        <v>378</v>
      </c>
      <c r="H257" s="36" t="s">
        <v>94</v>
      </c>
    </row>
    <row r="258" spans="1:8" x14ac:dyDescent="0.3">
      <c r="A258" s="35" t="s">
        <v>379</v>
      </c>
      <c r="B258" s="36" t="s">
        <v>76</v>
      </c>
      <c r="C258" s="36" t="s">
        <v>83</v>
      </c>
      <c r="D258" s="36" t="s">
        <v>64</v>
      </c>
      <c r="E258" s="37">
        <v>44240</v>
      </c>
      <c r="F258" s="36" t="s">
        <v>380</v>
      </c>
      <c r="G258" s="36" t="s">
        <v>381</v>
      </c>
      <c r="H258" s="36" t="s">
        <v>382</v>
      </c>
    </row>
    <row r="259" spans="1:8" x14ac:dyDescent="0.3">
      <c r="A259" s="35" t="s">
        <v>383</v>
      </c>
      <c r="B259" s="36" t="s">
        <v>76</v>
      </c>
      <c r="C259" s="36" t="s">
        <v>83</v>
      </c>
      <c r="D259" s="36" t="s">
        <v>64</v>
      </c>
      <c r="E259" s="37">
        <v>44232</v>
      </c>
      <c r="F259" s="36" t="s">
        <v>384</v>
      </c>
      <c r="G259" s="36" t="s">
        <v>109</v>
      </c>
      <c r="H259" s="36" t="s">
        <v>94</v>
      </c>
    </row>
    <row r="260" spans="1:8" x14ac:dyDescent="0.3">
      <c r="A260" s="44" t="s">
        <v>385</v>
      </c>
      <c r="B260" s="44"/>
      <c r="C260" s="44"/>
      <c r="D260" s="44"/>
      <c r="E260" s="44"/>
      <c r="F260" s="44"/>
      <c r="G260" s="44"/>
      <c r="H260" s="44"/>
    </row>
    <row r="261" spans="1:8" x14ac:dyDescent="0.3">
      <c r="A261" s="35" t="s">
        <v>386</v>
      </c>
      <c r="B261" s="36" t="s">
        <v>32</v>
      </c>
      <c r="C261" s="36" t="s">
        <v>83</v>
      </c>
      <c r="D261" s="36" t="s">
        <v>88</v>
      </c>
      <c r="E261" s="37">
        <v>44211</v>
      </c>
      <c r="F261" s="36" t="s">
        <v>387</v>
      </c>
      <c r="G261" s="36" t="s">
        <v>388</v>
      </c>
      <c r="H261" s="36" t="s">
        <v>86</v>
      </c>
    </row>
    <row r="262" spans="1:8" x14ac:dyDescent="0.3">
      <c r="A262" s="35" t="s">
        <v>389</v>
      </c>
      <c r="B262" s="36" t="s">
        <v>32</v>
      </c>
      <c r="C262" s="36" t="s">
        <v>83</v>
      </c>
      <c r="D262" s="36" t="s">
        <v>33</v>
      </c>
      <c r="E262" s="37">
        <v>44203</v>
      </c>
      <c r="F262" s="36" t="s">
        <v>390</v>
      </c>
      <c r="G262" s="36" t="s">
        <v>391</v>
      </c>
      <c r="H262" s="36" t="s">
        <v>109</v>
      </c>
    </row>
    <row r="263" spans="1:8" x14ac:dyDescent="0.3">
      <c r="A263" s="44" t="s">
        <v>392</v>
      </c>
      <c r="B263" s="44"/>
      <c r="C263" s="44"/>
      <c r="D263" s="44"/>
      <c r="E263" s="44"/>
      <c r="F263" s="44"/>
      <c r="G263" s="44"/>
      <c r="H263" s="44"/>
    </row>
    <row r="264" spans="1:8" x14ac:dyDescent="0.3">
      <c r="A264" s="35" t="s">
        <v>393</v>
      </c>
      <c r="B264" s="36" t="s">
        <v>8</v>
      </c>
      <c r="C264" s="36" t="s">
        <v>5</v>
      </c>
      <c r="D264" s="36" t="s">
        <v>67</v>
      </c>
      <c r="E264" s="37">
        <v>44145</v>
      </c>
      <c r="F264" s="36">
        <v>133.30000000000001</v>
      </c>
      <c r="G264" s="36">
        <v>5</v>
      </c>
      <c r="H264" s="36">
        <v>4</v>
      </c>
    </row>
    <row r="265" spans="1:8" x14ac:dyDescent="0.3">
      <c r="A265" s="35" t="s">
        <v>149</v>
      </c>
      <c r="B265" s="36" t="s">
        <v>8</v>
      </c>
      <c r="C265" s="36" t="s">
        <v>5</v>
      </c>
      <c r="D265" s="36" t="s">
        <v>67</v>
      </c>
      <c r="E265" s="37">
        <v>44140</v>
      </c>
      <c r="F265" s="36">
        <v>0</v>
      </c>
      <c r="G265" s="36">
        <v>0</v>
      </c>
      <c r="H265" s="36">
        <v>0</v>
      </c>
    </row>
    <row r="266" spans="1:8" x14ac:dyDescent="0.3">
      <c r="A266" s="35" t="s">
        <v>267</v>
      </c>
      <c r="B266" s="36" t="s">
        <v>53</v>
      </c>
      <c r="C266" s="36" t="s">
        <v>5</v>
      </c>
      <c r="D266" s="36" t="s">
        <v>338</v>
      </c>
      <c r="E266" s="37">
        <v>44138</v>
      </c>
      <c r="F266" s="36">
        <v>57.1</v>
      </c>
      <c r="G266" s="36">
        <v>0</v>
      </c>
      <c r="H266" s="36">
        <v>0</v>
      </c>
    </row>
    <row r="267" spans="1:8" x14ac:dyDescent="0.3">
      <c r="A267" s="35" t="s">
        <v>394</v>
      </c>
      <c r="B267" s="36" t="s">
        <v>40</v>
      </c>
      <c r="C267" s="36" t="s">
        <v>5</v>
      </c>
      <c r="D267" s="36" t="s">
        <v>67</v>
      </c>
      <c r="E267" s="37">
        <v>44122</v>
      </c>
      <c r="F267" s="36">
        <v>112.5</v>
      </c>
      <c r="G267" s="36">
        <v>2</v>
      </c>
      <c r="H267" s="36">
        <v>0</v>
      </c>
    </row>
    <row r="268" spans="1:8" x14ac:dyDescent="0.3">
      <c r="A268" s="35" t="s">
        <v>395</v>
      </c>
      <c r="B268" s="36" t="s">
        <v>11</v>
      </c>
      <c r="C268" s="36" t="s">
        <v>5</v>
      </c>
      <c r="D268" s="36" t="s">
        <v>333</v>
      </c>
      <c r="E268" s="37">
        <v>44120</v>
      </c>
      <c r="F268" s="36">
        <v>97.2</v>
      </c>
      <c r="G268" s="36">
        <v>5</v>
      </c>
      <c r="H268" s="36">
        <v>1</v>
      </c>
    </row>
    <row r="269" spans="1:8" x14ac:dyDescent="0.3">
      <c r="A269" s="35" t="s">
        <v>396</v>
      </c>
      <c r="B269" s="36" t="s">
        <v>8</v>
      </c>
      <c r="C269" s="36" t="s">
        <v>5</v>
      </c>
      <c r="D269" s="36" t="s">
        <v>333</v>
      </c>
      <c r="E269" s="37">
        <v>44115</v>
      </c>
      <c r="F269" s="36">
        <v>41.6</v>
      </c>
      <c r="G269" s="36">
        <v>0</v>
      </c>
      <c r="H269" s="36">
        <v>0</v>
      </c>
    </row>
    <row r="270" spans="1:8" x14ac:dyDescent="0.3">
      <c r="A270" s="35" t="s">
        <v>397</v>
      </c>
      <c r="B270" s="36" t="s">
        <v>4</v>
      </c>
      <c r="C270" s="36" t="s">
        <v>5</v>
      </c>
      <c r="D270" s="36" t="s">
        <v>333</v>
      </c>
      <c r="E270" s="37">
        <v>44110</v>
      </c>
      <c r="F270" s="36">
        <v>152.1</v>
      </c>
      <c r="G270" s="36">
        <v>2</v>
      </c>
      <c r="H270" s="36">
        <v>3</v>
      </c>
    </row>
    <row r="271" spans="1:8" x14ac:dyDescent="0.3">
      <c r="A271" s="35" t="s">
        <v>144</v>
      </c>
      <c r="B271" s="36" t="s">
        <v>53</v>
      </c>
      <c r="C271" s="36" t="s">
        <v>5</v>
      </c>
      <c r="D271" s="36" t="s">
        <v>338</v>
      </c>
      <c r="E271" s="37">
        <v>44108</v>
      </c>
      <c r="F271" s="36">
        <v>120</v>
      </c>
      <c r="G271" s="36">
        <v>0</v>
      </c>
      <c r="H271" s="36">
        <v>1</v>
      </c>
    </row>
    <row r="272" spans="1:8" x14ac:dyDescent="0.3">
      <c r="A272" s="35" t="s">
        <v>398</v>
      </c>
      <c r="B272" s="36" t="s">
        <v>40</v>
      </c>
      <c r="C272" s="36" t="s">
        <v>5</v>
      </c>
      <c r="D272" s="36" t="s">
        <v>333</v>
      </c>
      <c r="E272" s="37">
        <v>44105</v>
      </c>
      <c r="F272" s="36">
        <v>155.5</v>
      </c>
      <c r="G272" s="36">
        <v>8</v>
      </c>
      <c r="H272" s="36">
        <v>3</v>
      </c>
    </row>
    <row r="273" spans="1:8" x14ac:dyDescent="0.3">
      <c r="A273" s="35" t="s">
        <v>143</v>
      </c>
      <c r="B273" s="36" t="s">
        <v>60</v>
      </c>
      <c r="C273" s="36" t="s">
        <v>5</v>
      </c>
      <c r="D273" s="36" t="s">
        <v>67</v>
      </c>
      <c r="E273" s="37">
        <v>44102</v>
      </c>
      <c r="F273" s="36">
        <v>100</v>
      </c>
      <c r="G273" s="36">
        <v>0</v>
      </c>
      <c r="H273" s="36">
        <v>1</v>
      </c>
    </row>
    <row r="274" spans="1:8" x14ac:dyDescent="0.3">
      <c r="A274" s="35" t="s">
        <v>399</v>
      </c>
      <c r="B274" s="36" t="s">
        <v>11</v>
      </c>
      <c r="C274" s="36" t="s">
        <v>5</v>
      </c>
      <c r="D274" s="36" t="s">
        <v>333</v>
      </c>
      <c r="E274" s="37">
        <v>44097</v>
      </c>
      <c r="F274" s="36">
        <v>148.1</v>
      </c>
      <c r="G274" s="36">
        <v>3</v>
      </c>
      <c r="H274" s="36">
        <v>6</v>
      </c>
    </row>
    <row r="275" spans="1:8" x14ac:dyDescent="0.3">
      <c r="A275" s="35" t="s">
        <v>400</v>
      </c>
      <c r="B275" s="36" t="s">
        <v>56</v>
      </c>
      <c r="C275" s="36" t="s">
        <v>5</v>
      </c>
      <c r="D275" s="36" t="s">
        <v>333</v>
      </c>
      <c r="E275" s="37">
        <v>44093</v>
      </c>
      <c r="F275" s="36">
        <v>120</v>
      </c>
      <c r="G275" s="36">
        <v>2</v>
      </c>
      <c r="H275" s="36">
        <v>0</v>
      </c>
    </row>
    <row r="276" spans="1:8" x14ac:dyDescent="0.3">
      <c r="A276" s="44" t="s">
        <v>401</v>
      </c>
      <c r="B276" s="44"/>
      <c r="C276" s="44"/>
      <c r="D276" s="44"/>
      <c r="E276" s="44"/>
      <c r="F276" s="44"/>
      <c r="G276" s="44"/>
      <c r="H276" s="44"/>
    </row>
    <row r="277" spans="1:8" x14ac:dyDescent="0.3">
      <c r="A277" s="35" t="s">
        <v>402</v>
      </c>
      <c r="B277" s="36" t="s">
        <v>15</v>
      </c>
      <c r="C277" s="36" t="s">
        <v>121</v>
      </c>
      <c r="D277" s="36" t="s">
        <v>403</v>
      </c>
      <c r="E277" s="37">
        <v>43863</v>
      </c>
      <c r="F277" s="36">
        <v>146.30000000000001</v>
      </c>
      <c r="G277" s="36">
        <v>3</v>
      </c>
      <c r="H277" s="36">
        <v>3</v>
      </c>
    </row>
    <row r="278" spans="1:8" x14ac:dyDescent="0.3">
      <c r="A278" s="35" t="s">
        <v>404</v>
      </c>
      <c r="B278" s="36" t="s">
        <v>15</v>
      </c>
      <c r="C278" s="36" t="s">
        <v>121</v>
      </c>
      <c r="D278" s="36" t="s">
        <v>405</v>
      </c>
      <c r="E278" s="37">
        <v>43859</v>
      </c>
      <c r="F278" s="36">
        <v>162.5</v>
      </c>
      <c r="G278" s="36">
        <v>6</v>
      </c>
      <c r="H278" s="36">
        <v>3</v>
      </c>
    </row>
    <row r="279" spans="1:8" x14ac:dyDescent="0.3">
      <c r="A279" s="35" t="s">
        <v>406</v>
      </c>
      <c r="B279" s="36" t="s">
        <v>15</v>
      </c>
      <c r="C279" s="36" t="s">
        <v>121</v>
      </c>
      <c r="D279" s="36" t="s">
        <v>407</v>
      </c>
      <c r="E279" s="37">
        <v>43856</v>
      </c>
      <c r="F279" s="36">
        <v>133.30000000000001</v>
      </c>
      <c r="G279" s="36">
        <v>2</v>
      </c>
      <c r="H279" s="36">
        <v>0</v>
      </c>
    </row>
    <row r="280" spans="1:8" x14ac:dyDescent="0.3">
      <c r="A280" s="35" t="s">
        <v>408</v>
      </c>
      <c r="B280" s="36" t="s">
        <v>15</v>
      </c>
      <c r="C280" s="36" t="s">
        <v>121</v>
      </c>
      <c r="D280" s="36" t="s">
        <v>407</v>
      </c>
      <c r="E280" s="37">
        <v>43854</v>
      </c>
      <c r="F280" s="36">
        <v>116.6</v>
      </c>
      <c r="G280" s="36">
        <v>0</v>
      </c>
      <c r="H280" s="36">
        <v>1</v>
      </c>
    </row>
    <row r="281" spans="1:8" x14ac:dyDescent="0.3">
      <c r="A281" s="44" t="s">
        <v>409</v>
      </c>
      <c r="B281" s="44"/>
      <c r="C281" s="44"/>
      <c r="D281" s="44"/>
      <c r="E281" s="44"/>
      <c r="F281" s="44"/>
      <c r="G281" s="44"/>
      <c r="H281" s="44"/>
    </row>
    <row r="282" spans="1:8" x14ac:dyDescent="0.3">
      <c r="A282" s="35" t="s">
        <v>410</v>
      </c>
      <c r="B282" s="36" t="s">
        <v>32</v>
      </c>
      <c r="C282" s="36" t="s">
        <v>16</v>
      </c>
      <c r="D282" s="36" t="s">
        <v>103</v>
      </c>
      <c r="E282" s="37">
        <v>43849</v>
      </c>
      <c r="F282" s="36">
        <v>92.9</v>
      </c>
      <c r="G282" s="36">
        <v>8</v>
      </c>
      <c r="H282" s="36">
        <v>6</v>
      </c>
    </row>
    <row r="283" spans="1:8" x14ac:dyDescent="0.3">
      <c r="A283" s="35" t="s">
        <v>411</v>
      </c>
      <c r="B283" s="36" t="s">
        <v>32</v>
      </c>
      <c r="C283" s="36" t="s">
        <v>16</v>
      </c>
      <c r="D283" s="36" t="s">
        <v>19</v>
      </c>
      <c r="E283" s="37">
        <v>43847</v>
      </c>
      <c r="F283" s="36">
        <v>95.4</v>
      </c>
      <c r="G283" s="36">
        <v>6</v>
      </c>
      <c r="H283" s="36">
        <v>0</v>
      </c>
    </row>
    <row r="284" spans="1:8" x14ac:dyDescent="0.3">
      <c r="A284" s="35" t="s">
        <v>412</v>
      </c>
      <c r="B284" s="36" t="s">
        <v>32</v>
      </c>
      <c r="C284" s="36" t="s">
        <v>16</v>
      </c>
      <c r="D284" s="36" t="s">
        <v>12</v>
      </c>
      <c r="E284" s="37">
        <v>43844</v>
      </c>
      <c r="F284" s="36">
        <v>66.599999999999994</v>
      </c>
      <c r="G284" s="36">
        <v>2</v>
      </c>
      <c r="H284" s="36">
        <v>0</v>
      </c>
    </row>
    <row r="285" spans="1:8" x14ac:dyDescent="0.3">
      <c r="A285" s="44" t="s">
        <v>413</v>
      </c>
      <c r="B285" s="44"/>
      <c r="C285" s="44"/>
      <c r="D285" s="44"/>
      <c r="E285" s="44"/>
      <c r="F285" s="44"/>
      <c r="G285" s="44"/>
      <c r="H285" s="44"/>
    </row>
    <row r="286" spans="1:8" x14ac:dyDescent="0.3">
      <c r="A286" s="35" t="s">
        <v>414</v>
      </c>
      <c r="B286" s="36" t="s">
        <v>208</v>
      </c>
      <c r="C286" s="36" t="s">
        <v>16</v>
      </c>
      <c r="D286" s="36" t="s">
        <v>78</v>
      </c>
      <c r="E286" s="37">
        <v>43821</v>
      </c>
      <c r="F286" s="36">
        <v>100</v>
      </c>
      <c r="G286" s="36">
        <v>8</v>
      </c>
      <c r="H286" s="36">
        <v>1</v>
      </c>
    </row>
    <row r="287" spans="1:8" x14ac:dyDescent="0.3">
      <c r="A287" s="35" t="s">
        <v>415</v>
      </c>
      <c r="B287" s="36" t="s">
        <v>208</v>
      </c>
      <c r="C287" s="36" t="s">
        <v>16</v>
      </c>
      <c r="D287" s="36" t="s">
        <v>25</v>
      </c>
      <c r="E287" s="37">
        <v>43817</v>
      </c>
      <c r="F287" s="36">
        <v>115.2</v>
      </c>
      <c r="G287" s="36">
        <v>17</v>
      </c>
      <c r="H287" s="36">
        <v>5</v>
      </c>
    </row>
    <row r="288" spans="1:8" x14ac:dyDescent="0.3">
      <c r="A288" s="35" t="s">
        <v>416</v>
      </c>
      <c r="B288" s="36" t="s">
        <v>208</v>
      </c>
      <c r="C288" s="36" t="s">
        <v>16</v>
      </c>
      <c r="D288" s="36" t="s">
        <v>64</v>
      </c>
      <c r="E288" s="37">
        <v>43814</v>
      </c>
      <c r="F288" s="36">
        <v>64.2</v>
      </c>
      <c r="G288" s="36">
        <v>6</v>
      </c>
      <c r="H288" s="36">
        <v>0</v>
      </c>
    </row>
    <row r="289" spans="1:8" x14ac:dyDescent="0.3">
      <c r="A289" s="35" t="s">
        <v>417</v>
      </c>
      <c r="B289" s="36" t="s">
        <v>208</v>
      </c>
      <c r="C289" s="36" t="s">
        <v>121</v>
      </c>
      <c r="D289" s="36" t="s">
        <v>12</v>
      </c>
      <c r="E289" s="37">
        <v>43810</v>
      </c>
      <c r="F289" s="36">
        <v>208.8</v>
      </c>
      <c r="G289" s="36">
        <v>6</v>
      </c>
      <c r="H289" s="36">
        <v>5</v>
      </c>
    </row>
    <row r="290" spans="1:8" x14ac:dyDescent="0.3">
      <c r="A290" s="35" t="s">
        <v>418</v>
      </c>
      <c r="B290" s="36" t="s">
        <v>208</v>
      </c>
      <c r="C290" s="36" t="s">
        <v>121</v>
      </c>
      <c r="D290" s="36" t="s">
        <v>254</v>
      </c>
      <c r="E290" s="37">
        <v>43807</v>
      </c>
      <c r="F290" s="36">
        <v>83.3</v>
      </c>
      <c r="G290" s="36">
        <v>2</v>
      </c>
      <c r="H290" s="36">
        <v>0</v>
      </c>
    </row>
    <row r="291" spans="1:8" x14ac:dyDescent="0.3">
      <c r="A291" s="35" t="s">
        <v>340</v>
      </c>
      <c r="B291" s="36" t="s">
        <v>208</v>
      </c>
      <c r="C291" s="36" t="s">
        <v>121</v>
      </c>
      <c r="D291" s="36" t="s">
        <v>54</v>
      </c>
      <c r="E291" s="37">
        <v>43805</v>
      </c>
      <c r="F291" s="36">
        <v>80</v>
      </c>
      <c r="G291" s="36">
        <v>1</v>
      </c>
      <c r="H291" s="36">
        <v>0</v>
      </c>
    </row>
    <row r="292" spans="1:8" x14ac:dyDescent="0.3">
      <c r="A292" s="44" t="s">
        <v>419</v>
      </c>
      <c r="B292" s="44"/>
      <c r="C292" s="44"/>
      <c r="D292" s="44"/>
      <c r="E292" s="44"/>
      <c r="F292" s="44"/>
      <c r="G292" s="44"/>
      <c r="H292" s="44"/>
    </row>
    <row r="293" spans="1:8" x14ac:dyDescent="0.3">
      <c r="A293" s="35" t="s">
        <v>420</v>
      </c>
      <c r="B293" s="36" t="s">
        <v>73</v>
      </c>
      <c r="C293" s="36" t="s">
        <v>83</v>
      </c>
      <c r="D293" s="36" t="s">
        <v>139</v>
      </c>
      <c r="E293" s="37">
        <v>43791</v>
      </c>
      <c r="F293" s="36" t="s">
        <v>421</v>
      </c>
      <c r="G293" s="36" t="s">
        <v>90</v>
      </c>
      <c r="H293" s="36" t="s">
        <v>239</v>
      </c>
    </row>
    <row r="294" spans="1:8" x14ac:dyDescent="0.3">
      <c r="A294" s="35" t="s">
        <v>316</v>
      </c>
      <c r="B294" s="36" t="s">
        <v>73</v>
      </c>
      <c r="C294" s="36" t="s">
        <v>83</v>
      </c>
      <c r="D294" s="36" t="s">
        <v>17</v>
      </c>
      <c r="E294" s="37">
        <v>43783</v>
      </c>
      <c r="F294" s="36" t="s">
        <v>422</v>
      </c>
      <c r="G294" s="36" t="s">
        <v>239</v>
      </c>
      <c r="H294" s="36" t="s">
        <v>91</v>
      </c>
    </row>
    <row r="295" spans="1:8" x14ac:dyDescent="0.3">
      <c r="A295" s="35" t="s">
        <v>299</v>
      </c>
      <c r="B295" s="36" t="s">
        <v>73</v>
      </c>
      <c r="C295" s="36" t="s">
        <v>121</v>
      </c>
      <c r="D295" s="36" t="s">
        <v>80</v>
      </c>
      <c r="E295" s="37">
        <v>43779</v>
      </c>
      <c r="F295" s="36">
        <v>33.299999999999997</v>
      </c>
      <c r="G295" s="36">
        <v>0</v>
      </c>
      <c r="H295" s="36">
        <v>0</v>
      </c>
    </row>
    <row r="296" spans="1:8" x14ac:dyDescent="0.3">
      <c r="A296" s="35" t="s">
        <v>423</v>
      </c>
      <c r="B296" s="36" t="s">
        <v>73</v>
      </c>
      <c r="C296" s="36" t="s">
        <v>121</v>
      </c>
      <c r="D296" s="36" t="s">
        <v>19</v>
      </c>
      <c r="E296" s="37">
        <v>43776</v>
      </c>
      <c r="F296" s="36">
        <v>197.6</v>
      </c>
      <c r="G296" s="36">
        <v>6</v>
      </c>
      <c r="H296" s="36">
        <v>6</v>
      </c>
    </row>
    <row r="297" spans="1:8" x14ac:dyDescent="0.3">
      <c r="A297" s="35" t="s">
        <v>120</v>
      </c>
      <c r="B297" s="36" t="s">
        <v>73</v>
      </c>
      <c r="C297" s="36" t="s">
        <v>121</v>
      </c>
      <c r="D297" s="36" t="s">
        <v>9</v>
      </c>
      <c r="E297" s="37">
        <v>43772</v>
      </c>
      <c r="F297" s="36">
        <v>180</v>
      </c>
      <c r="G297" s="36">
        <v>2</v>
      </c>
      <c r="H297" s="36">
        <v>0</v>
      </c>
    </row>
    <row r="298" spans="1:8" x14ac:dyDescent="0.3">
      <c r="A298" s="44" t="s">
        <v>424</v>
      </c>
      <c r="B298" s="44"/>
      <c r="C298" s="44"/>
      <c r="D298" s="44"/>
      <c r="E298" s="44"/>
      <c r="F298" s="44"/>
      <c r="G298" s="44"/>
      <c r="H298" s="44"/>
    </row>
    <row r="299" spans="1:8" x14ac:dyDescent="0.3">
      <c r="A299" s="35" t="s">
        <v>425</v>
      </c>
      <c r="B299" s="36" t="s">
        <v>24</v>
      </c>
      <c r="C299" s="36" t="s">
        <v>83</v>
      </c>
      <c r="D299" s="36" t="s">
        <v>29</v>
      </c>
      <c r="E299" s="37">
        <v>43757</v>
      </c>
      <c r="F299" s="36" t="s">
        <v>426</v>
      </c>
      <c r="G299" s="36" t="s">
        <v>427</v>
      </c>
      <c r="H299" s="36" t="s">
        <v>316</v>
      </c>
    </row>
    <row r="300" spans="1:8" x14ac:dyDescent="0.3">
      <c r="A300" s="35" t="s">
        <v>428</v>
      </c>
      <c r="B300" s="36" t="s">
        <v>24</v>
      </c>
      <c r="C300" s="36" t="s">
        <v>83</v>
      </c>
      <c r="D300" s="36" t="s">
        <v>100</v>
      </c>
      <c r="E300" s="37">
        <v>43748</v>
      </c>
      <c r="F300" s="36" t="s">
        <v>429</v>
      </c>
      <c r="G300" s="36" t="s">
        <v>239</v>
      </c>
      <c r="H300" s="36" t="s">
        <v>91</v>
      </c>
    </row>
    <row r="301" spans="1:8" x14ac:dyDescent="0.3">
      <c r="A301" s="35" t="s">
        <v>430</v>
      </c>
      <c r="B301" s="36" t="s">
        <v>24</v>
      </c>
      <c r="C301" s="36" t="s">
        <v>83</v>
      </c>
      <c r="D301" s="36" t="s">
        <v>25</v>
      </c>
      <c r="E301" s="37">
        <v>43740</v>
      </c>
      <c r="F301" s="36" t="s">
        <v>431</v>
      </c>
      <c r="G301" s="36" t="s">
        <v>432</v>
      </c>
      <c r="H301" s="36" t="s">
        <v>433</v>
      </c>
    </row>
    <row r="302" spans="1:8" x14ac:dyDescent="0.3">
      <c r="A302" s="35" t="s">
        <v>394</v>
      </c>
      <c r="B302" s="36" t="s">
        <v>24</v>
      </c>
      <c r="C302" s="36" t="s">
        <v>121</v>
      </c>
      <c r="D302" s="36" t="s">
        <v>103</v>
      </c>
      <c r="E302" s="37">
        <v>43730</v>
      </c>
      <c r="F302" s="36">
        <v>112.5</v>
      </c>
      <c r="G302" s="36">
        <v>2</v>
      </c>
      <c r="H302" s="36">
        <v>0</v>
      </c>
    </row>
    <row r="303" spans="1:8" x14ac:dyDescent="0.3">
      <c r="A303" s="35" t="s">
        <v>372</v>
      </c>
      <c r="B303" s="36" t="s">
        <v>24</v>
      </c>
      <c r="C303" s="36" t="s">
        <v>121</v>
      </c>
      <c r="D303" s="36" t="s">
        <v>173</v>
      </c>
      <c r="E303" s="37">
        <v>43726</v>
      </c>
      <c r="F303" s="36">
        <v>100</v>
      </c>
      <c r="G303" s="36">
        <v>0</v>
      </c>
      <c r="H303" s="36">
        <v>2</v>
      </c>
    </row>
    <row r="304" spans="1:8" x14ac:dyDescent="0.3">
      <c r="A304" s="44" t="s">
        <v>434</v>
      </c>
      <c r="B304" s="44"/>
      <c r="C304" s="44"/>
      <c r="D304" s="44"/>
      <c r="E304" s="44"/>
      <c r="F304" s="44"/>
      <c r="G304" s="44"/>
      <c r="H304" s="44"/>
    </row>
    <row r="305" spans="1:8" x14ac:dyDescent="0.3">
      <c r="A305" s="35" t="s">
        <v>435</v>
      </c>
      <c r="B305" s="36" t="s">
        <v>208</v>
      </c>
      <c r="C305" s="36" t="s">
        <v>16</v>
      </c>
      <c r="D305" s="36" t="s">
        <v>210</v>
      </c>
      <c r="E305" s="37">
        <v>43691</v>
      </c>
      <c r="F305" s="36">
        <v>166.6</v>
      </c>
      <c r="G305" s="36">
        <v>2</v>
      </c>
      <c r="H305" s="36">
        <v>0</v>
      </c>
    </row>
    <row r="306" spans="1:8" x14ac:dyDescent="0.3">
      <c r="A306" s="35" t="s">
        <v>436</v>
      </c>
      <c r="B306" s="36" t="s">
        <v>208</v>
      </c>
      <c r="C306" s="36" t="s">
        <v>16</v>
      </c>
      <c r="D306" s="36" t="s">
        <v>210</v>
      </c>
      <c r="E306" s="37">
        <v>43688</v>
      </c>
      <c r="F306" s="36">
        <v>52.9</v>
      </c>
      <c r="G306" s="36">
        <v>2</v>
      </c>
      <c r="H306" s="36">
        <v>0</v>
      </c>
    </row>
    <row r="307" spans="1:8" x14ac:dyDescent="0.3">
      <c r="A307" s="35" t="s">
        <v>437</v>
      </c>
      <c r="B307" s="36" t="s">
        <v>208</v>
      </c>
      <c r="C307" s="36" t="s">
        <v>121</v>
      </c>
      <c r="D307" s="36" t="s">
        <v>281</v>
      </c>
      <c r="E307" s="37">
        <v>43681</v>
      </c>
      <c r="F307" s="36">
        <v>131.30000000000001</v>
      </c>
      <c r="G307" s="36">
        <v>6</v>
      </c>
      <c r="H307" s="36">
        <v>3</v>
      </c>
    </row>
    <row r="308" spans="1:8" x14ac:dyDescent="0.3">
      <c r="A308" s="35" t="s">
        <v>438</v>
      </c>
      <c r="B308" s="36" t="s">
        <v>208</v>
      </c>
      <c r="C308" s="36" t="s">
        <v>121</v>
      </c>
      <c r="D308" s="36" t="s">
        <v>281</v>
      </c>
      <c r="E308" s="37">
        <v>43680</v>
      </c>
      <c r="F308" s="36">
        <v>96</v>
      </c>
      <c r="G308" s="36">
        <v>2</v>
      </c>
      <c r="H308" s="36">
        <v>2</v>
      </c>
    </row>
    <row r="309" spans="1:8" x14ac:dyDescent="0.3">
      <c r="A309" s="44" t="s">
        <v>439</v>
      </c>
      <c r="B309" s="44"/>
      <c r="C309" s="44"/>
      <c r="D309" s="44"/>
      <c r="E309" s="44"/>
      <c r="F309" s="44"/>
      <c r="G309" s="44"/>
      <c r="H309" s="44"/>
    </row>
    <row r="310" spans="1:8" x14ac:dyDescent="0.3">
      <c r="A310" s="35" t="s">
        <v>440</v>
      </c>
      <c r="B310" s="36" t="s">
        <v>15</v>
      </c>
      <c r="C310" s="36" t="s">
        <v>16</v>
      </c>
      <c r="D310" s="36" t="s">
        <v>287</v>
      </c>
      <c r="E310" s="37">
        <v>43655</v>
      </c>
      <c r="F310" s="36">
        <v>25</v>
      </c>
      <c r="G310" s="36">
        <v>0</v>
      </c>
      <c r="H310" s="36">
        <v>0</v>
      </c>
    </row>
    <row r="311" spans="1:8" x14ac:dyDescent="0.3">
      <c r="A311" s="35" t="s">
        <v>441</v>
      </c>
      <c r="B311" s="36" t="s">
        <v>115</v>
      </c>
      <c r="C311" s="36" t="s">
        <v>16</v>
      </c>
      <c r="D311" s="36" t="s">
        <v>347</v>
      </c>
      <c r="E311" s="37">
        <v>43652</v>
      </c>
      <c r="F311" s="36">
        <v>109.5</v>
      </c>
      <c r="G311" s="36">
        <v>14</v>
      </c>
      <c r="H311" s="36">
        <v>2</v>
      </c>
    </row>
    <row r="312" spans="1:8" x14ac:dyDescent="0.3">
      <c r="A312" s="35" t="s">
        <v>442</v>
      </c>
      <c r="B312" s="36" t="s">
        <v>73</v>
      </c>
      <c r="C312" s="36" t="s">
        <v>16</v>
      </c>
      <c r="D312" s="36" t="s">
        <v>292</v>
      </c>
      <c r="E312" s="37">
        <v>43648</v>
      </c>
      <c r="F312" s="36">
        <v>113</v>
      </c>
      <c r="G312" s="36">
        <v>7</v>
      </c>
      <c r="H312" s="36">
        <v>5</v>
      </c>
    </row>
    <row r="313" spans="1:8" x14ac:dyDescent="0.3">
      <c r="A313" s="35" t="s">
        <v>443</v>
      </c>
      <c r="B313" s="36" t="s">
        <v>76</v>
      </c>
      <c r="C313" s="36" t="s">
        <v>16</v>
      </c>
      <c r="D313" s="36" t="s">
        <v>292</v>
      </c>
      <c r="E313" s="37">
        <v>43646</v>
      </c>
      <c r="F313" s="36">
        <v>93.5</v>
      </c>
      <c r="G313" s="36">
        <v>15</v>
      </c>
      <c r="H313" s="36">
        <v>0</v>
      </c>
    </row>
    <row r="314" spans="1:8" x14ac:dyDescent="0.3">
      <c r="A314" s="35" t="s">
        <v>444</v>
      </c>
      <c r="B314" s="36" t="s">
        <v>208</v>
      </c>
      <c r="C314" s="36" t="s">
        <v>16</v>
      </c>
      <c r="D314" s="36" t="s">
        <v>287</v>
      </c>
      <c r="E314" s="37">
        <v>43643</v>
      </c>
      <c r="F314" s="36">
        <v>78.2</v>
      </c>
      <c r="G314" s="36">
        <v>1</v>
      </c>
      <c r="H314" s="36">
        <v>1</v>
      </c>
    </row>
    <row r="315" spans="1:8" x14ac:dyDescent="0.3">
      <c r="A315" s="35" t="s">
        <v>234</v>
      </c>
      <c r="B315" s="36" t="s">
        <v>130</v>
      </c>
      <c r="C315" s="36" t="s">
        <v>16</v>
      </c>
      <c r="D315" s="36" t="s">
        <v>294</v>
      </c>
      <c r="E315" s="37">
        <v>43638</v>
      </c>
      <c r="F315" s="36">
        <v>10</v>
      </c>
      <c r="G315" s="36">
        <v>0</v>
      </c>
      <c r="H315" s="36">
        <v>0</v>
      </c>
    </row>
    <row r="316" spans="1:8" x14ac:dyDescent="0.3">
      <c r="A316" s="35" t="s">
        <v>445</v>
      </c>
      <c r="B316" s="36" t="s">
        <v>71</v>
      </c>
      <c r="C316" s="36" t="s">
        <v>16</v>
      </c>
      <c r="D316" s="36" t="s">
        <v>287</v>
      </c>
      <c r="E316" s="37">
        <v>43632</v>
      </c>
      <c r="F316" s="36">
        <v>123.8</v>
      </c>
      <c r="G316" s="36">
        <v>14</v>
      </c>
      <c r="H316" s="36">
        <v>3</v>
      </c>
    </row>
    <row r="317" spans="1:8" x14ac:dyDescent="0.3">
      <c r="A317" s="35" t="s">
        <v>446</v>
      </c>
      <c r="B317" s="36" t="s">
        <v>32</v>
      </c>
      <c r="C317" s="36" t="s">
        <v>16</v>
      </c>
      <c r="D317" s="36" t="s">
        <v>218</v>
      </c>
      <c r="E317" s="37">
        <v>43625</v>
      </c>
      <c r="F317" s="36">
        <v>81.400000000000006</v>
      </c>
      <c r="G317" s="36">
        <v>3</v>
      </c>
      <c r="H317" s="36">
        <v>1</v>
      </c>
    </row>
    <row r="318" spans="1:8" x14ac:dyDescent="0.3">
      <c r="A318" s="35" t="s">
        <v>447</v>
      </c>
      <c r="B318" s="36" t="s">
        <v>24</v>
      </c>
      <c r="C318" s="36" t="s">
        <v>16</v>
      </c>
      <c r="D318" s="36" t="s">
        <v>294</v>
      </c>
      <c r="E318" s="37">
        <v>43621</v>
      </c>
      <c r="F318" s="36">
        <v>84.7</v>
      </c>
      <c r="G318" s="36">
        <v>13</v>
      </c>
      <c r="H318" s="36">
        <v>2</v>
      </c>
    </row>
    <row r="319" spans="1:8" x14ac:dyDescent="0.3">
      <c r="A319" s="44" t="s">
        <v>448</v>
      </c>
      <c r="B319" s="44"/>
      <c r="C319" s="44"/>
      <c r="D319" s="44"/>
      <c r="E319" s="44"/>
      <c r="F319" s="44"/>
      <c r="G319" s="44"/>
      <c r="H319" s="44"/>
    </row>
    <row r="320" spans="1:8" x14ac:dyDescent="0.3">
      <c r="A320" s="35" t="s">
        <v>265</v>
      </c>
      <c r="B320" s="36" t="s">
        <v>56</v>
      </c>
      <c r="C320" s="36" t="s">
        <v>5</v>
      </c>
      <c r="D320" s="36" t="s">
        <v>54</v>
      </c>
      <c r="E320" s="37">
        <v>43597</v>
      </c>
      <c r="F320" s="36">
        <v>107.1</v>
      </c>
      <c r="G320" s="36">
        <v>1</v>
      </c>
      <c r="H320" s="36">
        <v>1</v>
      </c>
    </row>
    <row r="321" spans="1:8" x14ac:dyDescent="0.3">
      <c r="A321" s="35" t="s">
        <v>189</v>
      </c>
      <c r="B321" s="36" t="s">
        <v>56</v>
      </c>
      <c r="C321" s="36" t="s">
        <v>5</v>
      </c>
      <c r="D321" s="36" t="s">
        <v>64</v>
      </c>
      <c r="E321" s="37">
        <v>43592</v>
      </c>
      <c r="F321" s="36">
        <v>200</v>
      </c>
      <c r="G321" s="36">
        <v>1</v>
      </c>
      <c r="H321" s="36">
        <v>0</v>
      </c>
    </row>
    <row r="322" spans="1:8" x14ac:dyDescent="0.3">
      <c r="A322" s="35" t="s">
        <v>449</v>
      </c>
      <c r="B322" s="36" t="s">
        <v>11</v>
      </c>
      <c r="C322" s="36" t="s">
        <v>5</v>
      </c>
      <c r="D322" s="36" t="s">
        <v>12</v>
      </c>
      <c r="E322" s="37">
        <v>43590</v>
      </c>
      <c r="F322" s="36">
        <v>114.5</v>
      </c>
      <c r="G322" s="36">
        <v>8</v>
      </c>
      <c r="H322" s="36">
        <v>0</v>
      </c>
    </row>
    <row r="323" spans="1:8" x14ac:dyDescent="0.3">
      <c r="A323" s="35" t="s">
        <v>450</v>
      </c>
      <c r="B323" s="36" t="s">
        <v>53</v>
      </c>
      <c r="C323" s="36" t="s">
        <v>5</v>
      </c>
      <c r="D323" s="36" t="s">
        <v>12</v>
      </c>
      <c r="E323" s="37">
        <v>43587</v>
      </c>
      <c r="F323" s="36">
        <v>133.30000000000001</v>
      </c>
      <c r="G323" s="36">
        <v>5</v>
      </c>
      <c r="H323" s="36">
        <v>0</v>
      </c>
    </row>
    <row r="324" spans="1:8" x14ac:dyDescent="0.3">
      <c r="A324" s="35" t="s">
        <v>451</v>
      </c>
      <c r="B324" s="36" t="s">
        <v>11</v>
      </c>
      <c r="C324" s="36" t="s">
        <v>5</v>
      </c>
      <c r="D324" s="36" t="s">
        <v>139</v>
      </c>
      <c r="E324" s="37">
        <v>43583</v>
      </c>
      <c r="F324" s="36">
        <v>133.30000000000001</v>
      </c>
      <c r="G324" s="36">
        <v>3</v>
      </c>
      <c r="H324" s="36">
        <v>0</v>
      </c>
    </row>
    <row r="325" spans="1:8" x14ac:dyDescent="0.3">
      <c r="A325" s="35" t="s">
        <v>452</v>
      </c>
      <c r="B325" s="36" t="s">
        <v>56</v>
      </c>
      <c r="C325" s="36" t="s">
        <v>5</v>
      </c>
      <c r="D325" s="36" t="s">
        <v>64</v>
      </c>
      <c r="E325" s="37">
        <v>43581</v>
      </c>
      <c r="F325" s="36">
        <v>139.5</v>
      </c>
      <c r="G325" s="36">
        <v>6</v>
      </c>
      <c r="H325" s="36">
        <v>3</v>
      </c>
    </row>
    <row r="326" spans="1:8" x14ac:dyDescent="0.3">
      <c r="A326" s="35" t="s">
        <v>453</v>
      </c>
      <c r="B326" s="36" t="s">
        <v>4</v>
      </c>
      <c r="C326" s="36" t="s">
        <v>5</v>
      </c>
      <c r="D326" s="36" t="s">
        <v>46</v>
      </c>
      <c r="E326" s="37">
        <v>43575</v>
      </c>
      <c r="F326" s="36">
        <v>71.400000000000006</v>
      </c>
      <c r="G326" s="36">
        <v>1</v>
      </c>
      <c r="H326" s="36">
        <v>0</v>
      </c>
    </row>
    <row r="327" spans="1:8" x14ac:dyDescent="0.3">
      <c r="A327" s="35" t="s">
        <v>454</v>
      </c>
      <c r="B327" s="36" t="s">
        <v>8</v>
      </c>
      <c r="C327" s="36" t="s">
        <v>5</v>
      </c>
      <c r="D327" s="36" t="s">
        <v>9</v>
      </c>
      <c r="E327" s="37">
        <v>43573</v>
      </c>
      <c r="F327" s="36">
        <v>136.30000000000001</v>
      </c>
      <c r="G327" s="36">
        <v>3</v>
      </c>
      <c r="H327" s="36">
        <v>1</v>
      </c>
    </row>
    <row r="328" spans="1:8" x14ac:dyDescent="0.3">
      <c r="A328" s="35" t="s">
        <v>455</v>
      </c>
      <c r="B328" s="36" t="s">
        <v>60</v>
      </c>
      <c r="C328" s="36" t="s">
        <v>5</v>
      </c>
      <c r="D328" s="36" t="s">
        <v>12</v>
      </c>
      <c r="E328" s="37">
        <v>43570</v>
      </c>
      <c r="F328" s="36">
        <v>147.30000000000001</v>
      </c>
      <c r="G328" s="36">
        <v>2</v>
      </c>
      <c r="H328" s="36">
        <v>2</v>
      </c>
    </row>
    <row r="329" spans="1:8" x14ac:dyDescent="0.3">
      <c r="A329" s="35" t="s">
        <v>456</v>
      </c>
      <c r="B329" s="36" t="s">
        <v>4</v>
      </c>
      <c r="C329" s="36" t="s">
        <v>5</v>
      </c>
      <c r="D329" s="36" t="s">
        <v>12</v>
      </c>
      <c r="E329" s="37">
        <v>43568</v>
      </c>
      <c r="F329" s="36">
        <v>146.80000000000001</v>
      </c>
      <c r="G329" s="36">
        <v>6</v>
      </c>
      <c r="H329" s="36">
        <v>1</v>
      </c>
    </row>
    <row r="330" spans="1:8" x14ac:dyDescent="0.3">
      <c r="A330" s="35" t="s">
        <v>457</v>
      </c>
      <c r="B330" s="36" t="s">
        <v>53</v>
      </c>
      <c r="C330" s="36" t="s">
        <v>5</v>
      </c>
      <c r="D330" s="36" t="s">
        <v>54</v>
      </c>
      <c r="E330" s="37">
        <v>43561</v>
      </c>
      <c r="F330" s="36">
        <v>78.5</v>
      </c>
      <c r="G330" s="36">
        <v>0</v>
      </c>
      <c r="H330" s="36">
        <v>1</v>
      </c>
    </row>
    <row r="331" spans="1:8" x14ac:dyDescent="0.3">
      <c r="A331" s="35" t="s">
        <v>458</v>
      </c>
      <c r="B331" s="36" t="s">
        <v>56</v>
      </c>
      <c r="C331" s="36" t="s">
        <v>5</v>
      </c>
      <c r="D331" s="36" t="s">
        <v>12</v>
      </c>
      <c r="E331" s="37">
        <v>43558</v>
      </c>
      <c r="F331" s="36">
        <v>72.2</v>
      </c>
      <c r="G331" s="36">
        <v>1</v>
      </c>
      <c r="H331" s="36">
        <v>0</v>
      </c>
    </row>
    <row r="332" spans="1:8" x14ac:dyDescent="0.3">
      <c r="A332" s="35" t="s">
        <v>459</v>
      </c>
      <c r="B332" s="36" t="s">
        <v>40</v>
      </c>
      <c r="C332" s="36" t="s">
        <v>5</v>
      </c>
      <c r="D332" s="36" t="s">
        <v>173</v>
      </c>
      <c r="E332" s="37">
        <v>43554</v>
      </c>
      <c r="F332" s="36">
        <v>177.7</v>
      </c>
      <c r="G332" s="36">
        <v>5</v>
      </c>
      <c r="H332" s="36">
        <v>0</v>
      </c>
    </row>
    <row r="333" spans="1:8" x14ac:dyDescent="0.3">
      <c r="A333" s="35" t="s">
        <v>460</v>
      </c>
      <c r="B333" s="36" t="s">
        <v>60</v>
      </c>
      <c r="C333" s="36" t="s">
        <v>5</v>
      </c>
      <c r="D333" s="36" t="s">
        <v>103</v>
      </c>
      <c r="E333" s="37">
        <v>43552</v>
      </c>
      <c r="F333" s="36">
        <v>145.4</v>
      </c>
      <c r="G333" s="36">
        <v>8</v>
      </c>
      <c r="H333" s="36">
        <v>1</v>
      </c>
    </row>
    <row r="334" spans="1:8" x14ac:dyDescent="0.3">
      <c r="A334" s="35" t="s">
        <v>461</v>
      </c>
      <c r="B334" s="36" t="s">
        <v>8</v>
      </c>
      <c r="C334" s="36" t="s">
        <v>5</v>
      </c>
      <c r="D334" s="36" t="s">
        <v>12</v>
      </c>
      <c r="E334" s="37">
        <v>43548</v>
      </c>
      <c r="F334" s="36">
        <v>107.6</v>
      </c>
      <c r="G334" s="36">
        <v>2</v>
      </c>
      <c r="H334" s="36">
        <v>0</v>
      </c>
    </row>
    <row r="335" spans="1:8" x14ac:dyDescent="0.3">
      <c r="A335" s="44" t="s">
        <v>462</v>
      </c>
      <c r="B335" s="44"/>
      <c r="C335" s="44"/>
      <c r="D335" s="44"/>
      <c r="E335" s="44"/>
      <c r="F335" s="44"/>
      <c r="G335" s="44"/>
      <c r="H335" s="44"/>
    </row>
    <row r="336" spans="1:8" x14ac:dyDescent="0.3">
      <c r="A336" s="35" t="s">
        <v>463</v>
      </c>
      <c r="B336" s="36" t="s">
        <v>32</v>
      </c>
      <c r="C336" s="36" t="s">
        <v>16</v>
      </c>
      <c r="D336" s="36" t="s">
        <v>9</v>
      </c>
      <c r="E336" s="37">
        <v>43537</v>
      </c>
      <c r="F336" s="36">
        <v>62.9</v>
      </c>
      <c r="G336" s="36">
        <v>4</v>
      </c>
      <c r="H336" s="36">
        <v>0</v>
      </c>
    </row>
    <row r="337" spans="1:8" x14ac:dyDescent="0.3">
      <c r="A337" s="35" t="s">
        <v>464</v>
      </c>
      <c r="B337" s="36" t="s">
        <v>32</v>
      </c>
      <c r="C337" s="36" t="s">
        <v>16</v>
      </c>
      <c r="D337" s="36" t="s">
        <v>173</v>
      </c>
      <c r="E337" s="37">
        <v>43534</v>
      </c>
      <c r="F337" s="36">
        <v>103.2</v>
      </c>
      <c r="G337" s="36">
        <v>7</v>
      </c>
      <c r="H337" s="36">
        <v>2</v>
      </c>
    </row>
    <row r="338" spans="1:8" x14ac:dyDescent="0.3">
      <c r="A338" s="35" t="s">
        <v>334</v>
      </c>
      <c r="B338" s="36" t="s">
        <v>32</v>
      </c>
      <c r="C338" s="36" t="s">
        <v>16</v>
      </c>
      <c r="D338" s="36" t="s">
        <v>29</v>
      </c>
      <c r="E338" s="37">
        <v>43532</v>
      </c>
      <c r="F338" s="36">
        <v>100</v>
      </c>
      <c r="G338" s="36">
        <v>2</v>
      </c>
      <c r="H338" s="36">
        <v>1</v>
      </c>
    </row>
    <row r="339" spans="1:8" x14ac:dyDescent="0.3">
      <c r="A339" s="35" t="s">
        <v>195</v>
      </c>
      <c r="B339" s="36" t="s">
        <v>32</v>
      </c>
      <c r="C339" s="36" t="s">
        <v>16</v>
      </c>
      <c r="D339" s="36" t="s">
        <v>80</v>
      </c>
      <c r="E339" s="37">
        <v>43529</v>
      </c>
      <c r="F339" s="36">
        <v>0</v>
      </c>
      <c r="G339" s="36">
        <v>0</v>
      </c>
      <c r="H339" s="36">
        <v>0</v>
      </c>
    </row>
    <row r="340" spans="1:8" x14ac:dyDescent="0.3">
      <c r="A340" s="35" t="s">
        <v>465</v>
      </c>
      <c r="B340" s="36" t="s">
        <v>32</v>
      </c>
      <c r="C340" s="36" t="s">
        <v>16</v>
      </c>
      <c r="D340" s="36" t="s">
        <v>54</v>
      </c>
      <c r="E340" s="37">
        <v>43526</v>
      </c>
      <c r="F340" s="36">
        <v>56</v>
      </c>
      <c r="G340" s="36">
        <v>5</v>
      </c>
      <c r="H340" s="36">
        <v>0</v>
      </c>
    </row>
    <row r="341" spans="1:8" x14ac:dyDescent="0.3">
      <c r="A341" s="35" t="s">
        <v>323</v>
      </c>
      <c r="B341" s="36" t="s">
        <v>32</v>
      </c>
      <c r="C341" s="36" t="s">
        <v>121</v>
      </c>
      <c r="D341" s="36" t="s">
        <v>25</v>
      </c>
      <c r="E341" s="37">
        <v>43520</v>
      </c>
      <c r="F341" s="36">
        <v>62.5</v>
      </c>
      <c r="G341" s="36">
        <v>0</v>
      </c>
      <c r="H341" s="36">
        <v>0</v>
      </c>
    </row>
    <row r="342" spans="1:8" x14ac:dyDescent="0.3">
      <c r="A342" s="44" t="s">
        <v>466</v>
      </c>
      <c r="B342" s="44"/>
      <c r="C342" s="44"/>
      <c r="D342" s="44"/>
      <c r="E342" s="44"/>
      <c r="F342" s="44"/>
      <c r="G342" s="44"/>
      <c r="H342" s="44"/>
    </row>
    <row r="343" spans="1:8" x14ac:dyDescent="0.3">
      <c r="A343" s="35" t="s">
        <v>467</v>
      </c>
      <c r="B343" s="36" t="s">
        <v>15</v>
      </c>
      <c r="C343" s="36" t="s">
        <v>121</v>
      </c>
      <c r="D343" s="36" t="s">
        <v>405</v>
      </c>
      <c r="E343" s="37">
        <v>43506</v>
      </c>
      <c r="F343" s="36">
        <v>118.7</v>
      </c>
      <c r="G343" s="36">
        <v>3</v>
      </c>
      <c r="H343" s="36">
        <v>0</v>
      </c>
    </row>
    <row r="344" spans="1:8" x14ac:dyDescent="0.3">
      <c r="A344" s="35" t="s">
        <v>468</v>
      </c>
      <c r="B344" s="36" t="s">
        <v>15</v>
      </c>
      <c r="C344" s="36" t="s">
        <v>121</v>
      </c>
      <c r="D344" s="36" t="s">
        <v>407</v>
      </c>
      <c r="E344" s="37">
        <v>43504</v>
      </c>
      <c r="F344" s="36">
        <v>172.4</v>
      </c>
      <c r="G344" s="36">
        <v>3</v>
      </c>
      <c r="H344" s="36">
        <v>4</v>
      </c>
    </row>
    <row r="345" spans="1:8" x14ac:dyDescent="0.3">
      <c r="A345" s="35" t="s">
        <v>469</v>
      </c>
      <c r="B345" s="36" t="s">
        <v>15</v>
      </c>
      <c r="C345" s="36" t="s">
        <v>121</v>
      </c>
      <c r="D345" s="36" t="s">
        <v>470</v>
      </c>
      <c r="E345" s="37">
        <v>43502</v>
      </c>
      <c r="F345" s="36">
        <v>20</v>
      </c>
      <c r="G345" s="36">
        <v>0</v>
      </c>
      <c r="H345" s="36">
        <v>0</v>
      </c>
    </row>
    <row r="346" spans="1:8" x14ac:dyDescent="0.3">
      <c r="A346" s="35" t="s">
        <v>471</v>
      </c>
      <c r="B346" s="36" t="s">
        <v>15</v>
      </c>
      <c r="C346" s="36" t="s">
        <v>16</v>
      </c>
      <c r="D346" s="36" t="s">
        <v>470</v>
      </c>
      <c r="E346" s="37">
        <v>43499</v>
      </c>
      <c r="F346" s="36">
        <v>12.5</v>
      </c>
      <c r="G346" s="36">
        <v>0</v>
      </c>
      <c r="H346" s="36">
        <v>0</v>
      </c>
    </row>
    <row r="347" spans="1:8" x14ac:dyDescent="0.3">
      <c r="A347" s="35" t="s">
        <v>472</v>
      </c>
      <c r="B347" s="36" t="s">
        <v>15</v>
      </c>
      <c r="C347" s="36" t="s">
        <v>16</v>
      </c>
      <c r="D347" s="36" t="s">
        <v>405</v>
      </c>
      <c r="E347" s="37">
        <v>43496</v>
      </c>
      <c r="F347" s="36">
        <v>30.4</v>
      </c>
      <c r="G347" s="36">
        <v>0</v>
      </c>
      <c r="H347" s="36">
        <v>0</v>
      </c>
    </row>
    <row r="348" spans="1:8" x14ac:dyDescent="0.3">
      <c r="A348" s="35" t="s">
        <v>473</v>
      </c>
      <c r="B348" s="36" t="s">
        <v>15</v>
      </c>
      <c r="C348" s="36" t="s">
        <v>16</v>
      </c>
      <c r="D348" s="36" t="s">
        <v>403</v>
      </c>
      <c r="E348" s="37">
        <v>43493</v>
      </c>
      <c r="F348" s="36">
        <v>80.5</v>
      </c>
      <c r="G348" s="36">
        <v>3</v>
      </c>
      <c r="H348" s="36">
        <v>2</v>
      </c>
    </row>
    <row r="349" spans="1:8" x14ac:dyDescent="0.3">
      <c r="A349" s="35" t="s">
        <v>474</v>
      </c>
      <c r="B349" s="36" t="s">
        <v>15</v>
      </c>
      <c r="C349" s="36" t="s">
        <v>16</v>
      </c>
      <c r="D349" s="36" t="s">
        <v>403</v>
      </c>
      <c r="E349" s="37">
        <v>43491</v>
      </c>
      <c r="F349" s="36">
        <v>90.6</v>
      </c>
      <c r="G349" s="36">
        <v>9</v>
      </c>
      <c r="H349" s="36">
        <v>3</v>
      </c>
    </row>
    <row r="350" spans="1:8" x14ac:dyDescent="0.3">
      <c r="A350" s="35" t="s">
        <v>475</v>
      </c>
      <c r="B350" s="36" t="s">
        <v>15</v>
      </c>
      <c r="C350" s="36" t="s">
        <v>16</v>
      </c>
      <c r="D350" s="36" t="s">
        <v>476</v>
      </c>
      <c r="E350" s="37">
        <v>43488</v>
      </c>
      <c r="F350" s="36">
        <v>45.8</v>
      </c>
      <c r="G350" s="36">
        <v>1</v>
      </c>
      <c r="H350" s="36">
        <v>0</v>
      </c>
    </row>
    <row r="351" spans="1:8" x14ac:dyDescent="0.3">
      <c r="A351" s="44" t="s">
        <v>477</v>
      </c>
      <c r="B351" s="44"/>
      <c r="C351" s="44"/>
      <c r="D351" s="44"/>
      <c r="E351" s="44"/>
      <c r="F351" s="44"/>
      <c r="G351" s="44"/>
      <c r="H351" s="44"/>
    </row>
    <row r="352" spans="1:8" x14ac:dyDescent="0.3">
      <c r="A352" s="35" t="s">
        <v>478</v>
      </c>
      <c r="B352" s="36" t="s">
        <v>32</v>
      </c>
      <c r="C352" s="36" t="s">
        <v>16</v>
      </c>
      <c r="D352" s="36" t="s">
        <v>84</v>
      </c>
      <c r="E352" s="37">
        <v>43483</v>
      </c>
      <c r="F352" s="36">
        <v>52.9</v>
      </c>
      <c r="G352" s="36">
        <v>1</v>
      </c>
      <c r="H352" s="36">
        <v>0</v>
      </c>
    </row>
    <row r="353" spans="1:8" x14ac:dyDescent="0.3">
      <c r="A353" s="35" t="s">
        <v>479</v>
      </c>
      <c r="B353" s="36" t="s">
        <v>32</v>
      </c>
      <c r="C353" s="36" t="s">
        <v>16</v>
      </c>
      <c r="D353" s="36" t="s">
        <v>35</v>
      </c>
      <c r="E353" s="37">
        <v>43480</v>
      </c>
      <c r="F353" s="36">
        <v>82.6</v>
      </c>
      <c r="G353" s="36">
        <v>2</v>
      </c>
      <c r="H353" s="36">
        <v>2</v>
      </c>
    </row>
    <row r="354" spans="1:8" x14ac:dyDescent="0.3">
      <c r="A354" s="35" t="s">
        <v>480</v>
      </c>
      <c r="B354" s="36" t="s">
        <v>32</v>
      </c>
      <c r="C354" s="36" t="s">
        <v>16</v>
      </c>
      <c r="D354" s="36" t="s">
        <v>33</v>
      </c>
      <c r="E354" s="37">
        <v>43477</v>
      </c>
      <c r="F354" s="36">
        <v>103.1</v>
      </c>
      <c r="G354" s="36">
        <v>10</v>
      </c>
      <c r="H354" s="36">
        <v>6</v>
      </c>
    </row>
    <row r="355" spans="1:8" x14ac:dyDescent="0.3">
      <c r="A355" s="35" t="s">
        <v>481</v>
      </c>
      <c r="B355" s="36" t="s">
        <v>32</v>
      </c>
      <c r="C355" s="36" t="s">
        <v>83</v>
      </c>
      <c r="D355" s="36" t="s">
        <v>84</v>
      </c>
      <c r="E355" s="37">
        <v>43460</v>
      </c>
      <c r="F355" s="36" t="s">
        <v>482</v>
      </c>
      <c r="G355" s="36" t="s">
        <v>179</v>
      </c>
      <c r="H355" s="36" t="s">
        <v>86</v>
      </c>
    </row>
    <row r="356" spans="1:8" x14ac:dyDescent="0.3">
      <c r="A356" s="35" t="s">
        <v>483</v>
      </c>
      <c r="B356" s="36" t="s">
        <v>32</v>
      </c>
      <c r="C356" s="36" t="s">
        <v>83</v>
      </c>
      <c r="D356" s="36" t="s">
        <v>35</v>
      </c>
      <c r="E356" s="37">
        <v>43440</v>
      </c>
      <c r="F356" s="36" t="s">
        <v>484</v>
      </c>
      <c r="G356" s="36" t="s">
        <v>485</v>
      </c>
      <c r="H356" s="36" t="s">
        <v>110</v>
      </c>
    </row>
    <row r="357" spans="1:8" x14ac:dyDescent="0.3">
      <c r="A357" s="35" t="s">
        <v>486</v>
      </c>
      <c r="B357" s="36" t="s">
        <v>32</v>
      </c>
      <c r="C357" s="36" t="s">
        <v>121</v>
      </c>
      <c r="D357" s="36" t="s">
        <v>33</v>
      </c>
      <c r="E357" s="37">
        <v>43429</v>
      </c>
      <c r="F357" s="36">
        <v>143.69999999999999</v>
      </c>
      <c r="G357" s="36">
        <v>1</v>
      </c>
      <c r="H357" s="36">
        <v>2</v>
      </c>
    </row>
    <row r="358" spans="1:8" x14ac:dyDescent="0.3">
      <c r="A358" s="35" t="s">
        <v>48</v>
      </c>
      <c r="B358" s="36" t="s">
        <v>32</v>
      </c>
      <c r="C358" s="36" t="s">
        <v>121</v>
      </c>
      <c r="D358" s="36" t="s">
        <v>88</v>
      </c>
      <c r="E358" s="37">
        <v>43425</v>
      </c>
      <c r="F358" s="36">
        <v>87.5</v>
      </c>
      <c r="G358" s="36">
        <v>0</v>
      </c>
      <c r="H358" s="36">
        <v>0</v>
      </c>
    </row>
    <row r="359" spans="1:8" x14ac:dyDescent="0.3">
      <c r="A359" s="44" t="s">
        <v>487</v>
      </c>
      <c r="B359" s="44"/>
      <c r="C359" s="44"/>
      <c r="D359" s="44"/>
      <c r="E359" s="44"/>
      <c r="F359" s="44"/>
      <c r="G359" s="44"/>
      <c r="H359" s="44"/>
    </row>
    <row r="360" spans="1:8" x14ac:dyDescent="0.3">
      <c r="A360" s="35" t="s">
        <v>488</v>
      </c>
      <c r="B360" s="36" t="s">
        <v>208</v>
      </c>
      <c r="C360" s="36" t="s">
        <v>121</v>
      </c>
      <c r="D360" s="36" t="s">
        <v>64</v>
      </c>
      <c r="E360" s="37">
        <v>43415</v>
      </c>
      <c r="F360" s="36">
        <v>66.599999999999994</v>
      </c>
      <c r="G360" s="36">
        <v>1</v>
      </c>
      <c r="H360" s="36">
        <v>0</v>
      </c>
    </row>
    <row r="361" spans="1:8" x14ac:dyDescent="0.3">
      <c r="A361" s="35" t="s">
        <v>489</v>
      </c>
      <c r="B361" s="36" t="s">
        <v>208</v>
      </c>
      <c r="C361" s="36" t="s">
        <v>121</v>
      </c>
      <c r="D361" s="36" t="s">
        <v>142</v>
      </c>
      <c r="E361" s="37">
        <v>43410</v>
      </c>
      <c r="F361" s="36">
        <v>181.9</v>
      </c>
      <c r="G361" s="36">
        <v>8</v>
      </c>
      <c r="H361" s="36">
        <v>7</v>
      </c>
    </row>
    <row r="362" spans="1:8" x14ac:dyDescent="0.3">
      <c r="A362" s="35" t="s">
        <v>490</v>
      </c>
      <c r="B362" s="36" t="s">
        <v>208</v>
      </c>
      <c r="C362" s="36" t="s">
        <v>121</v>
      </c>
      <c r="D362" s="36" t="s">
        <v>139</v>
      </c>
      <c r="E362" s="37">
        <v>43408</v>
      </c>
      <c r="F362" s="36">
        <v>100</v>
      </c>
      <c r="G362" s="36">
        <v>1</v>
      </c>
      <c r="H362" s="36">
        <v>0</v>
      </c>
    </row>
    <row r="363" spans="1:8" x14ac:dyDescent="0.3">
      <c r="A363" s="35" t="s">
        <v>491</v>
      </c>
      <c r="B363" s="36" t="s">
        <v>208</v>
      </c>
      <c r="C363" s="36" t="s">
        <v>16</v>
      </c>
      <c r="D363" s="36" t="s">
        <v>254</v>
      </c>
      <c r="E363" s="37">
        <v>43405</v>
      </c>
      <c r="F363" s="36">
        <v>112.5</v>
      </c>
      <c r="G363" s="36">
        <v>5</v>
      </c>
      <c r="H363" s="36">
        <v>4</v>
      </c>
    </row>
    <row r="364" spans="1:8" x14ac:dyDescent="0.3">
      <c r="A364" s="35" t="s">
        <v>492</v>
      </c>
      <c r="B364" s="36" t="s">
        <v>208</v>
      </c>
      <c r="C364" s="36" t="s">
        <v>16</v>
      </c>
      <c r="D364" s="36" t="s">
        <v>12</v>
      </c>
      <c r="E364" s="37">
        <v>43402</v>
      </c>
      <c r="F364" s="36">
        <v>118.2</v>
      </c>
      <c r="G364" s="36">
        <v>20</v>
      </c>
      <c r="H364" s="36">
        <v>4</v>
      </c>
    </row>
    <row r="365" spans="1:8" x14ac:dyDescent="0.3">
      <c r="A365" s="35" t="s">
        <v>493</v>
      </c>
      <c r="B365" s="36" t="s">
        <v>208</v>
      </c>
      <c r="C365" s="36" t="s">
        <v>16</v>
      </c>
      <c r="D365" s="36" t="s">
        <v>100</v>
      </c>
      <c r="E365" s="37">
        <v>43400</v>
      </c>
      <c r="F365" s="36">
        <v>88.8</v>
      </c>
      <c r="G365" s="36">
        <v>2</v>
      </c>
      <c r="H365" s="36">
        <v>0</v>
      </c>
    </row>
    <row r="366" spans="1:8" x14ac:dyDescent="0.3">
      <c r="A366" s="35" t="s">
        <v>494</v>
      </c>
      <c r="B366" s="36" t="s">
        <v>208</v>
      </c>
      <c r="C366" s="36" t="s">
        <v>16</v>
      </c>
      <c r="D366" s="36" t="s">
        <v>25</v>
      </c>
      <c r="E366" s="37">
        <v>43397</v>
      </c>
      <c r="F366" s="36">
        <v>50</v>
      </c>
      <c r="G366" s="36">
        <v>1</v>
      </c>
      <c r="H366" s="36">
        <v>0</v>
      </c>
    </row>
    <row r="367" spans="1:8" x14ac:dyDescent="0.3">
      <c r="A367" s="35" t="s">
        <v>495</v>
      </c>
      <c r="B367" s="36" t="s">
        <v>208</v>
      </c>
      <c r="C367" s="36" t="s">
        <v>16</v>
      </c>
      <c r="D367" s="36" t="s">
        <v>6</v>
      </c>
      <c r="E367" s="37">
        <v>43394</v>
      </c>
      <c r="F367" s="36">
        <v>129.9</v>
      </c>
      <c r="G367" s="36">
        <v>15</v>
      </c>
      <c r="H367" s="36">
        <v>8</v>
      </c>
    </row>
    <row r="368" spans="1:8" x14ac:dyDescent="0.3">
      <c r="A368" s="44" t="s">
        <v>496</v>
      </c>
      <c r="B368" s="44"/>
      <c r="C368" s="44"/>
      <c r="D368" s="44"/>
      <c r="E368" s="44"/>
      <c r="F368" s="44"/>
      <c r="G368" s="44"/>
      <c r="H368" s="44"/>
    </row>
    <row r="369" spans="1:8" x14ac:dyDescent="0.3">
      <c r="A369" s="35" t="s">
        <v>497</v>
      </c>
      <c r="B369" s="36" t="s">
        <v>73</v>
      </c>
      <c r="C369" s="36" t="s">
        <v>16</v>
      </c>
      <c r="D369" s="36" t="s">
        <v>67</v>
      </c>
      <c r="E369" s="37">
        <v>43371</v>
      </c>
      <c r="F369" s="36">
        <v>87.2</v>
      </c>
      <c r="G369" s="36">
        <v>3</v>
      </c>
      <c r="H369" s="36">
        <v>3</v>
      </c>
    </row>
    <row r="370" spans="1:8" x14ac:dyDescent="0.3">
      <c r="A370" s="35" t="s">
        <v>498</v>
      </c>
      <c r="B370" s="36" t="s">
        <v>71</v>
      </c>
      <c r="C370" s="36" t="s">
        <v>16</v>
      </c>
      <c r="D370" s="36" t="s">
        <v>67</v>
      </c>
      <c r="E370" s="37">
        <v>43366</v>
      </c>
      <c r="F370" s="36">
        <v>93.2</v>
      </c>
      <c r="G370" s="36">
        <v>7</v>
      </c>
      <c r="H370" s="36">
        <v>4</v>
      </c>
    </row>
    <row r="371" spans="1:8" x14ac:dyDescent="0.3">
      <c r="A371" s="35" t="s">
        <v>499</v>
      </c>
      <c r="B371" s="36" t="s">
        <v>73</v>
      </c>
      <c r="C371" s="36" t="s">
        <v>16</v>
      </c>
      <c r="D371" s="36" t="s">
        <v>67</v>
      </c>
      <c r="E371" s="37">
        <v>43364</v>
      </c>
      <c r="F371" s="36">
        <v>79.8</v>
      </c>
      <c r="G371" s="36">
        <v>5</v>
      </c>
      <c r="H371" s="36">
        <v>3</v>
      </c>
    </row>
    <row r="372" spans="1:8" x14ac:dyDescent="0.3">
      <c r="A372" s="35" t="s">
        <v>500</v>
      </c>
      <c r="B372" s="36" t="s">
        <v>71</v>
      </c>
      <c r="C372" s="36" t="s">
        <v>16</v>
      </c>
      <c r="D372" s="36" t="s">
        <v>67</v>
      </c>
      <c r="E372" s="37">
        <v>43362</v>
      </c>
      <c r="F372" s="36">
        <v>133.30000000000001</v>
      </c>
      <c r="G372" s="36">
        <v>6</v>
      </c>
      <c r="H372" s="36">
        <v>3</v>
      </c>
    </row>
    <row r="373" spans="1:8" x14ac:dyDescent="0.3">
      <c r="A373" s="35" t="s">
        <v>501</v>
      </c>
      <c r="B373" s="36" t="s">
        <v>277</v>
      </c>
      <c r="C373" s="36" t="s">
        <v>16</v>
      </c>
      <c r="D373" s="36" t="s">
        <v>67</v>
      </c>
      <c r="E373" s="37">
        <v>43361</v>
      </c>
      <c r="F373" s="36">
        <v>104.5</v>
      </c>
      <c r="G373" s="36">
        <v>4</v>
      </c>
      <c r="H373" s="36">
        <v>0</v>
      </c>
    </row>
    <row r="374" spans="1:8" x14ac:dyDescent="0.3">
      <c r="A374" s="44" t="s">
        <v>502</v>
      </c>
      <c r="B374" s="44"/>
      <c r="C374" s="44"/>
      <c r="D374" s="44"/>
      <c r="E374" s="44"/>
      <c r="F374" s="44"/>
      <c r="G374" s="44"/>
      <c r="H374" s="44"/>
    </row>
    <row r="375" spans="1:8" x14ac:dyDescent="0.3">
      <c r="A375" s="35" t="s">
        <v>503</v>
      </c>
      <c r="B375" s="36" t="s">
        <v>76</v>
      </c>
      <c r="C375" s="36" t="s">
        <v>16</v>
      </c>
      <c r="D375" s="36" t="s">
        <v>347</v>
      </c>
      <c r="E375" s="37">
        <v>43298</v>
      </c>
      <c r="F375" s="36">
        <v>11.1</v>
      </c>
      <c r="G375" s="36">
        <v>0</v>
      </c>
      <c r="H375" s="36">
        <v>0</v>
      </c>
    </row>
    <row r="376" spans="1:8" x14ac:dyDescent="0.3">
      <c r="A376" s="35" t="s">
        <v>504</v>
      </c>
      <c r="B376" s="36" t="s">
        <v>76</v>
      </c>
      <c r="C376" s="36" t="s">
        <v>16</v>
      </c>
      <c r="D376" s="36" t="s">
        <v>218</v>
      </c>
      <c r="E376" s="37">
        <v>43295</v>
      </c>
      <c r="F376" s="36">
        <v>57.6</v>
      </c>
      <c r="G376" s="36">
        <v>2</v>
      </c>
      <c r="H376" s="36">
        <v>0</v>
      </c>
    </row>
    <row r="377" spans="1:8" x14ac:dyDescent="0.3">
      <c r="A377" s="35" t="s">
        <v>505</v>
      </c>
      <c r="B377" s="36" t="s">
        <v>76</v>
      </c>
      <c r="C377" s="36" t="s">
        <v>16</v>
      </c>
      <c r="D377" s="36" t="s">
        <v>290</v>
      </c>
      <c r="E377" s="37">
        <v>43293</v>
      </c>
      <c r="F377" s="36">
        <v>120.1</v>
      </c>
      <c r="G377" s="36">
        <v>15</v>
      </c>
      <c r="H377" s="36">
        <v>4</v>
      </c>
    </row>
    <row r="378" spans="1:8" x14ac:dyDescent="0.3">
      <c r="A378" s="35" t="s">
        <v>506</v>
      </c>
      <c r="B378" s="36" t="s">
        <v>76</v>
      </c>
      <c r="C378" s="36" t="s">
        <v>121</v>
      </c>
      <c r="D378" s="36" t="s">
        <v>507</v>
      </c>
      <c r="E378" s="37">
        <v>43289</v>
      </c>
      <c r="F378" s="36">
        <v>178.5</v>
      </c>
      <c r="G378" s="36">
        <v>11</v>
      </c>
      <c r="H378" s="36">
        <v>5</v>
      </c>
    </row>
    <row r="379" spans="1:8" x14ac:dyDescent="0.3">
      <c r="A379" s="35" t="s">
        <v>317</v>
      </c>
      <c r="B379" s="36" t="s">
        <v>76</v>
      </c>
      <c r="C379" s="36" t="s">
        <v>121</v>
      </c>
      <c r="D379" s="36" t="s">
        <v>508</v>
      </c>
      <c r="E379" s="37">
        <v>43287</v>
      </c>
      <c r="F379" s="36">
        <v>55.5</v>
      </c>
      <c r="G379" s="36">
        <v>1</v>
      </c>
      <c r="H379" s="36">
        <v>0</v>
      </c>
    </row>
    <row r="380" spans="1:8" x14ac:dyDescent="0.3">
      <c r="A380" s="35" t="s">
        <v>509</v>
      </c>
      <c r="B380" s="36" t="s">
        <v>76</v>
      </c>
      <c r="C380" s="36" t="s">
        <v>121</v>
      </c>
      <c r="D380" s="36" t="s">
        <v>287</v>
      </c>
      <c r="E380" s="37">
        <v>43284</v>
      </c>
      <c r="F380" s="36">
        <v>106.6</v>
      </c>
      <c r="G380" s="36">
        <v>3</v>
      </c>
      <c r="H380" s="36">
        <v>1</v>
      </c>
    </row>
    <row r="381" spans="1:8" x14ac:dyDescent="0.3">
      <c r="A381" s="44" t="s">
        <v>510</v>
      </c>
      <c r="B381" s="44"/>
      <c r="C381" s="44"/>
      <c r="D381" s="44"/>
      <c r="E381" s="44"/>
      <c r="F381" s="44"/>
      <c r="G381" s="44"/>
      <c r="H381" s="44"/>
    </row>
    <row r="382" spans="1:8" x14ac:dyDescent="0.3">
      <c r="A382" s="35" t="s">
        <v>172</v>
      </c>
      <c r="B382" s="36" t="s">
        <v>135</v>
      </c>
      <c r="C382" s="36" t="s">
        <v>121</v>
      </c>
      <c r="D382" s="36" t="s">
        <v>511</v>
      </c>
      <c r="E382" s="37">
        <v>43280</v>
      </c>
      <c r="F382" s="36">
        <v>0</v>
      </c>
      <c r="G382" s="36">
        <v>0</v>
      </c>
      <c r="H382" s="36">
        <v>0</v>
      </c>
    </row>
    <row r="383" spans="1:8" x14ac:dyDescent="0.3">
      <c r="A383" s="35" t="s">
        <v>512</v>
      </c>
      <c r="B383" s="36" t="s">
        <v>135</v>
      </c>
      <c r="C383" s="36" t="s">
        <v>121</v>
      </c>
      <c r="D383" s="36" t="s">
        <v>511</v>
      </c>
      <c r="E383" s="37">
        <v>43278</v>
      </c>
      <c r="F383" s="36">
        <v>159</v>
      </c>
      <c r="G383" s="36">
        <v>8</v>
      </c>
      <c r="H383" s="36">
        <v>5</v>
      </c>
    </row>
    <row r="384" spans="1:8" x14ac:dyDescent="0.3">
      <c r="A384" s="44" t="s">
        <v>513</v>
      </c>
      <c r="B384" s="44"/>
      <c r="C384" s="44"/>
      <c r="D384" s="44"/>
      <c r="E384" s="44"/>
      <c r="F384" s="44"/>
      <c r="G384" s="44"/>
      <c r="H384" s="44"/>
    </row>
    <row r="385" spans="1:8" x14ac:dyDescent="0.3">
      <c r="A385" s="35" t="s">
        <v>514</v>
      </c>
      <c r="B385" s="36" t="s">
        <v>8</v>
      </c>
      <c r="C385" s="36" t="s">
        <v>5</v>
      </c>
      <c r="D385" s="36" t="s">
        <v>9</v>
      </c>
      <c r="E385" s="37">
        <v>43240</v>
      </c>
      <c r="F385" s="36">
        <v>118.1</v>
      </c>
      <c r="G385" s="36">
        <v>1</v>
      </c>
      <c r="H385" s="36">
        <v>0</v>
      </c>
    </row>
    <row r="386" spans="1:8" x14ac:dyDescent="0.3">
      <c r="A386" s="35" t="s">
        <v>515</v>
      </c>
      <c r="B386" s="36" t="s">
        <v>40</v>
      </c>
      <c r="C386" s="36" t="s">
        <v>5</v>
      </c>
      <c r="D386" s="36" t="s">
        <v>12</v>
      </c>
      <c r="E386" s="37">
        <v>43236</v>
      </c>
      <c r="F386" s="36">
        <v>60</v>
      </c>
      <c r="G386" s="36">
        <v>0</v>
      </c>
      <c r="H386" s="36">
        <v>0</v>
      </c>
    </row>
    <row r="387" spans="1:8" x14ac:dyDescent="0.3">
      <c r="A387" s="35" t="s">
        <v>149</v>
      </c>
      <c r="B387" s="36" t="s">
        <v>4</v>
      </c>
      <c r="C387" s="36" t="s">
        <v>5</v>
      </c>
      <c r="D387" s="36" t="s">
        <v>12</v>
      </c>
      <c r="E387" s="37">
        <v>43233</v>
      </c>
      <c r="F387" s="36">
        <v>0</v>
      </c>
      <c r="G387" s="36">
        <v>0</v>
      </c>
      <c r="H387" s="36">
        <v>0</v>
      </c>
    </row>
    <row r="388" spans="1:8" x14ac:dyDescent="0.3">
      <c r="A388" s="35" t="s">
        <v>516</v>
      </c>
      <c r="B388" s="36" t="s">
        <v>11</v>
      </c>
      <c r="C388" s="36" t="s">
        <v>5</v>
      </c>
      <c r="D388" s="36" t="s">
        <v>139</v>
      </c>
      <c r="E388" s="37">
        <v>43229</v>
      </c>
      <c r="F388" s="36">
        <v>116.1</v>
      </c>
      <c r="G388" s="36">
        <v>2</v>
      </c>
      <c r="H388" s="36">
        <v>1</v>
      </c>
    </row>
    <row r="389" spans="1:8" x14ac:dyDescent="0.3">
      <c r="A389" s="35" t="s">
        <v>517</v>
      </c>
      <c r="B389" s="36" t="s">
        <v>11</v>
      </c>
      <c r="C389" s="36" t="s">
        <v>5</v>
      </c>
      <c r="D389" s="36" t="s">
        <v>12</v>
      </c>
      <c r="E389" s="37">
        <v>43226</v>
      </c>
      <c r="F389" s="36">
        <v>100</v>
      </c>
      <c r="G389" s="36">
        <v>1</v>
      </c>
      <c r="H389" s="36">
        <v>0</v>
      </c>
    </row>
    <row r="390" spans="1:8" x14ac:dyDescent="0.3">
      <c r="A390" s="35" t="s">
        <v>518</v>
      </c>
      <c r="B390" s="36" t="s">
        <v>40</v>
      </c>
      <c r="C390" s="36" t="s">
        <v>5</v>
      </c>
      <c r="D390" s="36" t="s">
        <v>17</v>
      </c>
      <c r="E390" s="37">
        <v>43224</v>
      </c>
      <c r="F390" s="36">
        <v>160</v>
      </c>
      <c r="G390" s="36">
        <v>1</v>
      </c>
      <c r="H390" s="36">
        <v>2</v>
      </c>
    </row>
    <row r="391" spans="1:8" x14ac:dyDescent="0.3">
      <c r="A391" s="35" t="s">
        <v>149</v>
      </c>
      <c r="B391" s="36" t="s">
        <v>60</v>
      </c>
      <c r="C391" s="36" t="s">
        <v>5</v>
      </c>
      <c r="D391" s="36" t="s">
        <v>103</v>
      </c>
      <c r="E391" s="37">
        <v>43221</v>
      </c>
      <c r="F391" s="36">
        <v>0</v>
      </c>
      <c r="G391" s="36">
        <v>0</v>
      </c>
      <c r="H391" s="36">
        <v>0</v>
      </c>
    </row>
    <row r="392" spans="1:8" x14ac:dyDescent="0.3">
      <c r="A392" s="35" t="s">
        <v>519</v>
      </c>
      <c r="B392" s="36" t="s">
        <v>56</v>
      </c>
      <c r="C392" s="36" t="s">
        <v>5</v>
      </c>
      <c r="D392" s="36" t="s">
        <v>100</v>
      </c>
      <c r="E392" s="37">
        <v>43218</v>
      </c>
      <c r="F392" s="36">
        <v>169.7</v>
      </c>
      <c r="G392" s="36">
        <v>6</v>
      </c>
      <c r="H392" s="36">
        <v>2</v>
      </c>
    </row>
    <row r="393" spans="1:8" x14ac:dyDescent="0.3">
      <c r="A393" s="35" t="s">
        <v>299</v>
      </c>
      <c r="B393" s="36" t="s">
        <v>53</v>
      </c>
      <c r="C393" s="36" t="s">
        <v>5</v>
      </c>
      <c r="D393" s="36" t="s">
        <v>12</v>
      </c>
      <c r="E393" s="37">
        <v>43214</v>
      </c>
      <c r="F393" s="36">
        <v>33.299999999999997</v>
      </c>
      <c r="G393" s="36">
        <v>0</v>
      </c>
      <c r="H393" s="36">
        <v>0</v>
      </c>
    </row>
    <row r="394" spans="1:8" x14ac:dyDescent="0.3">
      <c r="A394" s="35" t="s">
        <v>149</v>
      </c>
      <c r="B394" s="36" t="s">
        <v>4</v>
      </c>
      <c r="C394" s="36" t="s">
        <v>5</v>
      </c>
      <c r="D394" s="36" t="s">
        <v>46</v>
      </c>
      <c r="E394" s="37">
        <v>43212</v>
      </c>
      <c r="F394" s="36">
        <v>0</v>
      </c>
      <c r="G394" s="36">
        <v>0</v>
      </c>
      <c r="H394" s="36">
        <v>0</v>
      </c>
    </row>
    <row r="395" spans="1:8" x14ac:dyDescent="0.3">
      <c r="A395" s="35" t="s">
        <v>520</v>
      </c>
      <c r="B395" s="36" t="s">
        <v>60</v>
      </c>
      <c r="C395" s="36" t="s">
        <v>5</v>
      </c>
      <c r="D395" s="36" t="s">
        <v>12</v>
      </c>
      <c r="E395" s="37">
        <v>43207</v>
      </c>
      <c r="F395" s="36">
        <v>180.7</v>
      </c>
      <c r="G395" s="36">
        <v>10</v>
      </c>
      <c r="H395" s="36">
        <v>5</v>
      </c>
    </row>
    <row r="396" spans="1:8" x14ac:dyDescent="0.3">
      <c r="A396" s="35" t="s">
        <v>521</v>
      </c>
      <c r="B396" s="36" t="s">
        <v>8</v>
      </c>
      <c r="C396" s="36" t="s">
        <v>5</v>
      </c>
      <c r="D396" s="36" t="s">
        <v>12</v>
      </c>
      <c r="E396" s="37">
        <v>43204</v>
      </c>
      <c r="F396" s="36">
        <v>120</v>
      </c>
      <c r="G396" s="36">
        <v>2</v>
      </c>
      <c r="H396" s="36">
        <v>0</v>
      </c>
    </row>
    <row r="397" spans="1:8" x14ac:dyDescent="0.3">
      <c r="A397" s="35" t="s">
        <v>222</v>
      </c>
      <c r="B397" s="36" t="s">
        <v>53</v>
      </c>
      <c r="C397" s="36" t="s">
        <v>5</v>
      </c>
      <c r="D397" s="36" t="s">
        <v>54</v>
      </c>
      <c r="E397" s="37">
        <v>43202</v>
      </c>
      <c r="F397" s="36">
        <v>110</v>
      </c>
      <c r="G397" s="36">
        <v>1</v>
      </c>
      <c r="H397" s="36">
        <v>1</v>
      </c>
    </row>
    <row r="398" spans="1:8" x14ac:dyDescent="0.3">
      <c r="A398" s="35" t="s">
        <v>418</v>
      </c>
      <c r="B398" s="36" t="s">
        <v>56</v>
      </c>
      <c r="C398" s="36" t="s">
        <v>5</v>
      </c>
      <c r="D398" s="36" t="s">
        <v>12</v>
      </c>
      <c r="E398" s="37">
        <v>43197</v>
      </c>
      <c r="F398" s="36">
        <v>83.3</v>
      </c>
      <c r="G398" s="36">
        <v>1</v>
      </c>
      <c r="H398" s="36">
        <v>1</v>
      </c>
    </row>
    <row r="399" spans="1:8" x14ac:dyDescent="0.3">
      <c r="A399" s="44" t="s">
        <v>522</v>
      </c>
      <c r="B399" s="44"/>
      <c r="C399" s="44"/>
      <c r="D399" s="44"/>
      <c r="E399" s="44"/>
      <c r="F399" s="44"/>
      <c r="G399" s="44"/>
      <c r="H399" s="44"/>
    </row>
    <row r="400" spans="1:8" x14ac:dyDescent="0.3">
      <c r="A400" s="35" t="s">
        <v>523</v>
      </c>
      <c r="B400" s="36" t="s">
        <v>73</v>
      </c>
      <c r="C400" s="36" t="s">
        <v>121</v>
      </c>
      <c r="D400" s="36" t="s">
        <v>116</v>
      </c>
      <c r="E400" s="37">
        <v>43177</v>
      </c>
      <c r="F400" s="36">
        <v>133.30000000000001</v>
      </c>
      <c r="G400" s="36">
        <v>4</v>
      </c>
      <c r="H400" s="36">
        <v>3</v>
      </c>
    </row>
    <row r="401" spans="1:8" x14ac:dyDescent="0.3">
      <c r="A401" s="35" t="s">
        <v>524</v>
      </c>
      <c r="B401" s="36" t="s">
        <v>73</v>
      </c>
      <c r="C401" s="36" t="s">
        <v>121</v>
      </c>
      <c r="D401" s="36" t="s">
        <v>116</v>
      </c>
      <c r="E401" s="37">
        <v>43173</v>
      </c>
      <c r="F401" s="36">
        <v>145.9</v>
      </c>
      <c r="G401" s="36">
        <v>5</v>
      </c>
      <c r="H401" s="36">
        <v>5</v>
      </c>
    </row>
    <row r="402" spans="1:8" x14ac:dyDescent="0.3">
      <c r="A402" s="35" t="s">
        <v>525</v>
      </c>
      <c r="B402" s="36" t="s">
        <v>115</v>
      </c>
      <c r="C402" s="36" t="s">
        <v>121</v>
      </c>
      <c r="D402" s="36" t="s">
        <v>116</v>
      </c>
      <c r="E402" s="37">
        <v>43171</v>
      </c>
      <c r="F402" s="36">
        <v>157.1</v>
      </c>
      <c r="G402" s="36">
        <v>1</v>
      </c>
      <c r="H402" s="36">
        <v>1</v>
      </c>
    </row>
    <row r="403" spans="1:8" x14ac:dyDescent="0.3">
      <c r="A403" s="35" t="s">
        <v>526</v>
      </c>
      <c r="B403" s="36" t="s">
        <v>73</v>
      </c>
      <c r="C403" s="36" t="s">
        <v>121</v>
      </c>
      <c r="D403" s="36" t="s">
        <v>116</v>
      </c>
      <c r="E403" s="37">
        <v>43167</v>
      </c>
      <c r="F403" s="36">
        <v>130.69999999999999</v>
      </c>
      <c r="G403" s="36">
        <v>3</v>
      </c>
      <c r="H403" s="36">
        <v>0</v>
      </c>
    </row>
    <row r="404" spans="1:8" x14ac:dyDescent="0.3">
      <c r="A404" s="35" t="s">
        <v>63</v>
      </c>
      <c r="B404" s="36" t="s">
        <v>115</v>
      </c>
      <c r="C404" s="36" t="s">
        <v>121</v>
      </c>
      <c r="D404" s="36" t="s">
        <v>116</v>
      </c>
      <c r="E404" s="37">
        <v>43165</v>
      </c>
      <c r="F404" s="36">
        <v>0</v>
      </c>
      <c r="G404" s="36">
        <v>0</v>
      </c>
      <c r="H404" s="36">
        <v>0</v>
      </c>
    </row>
    <row r="405" spans="1:8" x14ac:dyDescent="0.3">
      <c r="A405" s="44" t="s">
        <v>527</v>
      </c>
      <c r="B405" s="44"/>
      <c r="C405" s="44"/>
      <c r="D405" s="44"/>
      <c r="E405" s="44"/>
      <c r="F405" s="44"/>
      <c r="G405" s="44"/>
      <c r="H405" s="44"/>
    </row>
    <row r="406" spans="1:8" x14ac:dyDescent="0.3">
      <c r="A406" s="35" t="s">
        <v>528</v>
      </c>
      <c r="B406" s="36" t="s">
        <v>24</v>
      </c>
      <c r="C406" s="36" t="s">
        <v>121</v>
      </c>
      <c r="D406" s="36" t="s">
        <v>176</v>
      </c>
      <c r="E406" s="37">
        <v>43155</v>
      </c>
      <c r="F406" s="36">
        <v>137.5</v>
      </c>
      <c r="G406" s="36">
        <v>2</v>
      </c>
      <c r="H406" s="36">
        <v>0</v>
      </c>
    </row>
    <row r="407" spans="1:8" x14ac:dyDescent="0.3">
      <c r="A407" s="35" t="s">
        <v>149</v>
      </c>
      <c r="B407" s="36" t="s">
        <v>24</v>
      </c>
      <c r="C407" s="36" t="s">
        <v>121</v>
      </c>
      <c r="D407" s="36" t="s">
        <v>180</v>
      </c>
      <c r="E407" s="37">
        <v>43152</v>
      </c>
      <c r="F407" s="36">
        <v>0</v>
      </c>
      <c r="G407" s="36">
        <v>0</v>
      </c>
      <c r="H407" s="36">
        <v>0</v>
      </c>
    </row>
    <row r="408" spans="1:8" x14ac:dyDescent="0.3">
      <c r="A408" s="35" t="s">
        <v>529</v>
      </c>
      <c r="B408" s="36" t="s">
        <v>24</v>
      </c>
      <c r="C408" s="36" t="s">
        <v>121</v>
      </c>
      <c r="D408" s="36" t="s">
        <v>530</v>
      </c>
      <c r="E408" s="37">
        <v>43149</v>
      </c>
      <c r="F408" s="36">
        <v>233.3</v>
      </c>
      <c r="G408" s="36">
        <v>2</v>
      </c>
      <c r="H408" s="36">
        <v>2</v>
      </c>
    </row>
    <row r="409" spans="1:8" x14ac:dyDescent="0.3">
      <c r="A409" s="35" t="s">
        <v>263</v>
      </c>
      <c r="B409" s="36" t="s">
        <v>24</v>
      </c>
      <c r="C409" s="36" t="s">
        <v>16</v>
      </c>
      <c r="D409" s="36" t="s">
        <v>180</v>
      </c>
      <c r="E409" s="37">
        <v>43147</v>
      </c>
      <c r="F409" s="36">
        <v>115.3</v>
      </c>
      <c r="G409" s="36">
        <v>3</v>
      </c>
      <c r="H409" s="36">
        <v>0</v>
      </c>
    </row>
    <row r="410" spans="1:8" x14ac:dyDescent="0.3">
      <c r="A410" s="35" t="s">
        <v>531</v>
      </c>
      <c r="B410" s="36" t="s">
        <v>24</v>
      </c>
      <c r="C410" s="36" t="s">
        <v>16</v>
      </c>
      <c r="D410" s="36" t="s">
        <v>532</v>
      </c>
      <c r="E410" s="37">
        <v>43144</v>
      </c>
      <c r="F410" s="36">
        <v>91.2</v>
      </c>
      <c r="G410" s="36">
        <v>11</v>
      </c>
      <c r="H410" s="36">
        <v>4</v>
      </c>
    </row>
    <row r="411" spans="1:8" x14ac:dyDescent="0.3">
      <c r="A411" s="35" t="s">
        <v>533</v>
      </c>
      <c r="B411" s="36" t="s">
        <v>24</v>
      </c>
      <c r="C411" s="36" t="s">
        <v>16</v>
      </c>
      <c r="D411" s="36" t="s">
        <v>530</v>
      </c>
      <c r="E411" s="37">
        <v>43141</v>
      </c>
      <c r="F411" s="36">
        <v>38.4</v>
      </c>
      <c r="G411" s="36">
        <v>1</v>
      </c>
      <c r="H411" s="36">
        <v>0</v>
      </c>
    </row>
    <row r="412" spans="1:8" x14ac:dyDescent="0.3">
      <c r="A412" s="35" t="s">
        <v>195</v>
      </c>
      <c r="B412" s="36" t="s">
        <v>24</v>
      </c>
      <c r="C412" s="36" t="s">
        <v>16</v>
      </c>
      <c r="D412" s="36" t="s">
        <v>176</v>
      </c>
      <c r="E412" s="37">
        <v>43138</v>
      </c>
      <c r="F412" s="36">
        <v>0</v>
      </c>
      <c r="G412" s="36">
        <v>0</v>
      </c>
      <c r="H412" s="36">
        <v>0</v>
      </c>
    </row>
    <row r="413" spans="1:8" x14ac:dyDescent="0.3">
      <c r="A413" s="35" t="s">
        <v>69</v>
      </c>
      <c r="B413" s="36" t="s">
        <v>24</v>
      </c>
      <c r="C413" s="36" t="s">
        <v>16</v>
      </c>
      <c r="D413" s="36" t="s">
        <v>180</v>
      </c>
      <c r="E413" s="37">
        <v>43135</v>
      </c>
      <c r="F413" s="36">
        <v>88.2</v>
      </c>
      <c r="G413" s="36">
        <v>2</v>
      </c>
      <c r="H413" s="36">
        <v>1</v>
      </c>
    </row>
    <row r="414" spans="1:8" x14ac:dyDescent="0.3">
      <c r="A414" s="35" t="s">
        <v>534</v>
      </c>
      <c r="B414" s="36" t="s">
        <v>24</v>
      </c>
      <c r="C414" s="36" t="s">
        <v>16</v>
      </c>
      <c r="D414" s="36" t="s">
        <v>535</v>
      </c>
      <c r="E414" s="37">
        <v>43132</v>
      </c>
      <c r="F414" s="36">
        <v>66.599999999999994</v>
      </c>
      <c r="G414" s="36">
        <v>2</v>
      </c>
      <c r="H414" s="36">
        <v>1</v>
      </c>
    </row>
    <row r="415" spans="1:8" x14ac:dyDescent="0.3">
      <c r="A415" s="35" t="s">
        <v>536</v>
      </c>
      <c r="B415" s="36" t="s">
        <v>24</v>
      </c>
      <c r="C415" s="36" t="s">
        <v>83</v>
      </c>
      <c r="D415" s="36" t="s">
        <v>180</v>
      </c>
      <c r="E415" s="37">
        <v>43113</v>
      </c>
      <c r="F415" s="36" t="s">
        <v>537</v>
      </c>
      <c r="G415" s="36" t="s">
        <v>538</v>
      </c>
      <c r="H415" s="36" t="s">
        <v>94</v>
      </c>
    </row>
    <row r="416" spans="1:8" x14ac:dyDescent="0.3">
      <c r="A416" s="35" t="s">
        <v>539</v>
      </c>
      <c r="B416" s="36" t="s">
        <v>24</v>
      </c>
      <c r="C416" s="36" t="s">
        <v>83</v>
      </c>
      <c r="D416" s="36" t="s">
        <v>176</v>
      </c>
      <c r="E416" s="37">
        <v>43105</v>
      </c>
      <c r="F416" s="36" t="s">
        <v>540</v>
      </c>
      <c r="G416" s="36" t="s">
        <v>182</v>
      </c>
      <c r="H416" s="36" t="s">
        <v>86</v>
      </c>
    </row>
    <row r="417" spans="1:8" x14ac:dyDescent="0.3">
      <c r="A417" s="44" t="s">
        <v>541</v>
      </c>
      <c r="B417" s="44"/>
      <c r="C417" s="44"/>
      <c r="D417" s="44"/>
      <c r="E417" s="44"/>
      <c r="F417" s="44"/>
      <c r="G417" s="44"/>
      <c r="H417" s="44"/>
    </row>
    <row r="418" spans="1:8" x14ac:dyDescent="0.3">
      <c r="A418" s="35" t="s">
        <v>542</v>
      </c>
      <c r="B418" s="36" t="s">
        <v>115</v>
      </c>
      <c r="C418" s="36" t="s">
        <v>121</v>
      </c>
      <c r="D418" s="36" t="s">
        <v>12</v>
      </c>
      <c r="E418" s="37">
        <v>43093</v>
      </c>
      <c r="F418" s="36">
        <v>135</v>
      </c>
      <c r="G418" s="36">
        <v>4</v>
      </c>
      <c r="H418" s="36">
        <v>1</v>
      </c>
    </row>
    <row r="419" spans="1:8" x14ac:dyDescent="0.3">
      <c r="A419" s="35" t="s">
        <v>543</v>
      </c>
      <c r="B419" s="36" t="s">
        <v>115</v>
      </c>
      <c r="C419" s="36" t="s">
        <v>121</v>
      </c>
      <c r="D419" s="36" t="s">
        <v>17</v>
      </c>
      <c r="E419" s="37">
        <v>43091</v>
      </c>
      <c r="F419" s="36">
        <v>274.39999999999998</v>
      </c>
      <c r="G419" s="36">
        <v>12</v>
      </c>
      <c r="H419" s="36">
        <v>10</v>
      </c>
    </row>
    <row r="420" spans="1:8" x14ac:dyDescent="0.3">
      <c r="A420" s="35" t="s">
        <v>526</v>
      </c>
      <c r="B420" s="36" t="s">
        <v>115</v>
      </c>
      <c r="C420" s="36" t="s">
        <v>121</v>
      </c>
      <c r="D420" s="36" t="s">
        <v>78</v>
      </c>
      <c r="E420" s="37">
        <v>43089</v>
      </c>
      <c r="F420" s="36">
        <v>130.69999999999999</v>
      </c>
      <c r="G420" s="36">
        <v>2</v>
      </c>
      <c r="H420" s="36">
        <v>0</v>
      </c>
    </row>
    <row r="421" spans="1:8" x14ac:dyDescent="0.3">
      <c r="A421" s="35" t="s">
        <v>544</v>
      </c>
      <c r="B421" s="36" t="s">
        <v>115</v>
      </c>
      <c r="C421" s="36" t="s">
        <v>16</v>
      </c>
      <c r="D421" s="36" t="s">
        <v>25</v>
      </c>
      <c r="E421" s="37">
        <v>43086</v>
      </c>
      <c r="F421" s="36">
        <v>50</v>
      </c>
      <c r="G421" s="36">
        <v>0</v>
      </c>
      <c r="H421" s="36">
        <v>1</v>
      </c>
    </row>
    <row r="422" spans="1:8" x14ac:dyDescent="0.3">
      <c r="A422" s="35" t="s">
        <v>545</v>
      </c>
      <c r="B422" s="36" t="s">
        <v>115</v>
      </c>
      <c r="C422" s="36" t="s">
        <v>16</v>
      </c>
      <c r="D422" s="36" t="s">
        <v>173</v>
      </c>
      <c r="E422" s="37">
        <v>43082</v>
      </c>
      <c r="F422" s="36">
        <v>135.9</v>
      </c>
      <c r="G422" s="36">
        <v>13</v>
      </c>
      <c r="H422" s="36">
        <v>12</v>
      </c>
    </row>
    <row r="423" spans="1:8" x14ac:dyDescent="0.3">
      <c r="A423" s="35" t="s">
        <v>296</v>
      </c>
      <c r="B423" s="36" t="s">
        <v>115</v>
      </c>
      <c r="C423" s="36" t="s">
        <v>16</v>
      </c>
      <c r="D423" s="36" t="s">
        <v>154</v>
      </c>
      <c r="E423" s="37">
        <v>43079</v>
      </c>
      <c r="F423" s="36">
        <v>15.3</v>
      </c>
      <c r="G423" s="36">
        <v>0</v>
      </c>
      <c r="H423" s="36">
        <v>0</v>
      </c>
    </row>
    <row r="424" spans="1:8" x14ac:dyDescent="0.3">
      <c r="A424" s="35" t="s">
        <v>546</v>
      </c>
      <c r="B424" s="36" t="s">
        <v>115</v>
      </c>
      <c r="C424" s="36" t="s">
        <v>83</v>
      </c>
      <c r="D424" s="36" t="s">
        <v>9</v>
      </c>
      <c r="E424" s="37">
        <v>43071</v>
      </c>
      <c r="F424" s="36" t="s">
        <v>547</v>
      </c>
      <c r="G424" s="36" t="s">
        <v>548</v>
      </c>
      <c r="H424" s="36" t="s">
        <v>485</v>
      </c>
    </row>
    <row r="425" spans="1:8" x14ac:dyDescent="0.3">
      <c r="A425" s="35" t="s">
        <v>549</v>
      </c>
      <c r="B425" s="36" t="s">
        <v>115</v>
      </c>
      <c r="C425" s="36" t="s">
        <v>83</v>
      </c>
      <c r="D425" s="36" t="s">
        <v>80</v>
      </c>
      <c r="E425" s="37">
        <v>43063</v>
      </c>
      <c r="F425" s="36" t="s">
        <v>550</v>
      </c>
      <c r="G425" s="36" t="s">
        <v>551</v>
      </c>
      <c r="H425" s="36" t="s">
        <v>239</v>
      </c>
    </row>
    <row r="426" spans="1:8" x14ac:dyDescent="0.3">
      <c r="A426" s="44" t="s">
        <v>552</v>
      </c>
      <c r="B426" s="44"/>
      <c r="C426" s="44"/>
      <c r="D426" s="44"/>
      <c r="E426" s="44"/>
      <c r="F426" s="44"/>
      <c r="G426" s="44"/>
      <c r="H426" s="44"/>
    </row>
    <row r="427" spans="1:8" x14ac:dyDescent="0.3">
      <c r="A427" s="35" t="s">
        <v>493</v>
      </c>
      <c r="B427" s="36" t="s">
        <v>15</v>
      </c>
      <c r="C427" s="36" t="s">
        <v>121</v>
      </c>
      <c r="D427" s="36" t="s">
        <v>254</v>
      </c>
      <c r="E427" s="37">
        <v>43046</v>
      </c>
      <c r="F427" s="36">
        <v>88.8</v>
      </c>
      <c r="G427" s="36">
        <v>1</v>
      </c>
      <c r="H427" s="36">
        <v>0</v>
      </c>
    </row>
    <row r="428" spans="1:8" x14ac:dyDescent="0.3">
      <c r="A428" s="35" t="s">
        <v>3</v>
      </c>
      <c r="B428" s="36" t="s">
        <v>15</v>
      </c>
      <c r="C428" s="36" t="s">
        <v>121</v>
      </c>
      <c r="D428" s="36" t="s">
        <v>19</v>
      </c>
      <c r="E428" s="37">
        <v>43043</v>
      </c>
      <c r="F428" s="36">
        <v>83.3</v>
      </c>
      <c r="G428" s="36">
        <v>1</v>
      </c>
      <c r="H428" s="36">
        <v>0</v>
      </c>
    </row>
    <row r="429" spans="1:8" x14ac:dyDescent="0.3">
      <c r="A429" s="35" t="s">
        <v>553</v>
      </c>
      <c r="B429" s="36" t="s">
        <v>15</v>
      </c>
      <c r="C429" s="36" t="s">
        <v>121</v>
      </c>
      <c r="D429" s="36" t="s">
        <v>9</v>
      </c>
      <c r="E429" s="37">
        <v>43040</v>
      </c>
      <c r="F429" s="36">
        <v>145.4</v>
      </c>
      <c r="G429" s="36">
        <v>6</v>
      </c>
      <c r="H429" s="36">
        <v>4</v>
      </c>
    </row>
    <row r="430" spans="1:8" x14ac:dyDescent="0.3">
      <c r="A430" s="35" t="s">
        <v>554</v>
      </c>
      <c r="B430" s="36" t="s">
        <v>15</v>
      </c>
      <c r="C430" s="36" t="s">
        <v>16</v>
      </c>
      <c r="D430" s="36" t="s">
        <v>107</v>
      </c>
      <c r="E430" s="37">
        <v>43037</v>
      </c>
      <c r="F430" s="36">
        <v>106.5</v>
      </c>
      <c r="G430" s="36">
        <v>18</v>
      </c>
      <c r="H430" s="36">
        <v>2</v>
      </c>
    </row>
    <row r="431" spans="1:8" x14ac:dyDescent="0.3">
      <c r="A431" s="35" t="s">
        <v>555</v>
      </c>
      <c r="B431" s="36" t="s">
        <v>15</v>
      </c>
      <c r="C431" s="36" t="s">
        <v>16</v>
      </c>
      <c r="D431" s="36" t="s">
        <v>100</v>
      </c>
      <c r="E431" s="37">
        <v>43033</v>
      </c>
      <c r="F431" s="36">
        <v>36.799999999999997</v>
      </c>
      <c r="G431" s="36">
        <v>1</v>
      </c>
      <c r="H431" s="36">
        <v>0</v>
      </c>
    </row>
    <row r="432" spans="1:8" x14ac:dyDescent="0.3">
      <c r="A432" s="35" t="s">
        <v>556</v>
      </c>
      <c r="B432" s="36" t="s">
        <v>15</v>
      </c>
      <c r="C432" s="36" t="s">
        <v>16</v>
      </c>
      <c r="D432" s="36" t="s">
        <v>12</v>
      </c>
      <c r="E432" s="37">
        <v>43030</v>
      </c>
      <c r="F432" s="36">
        <v>111.1</v>
      </c>
      <c r="G432" s="36">
        <v>0</v>
      </c>
      <c r="H432" s="36">
        <v>2</v>
      </c>
    </row>
    <row r="433" spans="1:8" x14ac:dyDescent="0.3">
      <c r="A433" s="44" t="s">
        <v>557</v>
      </c>
      <c r="B433" s="44"/>
      <c r="C433" s="44"/>
      <c r="D433" s="44"/>
      <c r="E433" s="44"/>
      <c r="F433" s="44"/>
      <c r="G433" s="44"/>
      <c r="H433" s="44"/>
    </row>
    <row r="434" spans="1:8" x14ac:dyDescent="0.3">
      <c r="A434" s="35" t="s">
        <v>62</v>
      </c>
      <c r="B434" s="36" t="s">
        <v>32</v>
      </c>
      <c r="C434" s="36" t="s">
        <v>121</v>
      </c>
      <c r="D434" s="36" t="s">
        <v>6</v>
      </c>
      <c r="E434" s="37">
        <v>43018</v>
      </c>
      <c r="F434" s="36">
        <v>200</v>
      </c>
      <c r="G434" s="36">
        <v>2</v>
      </c>
      <c r="H434" s="36">
        <v>0</v>
      </c>
    </row>
    <row r="435" spans="1:8" x14ac:dyDescent="0.3">
      <c r="A435" s="35" t="s">
        <v>525</v>
      </c>
      <c r="B435" s="36" t="s">
        <v>32</v>
      </c>
      <c r="C435" s="36" t="s">
        <v>121</v>
      </c>
      <c r="D435" s="36" t="s">
        <v>29</v>
      </c>
      <c r="E435" s="37">
        <v>43015</v>
      </c>
      <c r="F435" s="36">
        <v>157.1</v>
      </c>
      <c r="G435" s="36">
        <v>1</v>
      </c>
      <c r="H435" s="36">
        <v>1</v>
      </c>
    </row>
    <row r="436" spans="1:8" x14ac:dyDescent="0.3">
      <c r="A436" s="35" t="s">
        <v>558</v>
      </c>
      <c r="B436" s="36" t="s">
        <v>32</v>
      </c>
      <c r="C436" s="36" t="s">
        <v>16</v>
      </c>
      <c r="D436" s="36" t="s">
        <v>80</v>
      </c>
      <c r="E436" s="37">
        <v>43009</v>
      </c>
      <c r="F436" s="36">
        <v>114.6</v>
      </c>
      <c r="G436" s="36">
        <v>11</v>
      </c>
      <c r="H436" s="36">
        <v>5</v>
      </c>
    </row>
    <row r="437" spans="1:8" x14ac:dyDescent="0.3">
      <c r="A437" s="35" t="s">
        <v>559</v>
      </c>
      <c r="B437" s="36" t="s">
        <v>32</v>
      </c>
      <c r="C437" s="36" t="s">
        <v>16</v>
      </c>
      <c r="D437" s="36" t="s">
        <v>103</v>
      </c>
      <c r="E437" s="37">
        <v>43006</v>
      </c>
      <c r="F437" s="36">
        <v>118.1</v>
      </c>
      <c r="G437" s="36">
        <v>1</v>
      </c>
      <c r="H437" s="36">
        <v>5</v>
      </c>
    </row>
    <row r="438" spans="1:8" x14ac:dyDescent="0.3">
      <c r="A438" s="35" t="s">
        <v>560</v>
      </c>
      <c r="B438" s="36" t="s">
        <v>32</v>
      </c>
      <c r="C438" s="36" t="s">
        <v>16</v>
      </c>
      <c r="D438" s="36" t="s">
        <v>17</v>
      </c>
      <c r="E438" s="37">
        <v>43002</v>
      </c>
      <c r="F438" s="36">
        <v>114.5</v>
      </c>
      <c r="G438" s="36">
        <v>6</v>
      </c>
      <c r="H438" s="36">
        <v>4</v>
      </c>
    </row>
    <row r="439" spans="1:8" x14ac:dyDescent="0.3">
      <c r="A439" s="35" t="s">
        <v>544</v>
      </c>
      <c r="B439" s="36" t="s">
        <v>32</v>
      </c>
      <c r="C439" s="36" t="s">
        <v>16</v>
      </c>
      <c r="D439" s="36" t="s">
        <v>139</v>
      </c>
      <c r="E439" s="37">
        <v>42999</v>
      </c>
      <c r="F439" s="36">
        <v>50</v>
      </c>
      <c r="G439" s="36">
        <v>1</v>
      </c>
      <c r="H439" s="36">
        <v>0</v>
      </c>
    </row>
    <row r="440" spans="1:8" x14ac:dyDescent="0.3">
      <c r="A440" s="35" t="s">
        <v>561</v>
      </c>
      <c r="B440" s="36" t="s">
        <v>32</v>
      </c>
      <c r="C440" s="36" t="s">
        <v>16</v>
      </c>
      <c r="D440" s="36" t="s">
        <v>64</v>
      </c>
      <c r="E440" s="37">
        <v>42995</v>
      </c>
      <c r="F440" s="36">
        <v>63.6</v>
      </c>
      <c r="G440" s="36">
        <v>3</v>
      </c>
      <c r="H440" s="36">
        <v>0</v>
      </c>
    </row>
    <row r="441" spans="1:8" x14ac:dyDescent="0.3">
      <c r="A441" s="44" t="s">
        <v>562</v>
      </c>
      <c r="B441" s="44"/>
      <c r="C441" s="44"/>
      <c r="D441" s="44"/>
      <c r="E441" s="44"/>
      <c r="F441" s="44"/>
      <c r="G441" s="44"/>
      <c r="H441" s="44"/>
    </row>
    <row r="442" spans="1:8" x14ac:dyDescent="0.3">
      <c r="A442" s="35" t="s">
        <v>394</v>
      </c>
      <c r="B442" s="36" t="s">
        <v>115</v>
      </c>
      <c r="C442" s="36" t="s">
        <v>121</v>
      </c>
      <c r="D442" s="36" t="s">
        <v>116</v>
      </c>
      <c r="E442" s="37">
        <v>42984</v>
      </c>
      <c r="F442" s="36">
        <v>112.5</v>
      </c>
      <c r="G442" s="36">
        <v>1</v>
      </c>
      <c r="H442" s="36">
        <v>0</v>
      </c>
    </row>
    <row r="443" spans="1:8" x14ac:dyDescent="0.3">
      <c r="A443" s="35" t="s">
        <v>563</v>
      </c>
      <c r="B443" s="36" t="s">
        <v>115</v>
      </c>
      <c r="C443" s="36" t="s">
        <v>16</v>
      </c>
      <c r="D443" s="36" t="s">
        <v>116</v>
      </c>
      <c r="E443" s="37">
        <v>42981</v>
      </c>
      <c r="F443" s="36">
        <v>80</v>
      </c>
      <c r="G443" s="36">
        <v>1</v>
      </c>
      <c r="H443" s="36">
        <v>0</v>
      </c>
    </row>
    <row r="444" spans="1:8" x14ac:dyDescent="0.3">
      <c r="A444" s="35" t="s">
        <v>564</v>
      </c>
      <c r="B444" s="36" t="s">
        <v>115</v>
      </c>
      <c r="C444" s="36" t="s">
        <v>16</v>
      </c>
      <c r="D444" s="36" t="s">
        <v>116</v>
      </c>
      <c r="E444" s="37">
        <v>42978</v>
      </c>
      <c r="F444" s="36">
        <v>118.1</v>
      </c>
      <c r="G444" s="36">
        <v>11</v>
      </c>
      <c r="H444" s="36">
        <v>3</v>
      </c>
    </row>
    <row r="445" spans="1:8" x14ac:dyDescent="0.3">
      <c r="A445" s="35" t="s">
        <v>565</v>
      </c>
      <c r="B445" s="36" t="s">
        <v>115</v>
      </c>
      <c r="C445" s="36" t="s">
        <v>16</v>
      </c>
      <c r="D445" s="36" t="s">
        <v>204</v>
      </c>
      <c r="E445" s="37">
        <v>42974</v>
      </c>
      <c r="F445" s="36">
        <v>85.5</v>
      </c>
      <c r="G445" s="36">
        <v>16</v>
      </c>
      <c r="H445" s="36">
        <v>2</v>
      </c>
    </row>
    <row r="446" spans="1:8" x14ac:dyDescent="0.3">
      <c r="A446" s="35" t="s">
        <v>566</v>
      </c>
      <c r="B446" s="36" t="s">
        <v>115</v>
      </c>
      <c r="C446" s="36" t="s">
        <v>16</v>
      </c>
      <c r="D446" s="36" t="s">
        <v>204</v>
      </c>
      <c r="E446" s="37">
        <v>42971</v>
      </c>
      <c r="F446" s="36">
        <v>120</v>
      </c>
      <c r="G446" s="36">
        <v>5</v>
      </c>
      <c r="H446" s="36">
        <v>3</v>
      </c>
    </row>
    <row r="447" spans="1:8" x14ac:dyDescent="0.3">
      <c r="A447" s="35" t="s">
        <v>567</v>
      </c>
      <c r="B447" s="36" t="s">
        <v>115</v>
      </c>
      <c r="C447" s="36" t="s">
        <v>16</v>
      </c>
      <c r="D447" s="36" t="s">
        <v>568</v>
      </c>
      <c r="E447" s="37">
        <v>42967</v>
      </c>
      <c r="F447" s="36">
        <v>30.7</v>
      </c>
      <c r="G447" s="36">
        <v>0</v>
      </c>
      <c r="H447" s="36">
        <v>0</v>
      </c>
    </row>
    <row r="448" spans="1:8" x14ac:dyDescent="0.3">
      <c r="A448" s="44" t="s">
        <v>569</v>
      </c>
      <c r="B448" s="44"/>
      <c r="C448" s="44"/>
      <c r="D448" s="44"/>
      <c r="E448" s="44"/>
      <c r="F448" s="44"/>
      <c r="G448" s="44"/>
      <c r="H448" s="44"/>
    </row>
    <row r="449" spans="1:8" x14ac:dyDescent="0.3">
      <c r="A449" s="35" t="s">
        <v>226</v>
      </c>
      <c r="B449" s="36" t="s">
        <v>71</v>
      </c>
      <c r="C449" s="36" t="s">
        <v>16</v>
      </c>
      <c r="D449" s="36" t="s">
        <v>218</v>
      </c>
      <c r="E449" s="37">
        <v>42904</v>
      </c>
      <c r="F449" s="36">
        <v>0</v>
      </c>
      <c r="G449" s="36">
        <v>0</v>
      </c>
      <c r="H449" s="36">
        <v>0</v>
      </c>
    </row>
    <row r="450" spans="1:8" x14ac:dyDescent="0.3">
      <c r="A450" s="35" t="s">
        <v>570</v>
      </c>
      <c r="B450" s="36" t="s">
        <v>73</v>
      </c>
      <c r="C450" s="36" t="s">
        <v>16</v>
      </c>
      <c r="D450" s="36" t="s">
        <v>292</v>
      </c>
      <c r="E450" s="37">
        <v>42901</v>
      </c>
      <c r="F450" s="36">
        <v>95.3</v>
      </c>
      <c r="G450" s="36">
        <v>15</v>
      </c>
      <c r="H450" s="36">
        <v>1</v>
      </c>
    </row>
    <row r="451" spans="1:8" x14ac:dyDescent="0.3">
      <c r="A451" s="35" t="s">
        <v>571</v>
      </c>
      <c r="B451" s="36" t="s">
        <v>24</v>
      </c>
      <c r="C451" s="36" t="s">
        <v>16</v>
      </c>
      <c r="D451" s="36" t="s">
        <v>218</v>
      </c>
      <c r="E451" s="37">
        <v>42897</v>
      </c>
      <c r="F451" s="36">
        <v>60</v>
      </c>
      <c r="G451" s="36">
        <v>1</v>
      </c>
      <c r="H451" s="36">
        <v>1</v>
      </c>
    </row>
    <row r="452" spans="1:8" x14ac:dyDescent="0.3">
      <c r="A452" s="35" t="s">
        <v>572</v>
      </c>
      <c r="B452" s="36" t="s">
        <v>115</v>
      </c>
      <c r="C452" s="36" t="s">
        <v>16</v>
      </c>
      <c r="D452" s="36" t="s">
        <v>218</v>
      </c>
      <c r="E452" s="37">
        <v>42894</v>
      </c>
      <c r="F452" s="36">
        <v>98.7</v>
      </c>
      <c r="G452" s="36">
        <v>6</v>
      </c>
      <c r="H452" s="36">
        <v>3</v>
      </c>
    </row>
    <row r="453" spans="1:8" x14ac:dyDescent="0.3">
      <c r="A453" s="35" t="s">
        <v>573</v>
      </c>
      <c r="B453" s="36" t="s">
        <v>71</v>
      </c>
      <c r="C453" s="36" t="s">
        <v>16</v>
      </c>
      <c r="D453" s="36" t="s">
        <v>292</v>
      </c>
      <c r="E453" s="37">
        <v>42890</v>
      </c>
      <c r="F453" s="36">
        <v>76.400000000000006</v>
      </c>
      <c r="G453" s="36">
        <v>7</v>
      </c>
      <c r="H453" s="36">
        <v>2</v>
      </c>
    </row>
    <row r="454" spans="1:8" x14ac:dyDescent="0.3">
      <c r="A454" s="44" t="s">
        <v>574</v>
      </c>
      <c r="B454" s="44"/>
      <c r="C454" s="44"/>
      <c r="D454" s="44"/>
      <c r="E454" s="44"/>
      <c r="F454" s="44"/>
      <c r="G454" s="44"/>
      <c r="H454" s="44"/>
    </row>
    <row r="455" spans="1:8" x14ac:dyDescent="0.3">
      <c r="A455" s="35" t="s">
        <v>575</v>
      </c>
      <c r="B455" s="36" t="s">
        <v>576</v>
      </c>
      <c r="C455" s="36" t="s">
        <v>5</v>
      </c>
      <c r="D455" s="36" t="s">
        <v>54</v>
      </c>
      <c r="E455" s="37">
        <v>42876</v>
      </c>
      <c r="F455" s="36">
        <v>109</v>
      </c>
      <c r="G455" s="36">
        <v>4</v>
      </c>
      <c r="H455" s="36">
        <v>0</v>
      </c>
    </row>
    <row r="456" spans="1:8" x14ac:dyDescent="0.3">
      <c r="A456" s="35" t="s">
        <v>577</v>
      </c>
      <c r="B456" s="36" t="s">
        <v>11</v>
      </c>
      <c r="C456" s="36" t="s">
        <v>5</v>
      </c>
      <c r="D456" s="36" t="s">
        <v>103</v>
      </c>
      <c r="E456" s="37">
        <v>42874</v>
      </c>
      <c r="F456" s="36">
        <v>108.3</v>
      </c>
      <c r="G456" s="36">
        <v>1</v>
      </c>
      <c r="H456" s="36">
        <v>1</v>
      </c>
    </row>
    <row r="457" spans="1:8" x14ac:dyDescent="0.3">
      <c r="A457" s="35" t="s">
        <v>75</v>
      </c>
      <c r="B457" s="36" t="s">
        <v>576</v>
      </c>
      <c r="C457" s="36" t="s">
        <v>5</v>
      </c>
      <c r="D457" s="36" t="s">
        <v>12</v>
      </c>
      <c r="E457" s="37">
        <v>42871</v>
      </c>
      <c r="F457" s="36">
        <v>50</v>
      </c>
      <c r="G457" s="36">
        <v>0</v>
      </c>
      <c r="H457" s="36">
        <v>0</v>
      </c>
    </row>
    <row r="458" spans="1:8" x14ac:dyDescent="0.3">
      <c r="A458" s="35" t="s">
        <v>578</v>
      </c>
      <c r="B458" s="36" t="s">
        <v>11</v>
      </c>
      <c r="C458" s="36" t="s">
        <v>5</v>
      </c>
      <c r="D458" s="36" t="s">
        <v>139</v>
      </c>
      <c r="E458" s="37">
        <v>42868</v>
      </c>
      <c r="F458" s="36">
        <v>128.5</v>
      </c>
      <c r="G458" s="36">
        <v>4</v>
      </c>
      <c r="H458" s="36">
        <v>1</v>
      </c>
    </row>
    <row r="459" spans="1:8" x14ac:dyDescent="0.3">
      <c r="A459" s="35" t="s">
        <v>453</v>
      </c>
      <c r="B459" s="36" t="s">
        <v>40</v>
      </c>
      <c r="C459" s="36" t="s">
        <v>5</v>
      </c>
      <c r="D459" s="36" t="s">
        <v>12</v>
      </c>
      <c r="E459" s="37">
        <v>42866</v>
      </c>
      <c r="F459" s="36">
        <v>71.400000000000006</v>
      </c>
      <c r="G459" s="36">
        <v>0</v>
      </c>
      <c r="H459" s="36">
        <v>0</v>
      </c>
    </row>
    <row r="460" spans="1:8" x14ac:dyDescent="0.3">
      <c r="A460" s="35" t="s">
        <v>579</v>
      </c>
      <c r="B460" s="36" t="s">
        <v>53</v>
      </c>
      <c r="C460" s="36" t="s">
        <v>5</v>
      </c>
      <c r="D460" s="36" t="s">
        <v>54</v>
      </c>
      <c r="E460" s="37">
        <v>42863</v>
      </c>
      <c r="F460" s="36">
        <v>148.80000000000001</v>
      </c>
      <c r="G460" s="36">
        <v>6</v>
      </c>
      <c r="H460" s="36">
        <v>2</v>
      </c>
    </row>
    <row r="461" spans="1:8" x14ac:dyDescent="0.3">
      <c r="A461" s="35" t="s">
        <v>435</v>
      </c>
      <c r="B461" s="36" t="s">
        <v>8</v>
      </c>
      <c r="C461" s="36" t="s">
        <v>5</v>
      </c>
      <c r="D461" s="36" t="s">
        <v>9</v>
      </c>
      <c r="E461" s="37">
        <v>42861</v>
      </c>
      <c r="F461" s="36">
        <v>166.6</v>
      </c>
      <c r="G461" s="36">
        <v>1</v>
      </c>
      <c r="H461" s="36">
        <v>0</v>
      </c>
    </row>
    <row r="462" spans="1:8" x14ac:dyDescent="0.3">
      <c r="A462" s="35" t="s">
        <v>580</v>
      </c>
      <c r="B462" s="36" t="s">
        <v>60</v>
      </c>
      <c r="C462" s="36" t="s">
        <v>5</v>
      </c>
      <c r="D462" s="36" t="s">
        <v>12</v>
      </c>
      <c r="E462" s="37">
        <v>42856</v>
      </c>
      <c r="F462" s="36">
        <v>151.30000000000001</v>
      </c>
      <c r="G462" s="36">
        <v>6</v>
      </c>
      <c r="H462" s="36">
        <v>1</v>
      </c>
    </row>
    <row r="463" spans="1:8" x14ac:dyDescent="0.3">
      <c r="A463" s="35" t="s">
        <v>533</v>
      </c>
      <c r="B463" s="36" t="s">
        <v>581</v>
      </c>
      <c r="C463" s="36" t="s">
        <v>5</v>
      </c>
      <c r="D463" s="36" t="s">
        <v>19</v>
      </c>
      <c r="E463" s="37">
        <v>42854</v>
      </c>
      <c r="F463" s="36">
        <v>38.4</v>
      </c>
      <c r="G463" s="36">
        <v>0</v>
      </c>
      <c r="H463" s="36">
        <v>0</v>
      </c>
    </row>
    <row r="464" spans="1:8" x14ac:dyDescent="0.3">
      <c r="A464" s="35" t="s">
        <v>582</v>
      </c>
      <c r="B464" s="36" t="s">
        <v>576</v>
      </c>
      <c r="C464" s="36" t="s">
        <v>5</v>
      </c>
      <c r="D464" s="36" t="s">
        <v>12</v>
      </c>
      <c r="E464" s="37">
        <v>42849</v>
      </c>
      <c r="F464" s="36">
        <v>148.69999999999999</v>
      </c>
      <c r="G464" s="36">
        <v>6</v>
      </c>
      <c r="H464" s="36">
        <v>3</v>
      </c>
    </row>
    <row r="465" spans="1:8" x14ac:dyDescent="0.3">
      <c r="A465" s="35" t="s">
        <v>317</v>
      </c>
      <c r="B465" s="36" t="s">
        <v>8</v>
      </c>
      <c r="C465" s="36" t="s">
        <v>5</v>
      </c>
      <c r="D465" s="36" t="s">
        <v>12</v>
      </c>
      <c r="E465" s="37">
        <v>42847</v>
      </c>
      <c r="F465" s="36">
        <v>55.5</v>
      </c>
      <c r="G465" s="36">
        <v>0</v>
      </c>
      <c r="H465" s="36">
        <v>0</v>
      </c>
    </row>
    <row r="466" spans="1:8" x14ac:dyDescent="0.3">
      <c r="A466" s="35" t="s">
        <v>199</v>
      </c>
      <c r="B466" s="36" t="s">
        <v>40</v>
      </c>
      <c r="C466" s="36" t="s">
        <v>5</v>
      </c>
      <c r="D466" s="36" t="s">
        <v>17</v>
      </c>
      <c r="E466" s="37">
        <v>42845</v>
      </c>
      <c r="F466" s="36" t="s">
        <v>199</v>
      </c>
      <c r="G466" s="36" t="s">
        <v>199</v>
      </c>
      <c r="H466" s="36" t="s">
        <v>199</v>
      </c>
    </row>
    <row r="467" spans="1:8" x14ac:dyDescent="0.3">
      <c r="A467" s="35" t="s">
        <v>583</v>
      </c>
      <c r="B467" s="36" t="s">
        <v>581</v>
      </c>
      <c r="C467" s="36" t="s">
        <v>5</v>
      </c>
      <c r="D467" s="36" t="s">
        <v>12</v>
      </c>
      <c r="E467" s="37">
        <v>42841</v>
      </c>
      <c r="F467" s="36">
        <v>137.9</v>
      </c>
      <c r="G467" s="36">
        <v>3</v>
      </c>
      <c r="H467" s="36">
        <v>1</v>
      </c>
    </row>
    <row r="468" spans="1:8" x14ac:dyDescent="0.3">
      <c r="A468" s="35" t="s">
        <v>172</v>
      </c>
      <c r="B468" s="36" t="s">
        <v>60</v>
      </c>
      <c r="C468" s="36" t="s">
        <v>5</v>
      </c>
      <c r="D468" s="36" t="s">
        <v>103</v>
      </c>
      <c r="E468" s="37">
        <v>42839</v>
      </c>
      <c r="F468" s="36">
        <v>0</v>
      </c>
      <c r="G468" s="36">
        <v>0</v>
      </c>
      <c r="H468" s="36">
        <v>0</v>
      </c>
    </row>
    <row r="469" spans="1:8" x14ac:dyDescent="0.3">
      <c r="A469" s="35" t="s">
        <v>584</v>
      </c>
      <c r="B469" s="36" t="s">
        <v>53</v>
      </c>
      <c r="C469" s="36" t="s">
        <v>5</v>
      </c>
      <c r="D469" s="36" t="s">
        <v>12</v>
      </c>
      <c r="E469" s="37">
        <v>42837</v>
      </c>
      <c r="F469" s="36">
        <v>100</v>
      </c>
      <c r="G469" s="36">
        <v>0</v>
      </c>
      <c r="H469" s="36">
        <v>0</v>
      </c>
    </row>
    <row r="470" spans="1:8" x14ac:dyDescent="0.3">
      <c r="A470" s="35" t="s">
        <v>299</v>
      </c>
      <c r="B470" s="36" t="s">
        <v>11</v>
      </c>
      <c r="C470" s="36" t="s">
        <v>5</v>
      </c>
      <c r="D470" s="36" t="s">
        <v>12</v>
      </c>
      <c r="E470" s="37">
        <v>42834</v>
      </c>
      <c r="F470" s="36">
        <v>33.299999999999997</v>
      </c>
      <c r="G470" s="36">
        <v>0</v>
      </c>
      <c r="H470" s="36">
        <v>0</v>
      </c>
    </row>
    <row r="471" spans="1:8" x14ac:dyDescent="0.3">
      <c r="A471" s="35" t="s">
        <v>585</v>
      </c>
      <c r="B471" s="36" t="s">
        <v>576</v>
      </c>
      <c r="C471" s="36" t="s">
        <v>5</v>
      </c>
      <c r="D471" s="36" t="s">
        <v>100</v>
      </c>
      <c r="E471" s="37">
        <v>42831</v>
      </c>
      <c r="F471" s="36">
        <v>42.8</v>
      </c>
      <c r="G471" s="36">
        <v>0</v>
      </c>
      <c r="H471" s="36">
        <v>0</v>
      </c>
    </row>
    <row r="472" spans="1:8" x14ac:dyDescent="0.3">
      <c r="A472" s="44" t="s">
        <v>586</v>
      </c>
      <c r="B472" s="44"/>
      <c r="C472" s="44"/>
      <c r="D472" s="44"/>
      <c r="E472" s="44"/>
      <c r="F472" s="44"/>
      <c r="G472" s="44"/>
      <c r="H472" s="44"/>
    </row>
    <row r="473" spans="1:8" x14ac:dyDescent="0.3">
      <c r="A473" s="35" t="s">
        <v>587</v>
      </c>
      <c r="B473" s="36" t="s">
        <v>15</v>
      </c>
      <c r="C473" s="36" t="s">
        <v>16</v>
      </c>
      <c r="D473" s="36" t="s">
        <v>25</v>
      </c>
      <c r="E473" s="37">
        <v>42672</v>
      </c>
      <c r="F473" s="36">
        <v>107.6</v>
      </c>
      <c r="G473" s="36">
        <v>5</v>
      </c>
      <c r="H473" s="36">
        <v>3</v>
      </c>
    </row>
    <row r="474" spans="1:8" x14ac:dyDescent="0.3">
      <c r="A474" s="35" t="s">
        <v>588</v>
      </c>
      <c r="B474" s="36" t="s">
        <v>15</v>
      </c>
      <c r="C474" s="36" t="s">
        <v>16</v>
      </c>
      <c r="D474" s="36" t="s">
        <v>29</v>
      </c>
      <c r="E474" s="37">
        <v>42669</v>
      </c>
      <c r="F474" s="36">
        <v>57.8</v>
      </c>
      <c r="G474" s="36">
        <v>2</v>
      </c>
      <c r="H474" s="36">
        <v>0</v>
      </c>
    </row>
    <row r="475" spans="1:8" x14ac:dyDescent="0.3">
      <c r="A475" s="35" t="s">
        <v>589</v>
      </c>
      <c r="B475" s="36" t="s">
        <v>15</v>
      </c>
      <c r="C475" s="36" t="s">
        <v>16</v>
      </c>
      <c r="D475" s="36" t="s">
        <v>173</v>
      </c>
      <c r="E475" s="37">
        <v>42666</v>
      </c>
      <c r="F475" s="36">
        <v>61.9</v>
      </c>
      <c r="G475" s="36">
        <v>2</v>
      </c>
      <c r="H475" s="36">
        <v>0</v>
      </c>
    </row>
    <row r="476" spans="1:8" x14ac:dyDescent="0.3">
      <c r="A476" s="35" t="s">
        <v>590</v>
      </c>
      <c r="B476" s="36" t="s">
        <v>15</v>
      </c>
      <c r="C476" s="36" t="s">
        <v>16</v>
      </c>
      <c r="D476" s="36" t="s">
        <v>9</v>
      </c>
      <c r="E476" s="37">
        <v>42663</v>
      </c>
      <c r="F476" s="36">
        <v>55.5</v>
      </c>
      <c r="G476" s="36">
        <v>1</v>
      </c>
      <c r="H476" s="36">
        <v>1</v>
      </c>
    </row>
    <row r="477" spans="1:8" x14ac:dyDescent="0.3">
      <c r="A477" s="35" t="s">
        <v>591</v>
      </c>
      <c r="B477" s="36" t="s">
        <v>15</v>
      </c>
      <c r="C477" s="36" t="s">
        <v>16</v>
      </c>
      <c r="D477" s="36" t="s">
        <v>154</v>
      </c>
      <c r="E477" s="37">
        <v>42659</v>
      </c>
      <c r="F477" s="36">
        <v>53.8</v>
      </c>
      <c r="G477" s="36">
        <v>1</v>
      </c>
      <c r="H477" s="36">
        <v>1</v>
      </c>
    </row>
    <row r="478" spans="1:8" x14ac:dyDescent="0.3">
      <c r="A478" s="35" t="s">
        <v>592</v>
      </c>
      <c r="B478" s="36" t="s">
        <v>15</v>
      </c>
      <c r="C478" s="36" t="s">
        <v>83</v>
      </c>
      <c r="D478" s="36" t="s">
        <v>17</v>
      </c>
      <c r="E478" s="37">
        <v>42651</v>
      </c>
      <c r="F478" s="36" t="s">
        <v>593</v>
      </c>
      <c r="G478" s="36" t="s">
        <v>157</v>
      </c>
      <c r="H478" s="36" t="s">
        <v>90</v>
      </c>
    </row>
    <row r="479" spans="1:8" x14ac:dyDescent="0.3">
      <c r="A479" s="35" t="s">
        <v>594</v>
      </c>
      <c r="B479" s="36" t="s">
        <v>15</v>
      </c>
      <c r="C479" s="36" t="s">
        <v>83</v>
      </c>
      <c r="D479" s="36" t="s">
        <v>139</v>
      </c>
      <c r="E479" s="37">
        <v>42643</v>
      </c>
      <c r="F479" s="36" t="s">
        <v>595</v>
      </c>
      <c r="G479" s="36" t="s">
        <v>596</v>
      </c>
      <c r="H479" s="36" t="s">
        <v>244</v>
      </c>
    </row>
    <row r="480" spans="1:8" x14ac:dyDescent="0.3">
      <c r="A480" s="35" t="s">
        <v>597</v>
      </c>
      <c r="B480" s="36" t="s">
        <v>15</v>
      </c>
      <c r="C480" s="36" t="s">
        <v>83</v>
      </c>
      <c r="D480" s="36" t="s">
        <v>107</v>
      </c>
      <c r="E480" s="37">
        <v>42635</v>
      </c>
      <c r="F480" s="36" t="s">
        <v>598</v>
      </c>
      <c r="G480" s="36" t="s">
        <v>599</v>
      </c>
      <c r="H480" s="36" t="s">
        <v>182</v>
      </c>
    </row>
    <row r="481" spans="1:8" x14ac:dyDescent="0.3">
      <c r="A481" s="44" t="s">
        <v>600</v>
      </c>
      <c r="B481" s="44"/>
      <c r="C481" s="44"/>
      <c r="D481" s="44"/>
      <c r="E481" s="44"/>
      <c r="F481" s="44"/>
      <c r="G481" s="44"/>
      <c r="H481" s="44"/>
    </row>
    <row r="482" spans="1:8" x14ac:dyDescent="0.3">
      <c r="A482" s="35" t="s">
        <v>601</v>
      </c>
      <c r="B482" s="36" t="s">
        <v>208</v>
      </c>
      <c r="C482" s="36" t="s">
        <v>121</v>
      </c>
      <c r="D482" s="36" t="s">
        <v>281</v>
      </c>
      <c r="E482" s="37">
        <v>42610</v>
      </c>
      <c r="F482" s="36">
        <v>125</v>
      </c>
      <c r="G482" s="36">
        <v>0</v>
      </c>
      <c r="H482" s="36">
        <v>1</v>
      </c>
    </row>
    <row r="483" spans="1:8" x14ac:dyDescent="0.3">
      <c r="A483" s="35" t="s">
        <v>602</v>
      </c>
      <c r="B483" s="36" t="s">
        <v>208</v>
      </c>
      <c r="C483" s="36" t="s">
        <v>121</v>
      </c>
      <c r="D483" s="36" t="s">
        <v>281</v>
      </c>
      <c r="E483" s="37">
        <v>42609</v>
      </c>
      <c r="F483" s="36">
        <v>221.4</v>
      </c>
      <c r="G483" s="36">
        <v>4</v>
      </c>
      <c r="H483" s="36">
        <v>4</v>
      </c>
    </row>
    <row r="484" spans="1:8" x14ac:dyDescent="0.3">
      <c r="A484" s="44" t="s">
        <v>603</v>
      </c>
      <c r="B484" s="44"/>
      <c r="C484" s="44"/>
      <c r="D484" s="44"/>
      <c r="E484" s="44"/>
      <c r="F484" s="44"/>
      <c r="G484" s="44"/>
      <c r="H484" s="44"/>
    </row>
    <row r="485" spans="1:8" x14ac:dyDescent="0.3">
      <c r="A485" s="35" t="s">
        <v>604</v>
      </c>
      <c r="B485" s="36" t="s">
        <v>208</v>
      </c>
      <c r="C485" s="36" t="s">
        <v>83</v>
      </c>
      <c r="D485" s="36" t="s">
        <v>126</v>
      </c>
      <c r="E485" s="37">
        <v>42591</v>
      </c>
      <c r="F485" s="36" t="s">
        <v>605</v>
      </c>
      <c r="G485" s="36" t="s">
        <v>382</v>
      </c>
      <c r="H485" s="36" t="s">
        <v>166</v>
      </c>
    </row>
    <row r="486" spans="1:8" x14ac:dyDescent="0.3">
      <c r="A486" s="44" t="s">
        <v>606</v>
      </c>
      <c r="B486" s="44"/>
      <c r="C486" s="44"/>
      <c r="D486" s="44"/>
      <c r="E486" s="44"/>
      <c r="F486" s="44"/>
      <c r="G486" s="44"/>
      <c r="H486" s="44"/>
    </row>
    <row r="487" spans="1:8" x14ac:dyDescent="0.3">
      <c r="A487" s="35" t="s">
        <v>235</v>
      </c>
      <c r="B487" s="36" t="s">
        <v>581</v>
      </c>
      <c r="C487" s="36" t="s">
        <v>5</v>
      </c>
      <c r="D487" s="36" t="s">
        <v>107</v>
      </c>
      <c r="E487" s="37">
        <v>42511</v>
      </c>
      <c r="F487" s="36">
        <v>176.4</v>
      </c>
      <c r="G487" s="36">
        <v>4</v>
      </c>
      <c r="H487" s="36">
        <v>2</v>
      </c>
    </row>
    <row r="488" spans="1:8" x14ac:dyDescent="0.3">
      <c r="A488" s="35" t="s">
        <v>607</v>
      </c>
      <c r="B488" s="36" t="s">
        <v>8</v>
      </c>
      <c r="C488" s="36" t="s">
        <v>5</v>
      </c>
      <c r="D488" s="36" t="s">
        <v>25</v>
      </c>
      <c r="E488" s="37">
        <v>42505</v>
      </c>
      <c r="F488" s="36">
        <v>147.6</v>
      </c>
      <c r="G488" s="36">
        <v>1</v>
      </c>
      <c r="H488" s="36">
        <v>3</v>
      </c>
    </row>
    <row r="489" spans="1:8" x14ac:dyDescent="0.3">
      <c r="A489" s="35" t="s">
        <v>608</v>
      </c>
      <c r="B489" s="36" t="s">
        <v>40</v>
      </c>
      <c r="C489" s="36" t="s">
        <v>5</v>
      </c>
      <c r="D489" s="36" t="s">
        <v>25</v>
      </c>
      <c r="E489" s="37">
        <v>42503</v>
      </c>
      <c r="F489" s="36">
        <v>62.5</v>
      </c>
      <c r="G489" s="36">
        <v>1</v>
      </c>
      <c r="H489" s="36">
        <v>0</v>
      </c>
    </row>
    <row r="490" spans="1:8" x14ac:dyDescent="0.3">
      <c r="A490" s="35" t="s">
        <v>609</v>
      </c>
      <c r="B490" s="36" t="s">
        <v>60</v>
      </c>
      <c r="C490" s="36" t="s">
        <v>5</v>
      </c>
      <c r="D490" s="36" t="s">
        <v>103</v>
      </c>
      <c r="E490" s="37">
        <v>42501</v>
      </c>
      <c r="F490" s="36">
        <v>104.1</v>
      </c>
      <c r="G490" s="36">
        <v>3</v>
      </c>
      <c r="H490" s="36">
        <v>0</v>
      </c>
    </row>
    <row r="491" spans="1:8" x14ac:dyDescent="0.3">
      <c r="A491" s="35" t="s">
        <v>610</v>
      </c>
      <c r="B491" s="36" t="s">
        <v>53</v>
      </c>
      <c r="C491" s="36" t="s">
        <v>5</v>
      </c>
      <c r="D491" s="36" t="s">
        <v>25</v>
      </c>
      <c r="E491" s="37">
        <v>42498</v>
      </c>
      <c r="F491" s="36">
        <v>166.6</v>
      </c>
      <c r="G491" s="36">
        <v>1</v>
      </c>
      <c r="H491" s="36">
        <v>0</v>
      </c>
    </row>
    <row r="492" spans="1:8" x14ac:dyDescent="0.3">
      <c r="A492" s="35" t="s">
        <v>611</v>
      </c>
      <c r="B492" s="36" t="s">
        <v>576</v>
      </c>
      <c r="C492" s="36" t="s">
        <v>5</v>
      </c>
      <c r="D492" s="36" t="s">
        <v>100</v>
      </c>
      <c r="E492" s="37">
        <v>42491</v>
      </c>
      <c r="F492" s="36">
        <v>141.6</v>
      </c>
      <c r="G492" s="36">
        <v>8</v>
      </c>
      <c r="H492" s="36">
        <v>3</v>
      </c>
    </row>
    <row r="493" spans="1:8" x14ac:dyDescent="0.3">
      <c r="A493" s="35" t="s">
        <v>612</v>
      </c>
      <c r="B493" s="36" t="s">
        <v>11</v>
      </c>
      <c r="C493" s="36" t="s">
        <v>5</v>
      </c>
      <c r="D493" s="36" t="s">
        <v>12</v>
      </c>
      <c r="E493" s="37">
        <v>42488</v>
      </c>
      <c r="F493" s="36">
        <v>138.69999999999999</v>
      </c>
      <c r="G493" s="36">
        <v>8</v>
      </c>
      <c r="H493" s="36">
        <v>2</v>
      </c>
    </row>
    <row r="494" spans="1:8" x14ac:dyDescent="0.3">
      <c r="A494" s="35" t="s">
        <v>172</v>
      </c>
      <c r="B494" s="36" t="s">
        <v>40</v>
      </c>
      <c r="C494" s="36" t="s">
        <v>5</v>
      </c>
      <c r="D494" s="36" t="s">
        <v>173</v>
      </c>
      <c r="E494" s="37">
        <v>42485</v>
      </c>
      <c r="F494" s="36">
        <v>0</v>
      </c>
      <c r="G494" s="36">
        <v>0</v>
      </c>
      <c r="H494" s="36">
        <v>0</v>
      </c>
    </row>
    <row r="495" spans="1:8" x14ac:dyDescent="0.3">
      <c r="A495" s="35" t="s">
        <v>613</v>
      </c>
      <c r="B495" s="36" t="s">
        <v>8</v>
      </c>
      <c r="C495" s="36" t="s">
        <v>5</v>
      </c>
      <c r="D495" s="36" t="s">
        <v>9</v>
      </c>
      <c r="E495" s="37">
        <v>42483</v>
      </c>
      <c r="F495" s="36">
        <v>135.4</v>
      </c>
      <c r="G495" s="36">
        <v>7</v>
      </c>
      <c r="H495" s="36">
        <v>1</v>
      </c>
    </row>
    <row r="496" spans="1:8" x14ac:dyDescent="0.3">
      <c r="A496" s="35" t="s">
        <v>614</v>
      </c>
      <c r="B496" s="36" t="s">
        <v>60</v>
      </c>
      <c r="C496" s="36" t="s">
        <v>5</v>
      </c>
      <c r="D496" s="36" t="s">
        <v>12</v>
      </c>
      <c r="E496" s="37">
        <v>42480</v>
      </c>
      <c r="F496" s="36">
        <v>140.9</v>
      </c>
      <c r="G496" s="36">
        <v>4</v>
      </c>
      <c r="H496" s="36">
        <v>3</v>
      </c>
    </row>
    <row r="497" spans="1:8" x14ac:dyDescent="0.3">
      <c r="A497" s="35" t="s">
        <v>323</v>
      </c>
      <c r="B497" s="36" t="s">
        <v>53</v>
      </c>
      <c r="C497" s="36" t="s">
        <v>5</v>
      </c>
      <c r="D497" s="36" t="s">
        <v>54</v>
      </c>
      <c r="E497" s="37">
        <v>42478</v>
      </c>
      <c r="F497" s="36">
        <v>62.5</v>
      </c>
      <c r="G497" s="36">
        <v>0</v>
      </c>
      <c r="H497" s="36">
        <v>0</v>
      </c>
    </row>
    <row r="498" spans="1:8" x14ac:dyDescent="0.3">
      <c r="A498" s="35" t="s">
        <v>615</v>
      </c>
      <c r="B498" s="36" t="s">
        <v>581</v>
      </c>
      <c r="C498" s="36" t="s">
        <v>5</v>
      </c>
      <c r="D498" s="36" t="s">
        <v>12</v>
      </c>
      <c r="E498" s="37">
        <v>42476</v>
      </c>
      <c r="F498" s="36">
        <v>77.7</v>
      </c>
      <c r="G498" s="36">
        <v>1</v>
      </c>
      <c r="H498" s="36">
        <v>0</v>
      </c>
    </row>
    <row r="499" spans="1:8" x14ac:dyDescent="0.3">
      <c r="A499" s="35" t="s">
        <v>616</v>
      </c>
      <c r="B499" s="36" t="s">
        <v>11</v>
      </c>
      <c r="C499" s="36" t="s">
        <v>5</v>
      </c>
      <c r="D499" s="36" t="s">
        <v>139</v>
      </c>
      <c r="E499" s="37">
        <v>42473</v>
      </c>
      <c r="F499" s="36">
        <v>155.5</v>
      </c>
      <c r="G499" s="36">
        <v>10</v>
      </c>
      <c r="H499" s="36">
        <v>2</v>
      </c>
    </row>
    <row r="500" spans="1:8" x14ac:dyDescent="0.3">
      <c r="A500" s="35" t="s">
        <v>617</v>
      </c>
      <c r="B500" s="36" t="s">
        <v>576</v>
      </c>
      <c r="C500" s="36" t="s">
        <v>5</v>
      </c>
      <c r="D500" s="36" t="s">
        <v>12</v>
      </c>
      <c r="E500" s="37">
        <v>42469</v>
      </c>
      <c r="F500" s="36">
        <v>140</v>
      </c>
      <c r="G500" s="36">
        <v>1</v>
      </c>
      <c r="H500" s="36">
        <v>0</v>
      </c>
    </row>
    <row r="501" spans="1:8" x14ac:dyDescent="0.3">
      <c r="A501" s="44" t="s">
        <v>618</v>
      </c>
      <c r="B501" s="44"/>
      <c r="C501" s="44"/>
      <c r="D501" s="44"/>
      <c r="E501" s="44"/>
      <c r="F501" s="44"/>
      <c r="G501" s="44"/>
      <c r="H501" s="44"/>
    </row>
    <row r="502" spans="1:8" x14ac:dyDescent="0.3">
      <c r="A502" s="35" t="s">
        <v>619</v>
      </c>
      <c r="B502" s="36" t="s">
        <v>208</v>
      </c>
      <c r="C502" s="36" t="s">
        <v>121</v>
      </c>
      <c r="D502" s="36" t="s">
        <v>12</v>
      </c>
      <c r="E502" s="37">
        <v>42460</v>
      </c>
      <c r="F502" s="36">
        <v>138.69999999999999</v>
      </c>
      <c r="G502" s="36">
        <v>3</v>
      </c>
      <c r="H502" s="36">
        <v>3</v>
      </c>
    </row>
    <row r="503" spans="1:8" x14ac:dyDescent="0.3">
      <c r="A503" s="35" t="s">
        <v>620</v>
      </c>
      <c r="B503" s="36" t="s">
        <v>32</v>
      </c>
      <c r="C503" s="36" t="s">
        <v>121</v>
      </c>
      <c r="D503" s="36" t="s">
        <v>173</v>
      </c>
      <c r="E503" s="37">
        <v>42456</v>
      </c>
      <c r="F503" s="36">
        <v>70.5</v>
      </c>
      <c r="G503" s="36">
        <v>1</v>
      </c>
      <c r="H503" s="36">
        <v>0</v>
      </c>
    </row>
    <row r="504" spans="1:8" x14ac:dyDescent="0.3">
      <c r="A504" s="35" t="s">
        <v>621</v>
      </c>
      <c r="B504" s="36" t="s">
        <v>73</v>
      </c>
      <c r="C504" s="36" t="s">
        <v>121</v>
      </c>
      <c r="D504" s="36" t="s">
        <v>103</v>
      </c>
      <c r="E504" s="37">
        <v>42452</v>
      </c>
      <c r="F504" s="36">
        <v>112.5</v>
      </c>
      <c r="G504" s="36">
        <v>1</v>
      </c>
      <c r="H504" s="36">
        <v>1</v>
      </c>
    </row>
    <row r="505" spans="1:8" x14ac:dyDescent="0.3">
      <c r="A505" s="35" t="s">
        <v>622</v>
      </c>
      <c r="B505" s="36" t="s">
        <v>71</v>
      </c>
      <c r="C505" s="36" t="s">
        <v>121</v>
      </c>
      <c r="D505" s="36" t="s">
        <v>139</v>
      </c>
      <c r="E505" s="37">
        <v>42448</v>
      </c>
      <c r="F505" s="36">
        <v>90.9</v>
      </c>
      <c r="G505" s="36">
        <v>2</v>
      </c>
      <c r="H505" s="36">
        <v>0</v>
      </c>
    </row>
    <row r="506" spans="1:8" x14ac:dyDescent="0.3">
      <c r="A506" s="35" t="s">
        <v>453</v>
      </c>
      <c r="B506" s="36" t="s">
        <v>15</v>
      </c>
      <c r="C506" s="36" t="s">
        <v>121</v>
      </c>
      <c r="D506" s="36" t="s">
        <v>80</v>
      </c>
      <c r="E506" s="37">
        <v>42444</v>
      </c>
      <c r="F506" s="36">
        <v>71.400000000000006</v>
      </c>
      <c r="G506" s="36">
        <v>0</v>
      </c>
      <c r="H506" s="36">
        <v>0</v>
      </c>
    </row>
    <row r="507" spans="1:8" x14ac:dyDescent="0.3">
      <c r="A507" s="44" t="s">
        <v>623</v>
      </c>
      <c r="B507" s="44"/>
      <c r="C507" s="44"/>
      <c r="D507" s="44"/>
      <c r="E507" s="44"/>
      <c r="F507" s="44"/>
      <c r="G507" s="44"/>
      <c r="H507" s="44"/>
    </row>
    <row r="508" spans="1:8" x14ac:dyDescent="0.3">
      <c r="A508" s="35" t="s">
        <v>469</v>
      </c>
      <c r="B508" s="36" t="s">
        <v>73</v>
      </c>
      <c r="C508" s="36" t="s">
        <v>121</v>
      </c>
      <c r="D508" s="36" t="s">
        <v>259</v>
      </c>
      <c r="E508" s="37">
        <v>42435</v>
      </c>
      <c r="F508" s="36">
        <v>20</v>
      </c>
      <c r="G508" s="36">
        <v>0</v>
      </c>
      <c r="H508" s="36">
        <v>0</v>
      </c>
    </row>
    <row r="509" spans="1:8" x14ac:dyDescent="0.3">
      <c r="A509" s="35" t="s">
        <v>624</v>
      </c>
      <c r="B509" s="36" t="s">
        <v>625</v>
      </c>
      <c r="C509" s="36" t="s">
        <v>121</v>
      </c>
      <c r="D509" s="36" t="s">
        <v>259</v>
      </c>
      <c r="E509" s="37">
        <v>42432</v>
      </c>
      <c r="F509" s="36">
        <v>139.19999999999999</v>
      </c>
      <c r="G509" s="36">
        <v>7</v>
      </c>
      <c r="H509" s="36">
        <v>1</v>
      </c>
    </row>
    <row r="510" spans="1:8" x14ac:dyDescent="0.3">
      <c r="A510" s="35" t="s">
        <v>265</v>
      </c>
      <c r="B510" s="36" t="s">
        <v>115</v>
      </c>
      <c r="C510" s="36" t="s">
        <v>121</v>
      </c>
      <c r="D510" s="36" t="s">
        <v>259</v>
      </c>
      <c r="E510" s="37">
        <v>42430</v>
      </c>
      <c r="F510" s="36">
        <v>107.1</v>
      </c>
      <c r="G510" s="36">
        <v>3</v>
      </c>
      <c r="H510" s="36">
        <v>0</v>
      </c>
    </row>
    <row r="511" spans="1:8" x14ac:dyDescent="0.3">
      <c r="A511" s="35" t="s">
        <v>172</v>
      </c>
      <c r="B511" s="36" t="s">
        <v>71</v>
      </c>
      <c r="C511" s="36" t="s">
        <v>121</v>
      </c>
      <c r="D511" s="36" t="s">
        <v>259</v>
      </c>
      <c r="E511" s="37">
        <v>42427</v>
      </c>
      <c r="F511" s="36">
        <v>0</v>
      </c>
      <c r="G511" s="36">
        <v>0</v>
      </c>
      <c r="H511" s="36">
        <v>0</v>
      </c>
    </row>
    <row r="512" spans="1:8" x14ac:dyDescent="0.3">
      <c r="A512" s="35" t="s">
        <v>626</v>
      </c>
      <c r="B512" s="36" t="s">
        <v>73</v>
      </c>
      <c r="C512" s="36" t="s">
        <v>121</v>
      </c>
      <c r="D512" s="36" t="s">
        <v>259</v>
      </c>
      <c r="E512" s="37">
        <v>42424</v>
      </c>
      <c r="F512" s="36">
        <v>150.9</v>
      </c>
      <c r="G512" s="36">
        <v>7</v>
      </c>
      <c r="H512" s="36">
        <v>3</v>
      </c>
    </row>
    <row r="513" spans="1:8" x14ac:dyDescent="0.3">
      <c r="A513" s="44" t="s">
        <v>627</v>
      </c>
      <c r="B513" s="44"/>
      <c r="C513" s="44"/>
      <c r="D513" s="44"/>
      <c r="E513" s="44"/>
      <c r="F513" s="44"/>
      <c r="G513" s="44"/>
      <c r="H513" s="44"/>
    </row>
    <row r="514" spans="1:8" x14ac:dyDescent="0.3">
      <c r="A514" s="35" t="s">
        <v>628</v>
      </c>
      <c r="B514" s="36" t="s">
        <v>115</v>
      </c>
      <c r="C514" s="36" t="s">
        <v>121</v>
      </c>
      <c r="D514" s="36" t="s">
        <v>25</v>
      </c>
      <c r="E514" s="37">
        <v>42414</v>
      </c>
      <c r="F514" s="36">
        <v>100</v>
      </c>
      <c r="G514" s="36">
        <v>1</v>
      </c>
      <c r="H514" s="36">
        <v>1</v>
      </c>
    </row>
    <row r="515" spans="1:8" x14ac:dyDescent="0.3">
      <c r="A515" s="35" t="s">
        <v>629</v>
      </c>
      <c r="B515" s="36" t="s">
        <v>115</v>
      </c>
      <c r="C515" s="36" t="s">
        <v>121</v>
      </c>
      <c r="D515" s="36" t="s">
        <v>29</v>
      </c>
      <c r="E515" s="37">
        <v>42412</v>
      </c>
      <c r="F515" s="36">
        <v>119.4</v>
      </c>
      <c r="G515" s="36">
        <v>2</v>
      </c>
      <c r="H515" s="36">
        <v>1</v>
      </c>
    </row>
    <row r="516" spans="1:8" x14ac:dyDescent="0.3">
      <c r="A516" s="35" t="s">
        <v>172</v>
      </c>
      <c r="B516" s="36" t="s">
        <v>115</v>
      </c>
      <c r="C516" s="36" t="s">
        <v>121</v>
      </c>
      <c r="D516" s="36" t="s">
        <v>100</v>
      </c>
      <c r="E516" s="37">
        <v>42409</v>
      </c>
      <c r="F516" s="36">
        <v>0</v>
      </c>
      <c r="G516" s="36">
        <v>0</v>
      </c>
      <c r="H516" s="36">
        <v>0</v>
      </c>
    </row>
    <row r="517" spans="1:8" x14ac:dyDescent="0.3">
      <c r="A517" s="44" t="s">
        <v>630</v>
      </c>
      <c r="B517" s="44"/>
      <c r="C517" s="44"/>
      <c r="D517" s="44"/>
      <c r="E517" s="44"/>
      <c r="F517" s="44"/>
      <c r="G517" s="44"/>
      <c r="H517" s="44"/>
    </row>
    <row r="518" spans="1:8" x14ac:dyDescent="0.3">
      <c r="A518" s="35" t="s">
        <v>631</v>
      </c>
      <c r="B518" s="36" t="s">
        <v>32</v>
      </c>
      <c r="C518" s="36" t="s">
        <v>121</v>
      </c>
      <c r="D518" s="36" t="s">
        <v>33</v>
      </c>
      <c r="E518" s="37">
        <v>42400</v>
      </c>
      <c r="F518" s="36">
        <v>136.80000000000001</v>
      </c>
      <c r="G518" s="36">
        <v>5</v>
      </c>
      <c r="H518" s="36">
        <v>1</v>
      </c>
    </row>
    <row r="519" spans="1:8" x14ac:dyDescent="0.3">
      <c r="A519" s="35" t="s">
        <v>632</v>
      </c>
      <c r="B519" s="36" t="s">
        <v>32</v>
      </c>
      <c r="C519" s="36" t="s">
        <v>121</v>
      </c>
      <c r="D519" s="36" t="s">
        <v>84</v>
      </c>
      <c r="E519" s="37">
        <v>42398</v>
      </c>
      <c r="F519" s="36">
        <v>127.6</v>
      </c>
      <c r="G519" s="36">
        <v>5</v>
      </c>
      <c r="H519" s="36">
        <v>2</v>
      </c>
    </row>
    <row r="520" spans="1:8" x14ac:dyDescent="0.3">
      <c r="A520" s="35" t="s">
        <v>291</v>
      </c>
      <c r="B520" s="36" t="s">
        <v>32</v>
      </c>
      <c r="C520" s="36" t="s">
        <v>121</v>
      </c>
      <c r="D520" s="36" t="s">
        <v>35</v>
      </c>
      <c r="E520" s="37">
        <v>42395</v>
      </c>
      <c r="F520" s="36">
        <v>155</v>
      </c>
      <c r="G520" s="36">
        <v>4</v>
      </c>
      <c r="H520" s="36">
        <v>1</v>
      </c>
    </row>
    <row r="521" spans="1:8" x14ac:dyDescent="0.3">
      <c r="A521" s="35" t="s">
        <v>633</v>
      </c>
      <c r="B521" s="36" t="s">
        <v>32</v>
      </c>
      <c r="C521" s="36" t="s">
        <v>16</v>
      </c>
      <c r="D521" s="36" t="s">
        <v>33</v>
      </c>
      <c r="E521" s="37">
        <v>42392</v>
      </c>
      <c r="F521" s="36">
        <v>91.6</v>
      </c>
      <c r="G521" s="36">
        <v>9</v>
      </c>
      <c r="H521" s="36">
        <v>1</v>
      </c>
    </row>
    <row r="522" spans="1:8" x14ac:dyDescent="0.3">
      <c r="A522" s="35" t="s">
        <v>634</v>
      </c>
      <c r="B522" s="36" t="s">
        <v>32</v>
      </c>
      <c r="C522" s="36" t="s">
        <v>16</v>
      </c>
      <c r="D522" s="36" t="s">
        <v>635</v>
      </c>
      <c r="E522" s="37">
        <v>42389</v>
      </c>
      <c r="F522" s="36">
        <v>164</v>
      </c>
      <c r="G522" s="36">
        <v>2</v>
      </c>
      <c r="H522" s="36">
        <v>3</v>
      </c>
    </row>
    <row r="523" spans="1:8" x14ac:dyDescent="0.3">
      <c r="A523" s="35" t="s">
        <v>636</v>
      </c>
      <c r="B523" s="36" t="s">
        <v>32</v>
      </c>
      <c r="C523" s="36" t="s">
        <v>16</v>
      </c>
      <c r="D523" s="36" t="s">
        <v>84</v>
      </c>
      <c r="E523" s="37">
        <v>42386</v>
      </c>
      <c r="F523" s="36">
        <v>54.5</v>
      </c>
      <c r="G523" s="36">
        <v>0</v>
      </c>
      <c r="H523" s="36">
        <v>0</v>
      </c>
    </row>
    <row r="524" spans="1:8" x14ac:dyDescent="0.3">
      <c r="A524" s="35" t="s">
        <v>637</v>
      </c>
      <c r="B524" s="36" t="s">
        <v>32</v>
      </c>
      <c r="C524" s="36" t="s">
        <v>16</v>
      </c>
      <c r="D524" s="36" t="s">
        <v>88</v>
      </c>
      <c r="E524" s="37">
        <v>42384</v>
      </c>
      <c r="F524" s="36">
        <v>97.6</v>
      </c>
      <c r="G524" s="36">
        <v>11</v>
      </c>
      <c r="H524" s="36">
        <v>3</v>
      </c>
    </row>
    <row r="525" spans="1:8" x14ac:dyDescent="0.3">
      <c r="A525" s="35" t="s">
        <v>638</v>
      </c>
      <c r="B525" s="36" t="s">
        <v>32</v>
      </c>
      <c r="C525" s="36" t="s">
        <v>16</v>
      </c>
      <c r="D525" s="36" t="s">
        <v>37</v>
      </c>
      <c r="E525" s="37">
        <v>42381</v>
      </c>
      <c r="F525" s="36">
        <v>104.9</v>
      </c>
      <c r="G525" s="36">
        <v>13</v>
      </c>
      <c r="H525" s="36">
        <v>7</v>
      </c>
    </row>
    <row r="526" spans="1:8" x14ac:dyDescent="0.3">
      <c r="A526" s="44" t="s">
        <v>639</v>
      </c>
      <c r="B526" s="44"/>
      <c r="C526" s="44"/>
      <c r="D526" s="44"/>
      <c r="E526" s="44"/>
      <c r="F526" s="44"/>
      <c r="G526" s="44"/>
      <c r="H526" s="44"/>
    </row>
    <row r="527" spans="1:8" x14ac:dyDescent="0.3">
      <c r="A527" s="35" t="s">
        <v>182</v>
      </c>
      <c r="B527" s="36" t="s">
        <v>24</v>
      </c>
      <c r="C527" s="36" t="s">
        <v>83</v>
      </c>
      <c r="D527" s="36" t="s">
        <v>9</v>
      </c>
      <c r="E527" s="37">
        <v>42341</v>
      </c>
      <c r="F527" s="36" t="s">
        <v>640</v>
      </c>
      <c r="G527" s="36" t="s">
        <v>86</v>
      </c>
      <c r="H527" s="36" t="s">
        <v>86</v>
      </c>
    </row>
    <row r="528" spans="1:8" x14ac:dyDescent="0.3">
      <c r="A528" s="35" t="s">
        <v>641</v>
      </c>
      <c r="B528" s="36" t="s">
        <v>24</v>
      </c>
      <c r="C528" s="36" t="s">
        <v>83</v>
      </c>
      <c r="D528" s="36" t="s">
        <v>80</v>
      </c>
      <c r="E528" s="37">
        <v>42333</v>
      </c>
      <c r="F528" s="36" t="s">
        <v>642</v>
      </c>
      <c r="G528" s="36" t="s">
        <v>94</v>
      </c>
      <c r="H528" s="36" t="s">
        <v>94</v>
      </c>
    </row>
    <row r="529" spans="1:8" x14ac:dyDescent="0.3">
      <c r="A529" s="35" t="s">
        <v>563</v>
      </c>
      <c r="B529" s="36" t="s">
        <v>24</v>
      </c>
      <c r="C529" s="36" t="s">
        <v>16</v>
      </c>
      <c r="D529" s="36" t="s">
        <v>12</v>
      </c>
      <c r="E529" s="37">
        <v>42302</v>
      </c>
      <c r="F529" s="36">
        <v>80</v>
      </c>
      <c r="G529" s="36">
        <v>3</v>
      </c>
      <c r="H529" s="36">
        <v>0</v>
      </c>
    </row>
    <row r="530" spans="1:8" x14ac:dyDescent="0.3">
      <c r="A530" s="35" t="s">
        <v>643</v>
      </c>
      <c r="B530" s="36" t="s">
        <v>24</v>
      </c>
      <c r="C530" s="36" t="s">
        <v>16</v>
      </c>
      <c r="D530" s="36" t="s">
        <v>64</v>
      </c>
      <c r="E530" s="37">
        <v>42299</v>
      </c>
      <c r="F530" s="36">
        <v>110.5</v>
      </c>
      <c r="G530" s="36">
        <v>4</v>
      </c>
      <c r="H530" s="36">
        <v>0</v>
      </c>
    </row>
    <row r="531" spans="1:8" x14ac:dyDescent="0.3">
      <c r="A531" s="35" t="s">
        <v>644</v>
      </c>
      <c r="B531" s="36" t="s">
        <v>24</v>
      </c>
      <c r="C531" s="36" t="s">
        <v>16</v>
      </c>
      <c r="D531" s="36" t="s">
        <v>19</v>
      </c>
      <c r="E531" s="37">
        <v>42295</v>
      </c>
      <c r="F531" s="36">
        <v>87.8</v>
      </c>
      <c r="G531" s="36">
        <v>7</v>
      </c>
      <c r="H531" s="36">
        <v>2</v>
      </c>
    </row>
    <row r="532" spans="1:8" x14ac:dyDescent="0.3">
      <c r="A532" s="35" t="s">
        <v>645</v>
      </c>
      <c r="B532" s="36" t="s">
        <v>24</v>
      </c>
      <c r="C532" s="36" t="s">
        <v>16</v>
      </c>
      <c r="D532" s="36" t="s">
        <v>17</v>
      </c>
      <c r="E532" s="37">
        <v>42291</v>
      </c>
      <c r="F532" s="36">
        <v>30</v>
      </c>
      <c r="G532" s="36">
        <v>0</v>
      </c>
      <c r="H532" s="36">
        <v>0</v>
      </c>
    </row>
    <row r="533" spans="1:8" x14ac:dyDescent="0.3">
      <c r="A533" s="35" t="s">
        <v>646</v>
      </c>
      <c r="B533" s="36" t="s">
        <v>24</v>
      </c>
      <c r="C533" s="36" t="s">
        <v>16</v>
      </c>
      <c r="D533" s="36" t="s">
        <v>107</v>
      </c>
      <c r="E533" s="37">
        <v>42288</v>
      </c>
      <c r="F533" s="36">
        <v>112.7</v>
      </c>
      <c r="G533" s="36">
        <v>13</v>
      </c>
      <c r="H533" s="36">
        <v>6</v>
      </c>
    </row>
    <row r="534" spans="1:8" x14ac:dyDescent="0.3">
      <c r="A534" s="35" t="s">
        <v>647</v>
      </c>
      <c r="B534" s="36" t="s">
        <v>24</v>
      </c>
      <c r="C534" s="36" t="s">
        <v>121</v>
      </c>
      <c r="D534" s="36" t="s">
        <v>78</v>
      </c>
      <c r="E534" s="37">
        <v>42282</v>
      </c>
      <c r="F534" s="36">
        <v>91.6</v>
      </c>
      <c r="G534" s="36">
        <v>2</v>
      </c>
      <c r="H534" s="36">
        <v>0</v>
      </c>
    </row>
    <row r="535" spans="1:8" x14ac:dyDescent="0.3">
      <c r="A535" s="35" t="s">
        <v>648</v>
      </c>
      <c r="B535" s="36" t="s">
        <v>24</v>
      </c>
      <c r="C535" s="36" t="s">
        <v>121</v>
      </c>
      <c r="D535" s="36" t="s">
        <v>154</v>
      </c>
      <c r="E535" s="37">
        <v>42279</v>
      </c>
      <c r="F535" s="36">
        <v>160.6</v>
      </c>
      <c r="G535" s="36">
        <v>12</v>
      </c>
      <c r="H535" s="36">
        <v>5</v>
      </c>
    </row>
    <row r="536" spans="1:8" x14ac:dyDescent="0.3">
      <c r="A536" s="44" t="s">
        <v>649</v>
      </c>
      <c r="B536" s="44"/>
      <c r="C536" s="44"/>
      <c r="D536" s="44"/>
      <c r="E536" s="44"/>
      <c r="F536" s="44"/>
      <c r="G536" s="44"/>
      <c r="H536" s="44"/>
    </row>
    <row r="537" spans="1:8" x14ac:dyDescent="0.3">
      <c r="A537" s="35" t="s">
        <v>650</v>
      </c>
      <c r="B537" s="36" t="s">
        <v>115</v>
      </c>
      <c r="C537" s="36" t="s">
        <v>83</v>
      </c>
      <c r="D537" s="36" t="s">
        <v>116</v>
      </c>
      <c r="E537" s="37">
        <v>42244</v>
      </c>
      <c r="F537" s="36" t="s">
        <v>651</v>
      </c>
      <c r="G537" s="36" t="s">
        <v>652</v>
      </c>
      <c r="H537" s="36" t="s">
        <v>109</v>
      </c>
    </row>
    <row r="538" spans="1:8" x14ac:dyDescent="0.3">
      <c r="A538" s="35" t="s">
        <v>653</v>
      </c>
      <c r="B538" s="36" t="s">
        <v>115</v>
      </c>
      <c r="C538" s="36" t="s">
        <v>83</v>
      </c>
      <c r="D538" s="36" t="s">
        <v>116</v>
      </c>
      <c r="E538" s="37">
        <v>42236</v>
      </c>
      <c r="F538" s="36" t="s">
        <v>654</v>
      </c>
      <c r="G538" s="36" t="s">
        <v>655</v>
      </c>
      <c r="H538" s="36" t="s">
        <v>110</v>
      </c>
    </row>
    <row r="539" spans="1:8" x14ac:dyDescent="0.3">
      <c r="A539" s="35" t="s">
        <v>656</v>
      </c>
      <c r="B539" s="36" t="s">
        <v>115</v>
      </c>
      <c r="C539" s="36" t="s">
        <v>83</v>
      </c>
      <c r="D539" s="36" t="s">
        <v>657</v>
      </c>
      <c r="E539" s="37">
        <v>42228</v>
      </c>
      <c r="F539" s="36" t="s">
        <v>658</v>
      </c>
      <c r="G539" s="36" t="s">
        <v>109</v>
      </c>
      <c r="H539" s="36" t="s">
        <v>86</v>
      </c>
    </row>
    <row r="540" spans="1:8" x14ac:dyDescent="0.3">
      <c r="A540" s="44" t="s">
        <v>659</v>
      </c>
      <c r="B540" s="44"/>
      <c r="C540" s="44"/>
      <c r="D540" s="44"/>
      <c r="E540" s="44"/>
      <c r="F540" s="44"/>
      <c r="G540" s="44"/>
      <c r="H540" s="44"/>
    </row>
    <row r="541" spans="1:8" x14ac:dyDescent="0.3">
      <c r="A541" s="35" t="s">
        <v>660</v>
      </c>
      <c r="B541" s="36" t="s">
        <v>73</v>
      </c>
      <c r="C541" s="36" t="s">
        <v>16</v>
      </c>
      <c r="D541" s="36" t="s">
        <v>259</v>
      </c>
      <c r="E541" s="37">
        <v>42179</v>
      </c>
      <c r="F541" s="36">
        <v>100</v>
      </c>
      <c r="G541" s="36">
        <v>2</v>
      </c>
      <c r="H541" s="36">
        <v>1</v>
      </c>
    </row>
    <row r="542" spans="1:8" x14ac:dyDescent="0.3">
      <c r="A542" s="35" t="s">
        <v>172</v>
      </c>
      <c r="B542" s="36" t="s">
        <v>73</v>
      </c>
      <c r="C542" s="36" t="s">
        <v>16</v>
      </c>
      <c r="D542" s="36" t="s">
        <v>259</v>
      </c>
      <c r="E542" s="37">
        <v>42176</v>
      </c>
      <c r="F542" s="36">
        <v>0</v>
      </c>
      <c r="G542" s="36">
        <v>0</v>
      </c>
      <c r="H542" s="36">
        <v>0</v>
      </c>
    </row>
    <row r="543" spans="1:8" x14ac:dyDescent="0.3">
      <c r="A543" s="35" t="s">
        <v>661</v>
      </c>
      <c r="B543" s="36" t="s">
        <v>73</v>
      </c>
      <c r="C543" s="36" t="s">
        <v>16</v>
      </c>
      <c r="D543" s="36" t="s">
        <v>259</v>
      </c>
      <c r="E543" s="37">
        <v>42173</v>
      </c>
      <c r="F543" s="36">
        <v>92.6</v>
      </c>
      <c r="G543" s="36">
        <v>4</v>
      </c>
      <c r="H543" s="36">
        <v>1</v>
      </c>
    </row>
    <row r="544" spans="1:8" x14ac:dyDescent="0.3">
      <c r="A544" s="35" t="s">
        <v>316</v>
      </c>
      <c r="B544" s="36" t="s">
        <v>73</v>
      </c>
      <c r="C544" s="36" t="s">
        <v>83</v>
      </c>
      <c r="D544" s="36" t="s">
        <v>662</v>
      </c>
      <c r="E544" s="37">
        <v>42165</v>
      </c>
      <c r="F544" s="36" t="s">
        <v>663</v>
      </c>
      <c r="G544" s="36" t="s">
        <v>239</v>
      </c>
      <c r="H544" s="36" t="s">
        <v>91</v>
      </c>
    </row>
    <row r="545" spans="1:8" x14ac:dyDescent="0.3">
      <c r="A545" s="44" t="s">
        <v>664</v>
      </c>
      <c r="B545" s="44"/>
      <c r="C545" s="44"/>
      <c r="D545" s="44"/>
      <c r="E545" s="44"/>
      <c r="F545" s="44"/>
      <c r="G545" s="44"/>
      <c r="H545" s="44"/>
    </row>
    <row r="546" spans="1:8" x14ac:dyDescent="0.3">
      <c r="A546" s="35" t="s">
        <v>665</v>
      </c>
      <c r="B546" s="36" t="s">
        <v>56</v>
      </c>
      <c r="C546" s="36" t="s">
        <v>5</v>
      </c>
      <c r="D546" s="36" t="s">
        <v>139</v>
      </c>
      <c r="E546" s="37">
        <v>42148</v>
      </c>
      <c r="F546" s="36">
        <v>192.3</v>
      </c>
      <c r="G546" s="36">
        <v>6</v>
      </c>
      <c r="H546" s="36">
        <v>2</v>
      </c>
    </row>
    <row r="547" spans="1:8" x14ac:dyDescent="0.3">
      <c r="A547" s="35" t="s">
        <v>666</v>
      </c>
      <c r="B547" s="36" t="s">
        <v>56</v>
      </c>
      <c r="C547" s="36" t="s">
        <v>5</v>
      </c>
      <c r="D547" s="36" t="s">
        <v>12</v>
      </c>
      <c r="E547" s="37">
        <v>42143</v>
      </c>
      <c r="F547" s="36">
        <v>135.69999999999999</v>
      </c>
      <c r="G547" s="36">
        <v>1</v>
      </c>
      <c r="H547" s="36">
        <v>1</v>
      </c>
    </row>
    <row r="548" spans="1:8" x14ac:dyDescent="0.3">
      <c r="A548" s="35" t="s">
        <v>667</v>
      </c>
      <c r="B548" s="36" t="s">
        <v>53</v>
      </c>
      <c r="C548" s="36" t="s">
        <v>5</v>
      </c>
      <c r="D548" s="36" t="s">
        <v>54</v>
      </c>
      <c r="E548" s="37">
        <v>42141</v>
      </c>
      <c r="F548" s="36">
        <v>350</v>
      </c>
      <c r="G548" s="36">
        <v>0</v>
      </c>
      <c r="H548" s="36">
        <v>1</v>
      </c>
    </row>
    <row r="549" spans="1:8" x14ac:dyDescent="0.3">
      <c r="A549" s="35" t="s">
        <v>668</v>
      </c>
      <c r="B549" s="36" t="s">
        <v>11</v>
      </c>
      <c r="C549" s="36" t="s">
        <v>5</v>
      </c>
      <c r="D549" s="36" t="s">
        <v>12</v>
      </c>
      <c r="E549" s="37">
        <v>42138</v>
      </c>
      <c r="F549" s="36">
        <v>142.80000000000001</v>
      </c>
      <c r="G549" s="36">
        <v>5</v>
      </c>
      <c r="H549" s="36">
        <v>0</v>
      </c>
    </row>
    <row r="550" spans="1:8" x14ac:dyDescent="0.3">
      <c r="A550" s="35" t="s">
        <v>263</v>
      </c>
      <c r="B550" s="36" t="s">
        <v>60</v>
      </c>
      <c r="C550" s="36" t="s">
        <v>5</v>
      </c>
      <c r="D550" s="36" t="s">
        <v>12</v>
      </c>
      <c r="E550" s="37">
        <v>42134</v>
      </c>
      <c r="F550" s="36">
        <v>115.3</v>
      </c>
      <c r="G550" s="36">
        <v>1</v>
      </c>
      <c r="H550" s="36">
        <v>1</v>
      </c>
    </row>
    <row r="551" spans="1:8" x14ac:dyDescent="0.3">
      <c r="A551" s="35" t="s">
        <v>669</v>
      </c>
      <c r="B551" s="36" t="s">
        <v>56</v>
      </c>
      <c r="C551" s="36" t="s">
        <v>5</v>
      </c>
      <c r="D551" s="36" t="s">
        <v>64</v>
      </c>
      <c r="E551" s="37">
        <v>42132</v>
      </c>
      <c r="F551" s="36">
        <v>81.8</v>
      </c>
      <c r="G551" s="36">
        <v>0</v>
      </c>
      <c r="H551" s="36">
        <v>0</v>
      </c>
    </row>
    <row r="552" spans="1:8" x14ac:dyDescent="0.3">
      <c r="A552" s="35" t="s">
        <v>670</v>
      </c>
      <c r="B552" s="36" t="s">
        <v>8</v>
      </c>
      <c r="C552" s="36" t="s">
        <v>5</v>
      </c>
      <c r="D552" s="36" t="s">
        <v>12</v>
      </c>
      <c r="E552" s="37">
        <v>42129</v>
      </c>
      <c r="F552" s="36">
        <v>124.3</v>
      </c>
      <c r="G552" s="36">
        <v>2</v>
      </c>
      <c r="H552" s="36">
        <v>3</v>
      </c>
    </row>
    <row r="553" spans="1:8" x14ac:dyDescent="0.3">
      <c r="A553" s="35" t="s">
        <v>671</v>
      </c>
      <c r="B553" s="36" t="s">
        <v>40</v>
      </c>
      <c r="C553" s="36" t="s">
        <v>5</v>
      </c>
      <c r="D553" s="36" t="s">
        <v>173</v>
      </c>
      <c r="E553" s="37">
        <v>42127</v>
      </c>
      <c r="F553" s="36">
        <v>130</v>
      </c>
      <c r="G553" s="36">
        <v>2</v>
      </c>
      <c r="H553" s="36">
        <v>0</v>
      </c>
    </row>
    <row r="554" spans="1:8" x14ac:dyDescent="0.3">
      <c r="A554" s="35" t="s">
        <v>578</v>
      </c>
      <c r="B554" s="36" t="s">
        <v>4</v>
      </c>
      <c r="C554" s="36" t="s">
        <v>5</v>
      </c>
      <c r="D554" s="36" t="s">
        <v>12</v>
      </c>
      <c r="E554" s="37">
        <v>42125</v>
      </c>
      <c r="F554" s="36">
        <v>128.5</v>
      </c>
      <c r="G554" s="36">
        <v>2</v>
      </c>
      <c r="H554" s="36">
        <v>1</v>
      </c>
    </row>
    <row r="555" spans="1:8" x14ac:dyDescent="0.3">
      <c r="A555" s="35" t="s">
        <v>672</v>
      </c>
      <c r="B555" s="36" t="s">
        <v>53</v>
      </c>
      <c r="C555" s="36" t="s">
        <v>5</v>
      </c>
      <c r="D555" s="36" t="s">
        <v>12</v>
      </c>
      <c r="E555" s="37">
        <v>42119</v>
      </c>
      <c r="F555" s="36">
        <v>160</v>
      </c>
      <c r="G555" s="36">
        <v>2</v>
      </c>
      <c r="H555" s="36">
        <v>1</v>
      </c>
    </row>
    <row r="556" spans="1:8" x14ac:dyDescent="0.3">
      <c r="A556" s="35" t="s">
        <v>673</v>
      </c>
      <c r="B556" s="36" t="s">
        <v>8</v>
      </c>
      <c r="C556" s="36" t="s">
        <v>5</v>
      </c>
      <c r="D556" s="36" t="s">
        <v>9</v>
      </c>
      <c r="E556" s="37">
        <v>42117</v>
      </c>
      <c r="F556" s="36">
        <v>125</v>
      </c>
      <c r="G556" s="36">
        <v>0</v>
      </c>
      <c r="H556" s="36">
        <v>2</v>
      </c>
    </row>
    <row r="557" spans="1:8" x14ac:dyDescent="0.3">
      <c r="A557" s="35" t="s">
        <v>674</v>
      </c>
      <c r="B557" s="36" t="s">
        <v>60</v>
      </c>
      <c r="C557" s="36" t="s">
        <v>5</v>
      </c>
      <c r="D557" s="36" t="s">
        <v>103</v>
      </c>
      <c r="E557" s="37">
        <v>42113</v>
      </c>
      <c r="F557" s="36">
        <v>280</v>
      </c>
      <c r="G557" s="36">
        <v>3</v>
      </c>
      <c r="H557" s="36">
        <v>4</v>
      </c>
    </row>
    <row r="558" spans="1:8" x14ac:dyDescent="0.3">
      <c r="A558" s="35" t="s">
        <v>675</v>
      </c>
      <c r="B558" s="36" t="s">
        <v>56</v>
      </c>
      <c r="C558" s="36" t="s">
        <v>5</v>
      </c>
      <c r="D558" s="36" t="s">
        <v>12</v>
      </c>
      <c r="E558" s="37">
        <v>42111</v>
      </c>
      <c r="F558" s="36">
        <v>161.19999999999999</v>
      </c>
      <c r="G558" s="36">
        <v>5</v>
      </c>
      <c r="H558" s="36">
        <v>1</v>
      </c>
    </row>
    <row r="559" spans="1:8" x14ac:dyDescent="0.3">
      <c r="A559" s="35" t="s">
        <v>676</v>
      </c>
      <c r="B559" s="36" t="s">
        <v>4</v>
      </c>
      <c r="C559" s="36" t="s">
        <v>5</v>
      </c>
      <c r="D559" s="36" t="s">
        <v>41</v>
      </c>
      <c r="E559" s="37">
        <v>42108</v>
      </c>
      <c r="F559" s="36">
        <v>0</v>
      </c>
      <c r="G559" s="36">
        <v>0</v>
      </c>
      <c r="H559" s="36">
        <v>0</v>
      </c>
    </row>
    <row r="560" spans="1:8" x14ac:dyDescent="0.3">
      <c r="A560" s="35" t="s">
        <v>172</v>
      </c>
      <c r="B560" s="36" t="s">
        <v>40</v>
      </c>
      <c r="C560" s="36" t="s">
        <v>5</v>
      </c>
      <c r="D560" s="36" t="s">
        <v>12</v>
      </c>
      <c r="E560" s="37">
        <v>42106</v>
      </c>
      <c r="F560" s="36">
        <v>0</v>
      </c>
      <c r="G560" s="36">
        <v>0</v>
      </c>
      <c r="H560" s="36">
        <v>0</v>
      </c>
    </row>
    <row r="561" spans="1:8" x14ac:dyDescent="0.3">
      <c r="A561" s="35" t="s">
        <v>677</v>
      </c>
      <c r="B561" s="36" t="s">
        <v>11</v>
      </c>
      <c r="C561" s="36" t="s">
        <v>5</v>
      </c>
      <c r="D561" s="36" t="s">
        <v>139</v>
      </c>
      <c r="E561" s="37">
        <v>42102</v>
      </c>
      <c r="F561" s="36">
        <v>150.69999999999999</v>
      </c>
      <c r="G561" s="36">
        <v>12</v>
      </c>
      <c r="H561" s="36">
        <v>4</v>
      </c>
    </row>
    <row r="562" spans="1:8" x14ac:dyDescent="0.3">
      <c r="A562" s="44" t="s">
        <v>678</v>
      </c>
      <c r="B562" s="44"/>
      <c r="C562" s="44"/>
      <c r="D562" s="44"/>
      <c r="E562" s="44"/>
      <c r="F562" s="44"/>
      <c r="G562" s="44"/>
      <c r="H562" s="44"/>
    </row>
    <row r="563" spans="1:8" x14ac:dyDescent="0.3">
      <c r="A563" s="35" t="s">
        <v>679</v>
      </c>
      <c r="B563" s="36" t="s">
        <v>32</v>
      </c>
      <c r="C563" s="36" t="s">
        <v>16</v>
      </c>
      <c r="D563" s="36" t="s">
        <v>33</v>
      </c>
      <c r="E563" s="37">
        <v>42089</v>
      </c>
      <c r="F563" s="36">
        <v>70.8</v>
      </c>
      <c r="G563" s="36">
        <v>1</v>
      </c>
      <c r="H563" s="36">
        <v>2</v>
      </c>
    </row>
    <row r="564" spans="1:8" x14ac:dyDescent="0.3">
      <c r="A564" s="35" t="s">
        <v>680</v>
      </c>
      <c r="B564" s="36" t="s">
        <v>73</v>
      </c>
      <c r="C564" s="36" t="s">
        <v>16</v>
      </c>
      <c r="D564" s="36" t="s">
        <v>84</v>
      </c>
      <c r="E564" s="37">
        <v>42082</v>
      </c>
      <c r="F564" s="36">
        <v>108.7</v>
      </c>
      <c r="G564" s="36">
        <v>14</v>
      </c>
      <c r="H564" s="36">
        <v>3</v>
      </c>
    </row>
    <row r="565" spans="1:8" x14ac:dyDescent="0.3">
      <c r="A565" s="35" t="s">
        <v>681</v>
      </c>
      <c r="B565" s="36" t="s">
        <v>264</v>
      </c>
      <c r="C565" s="36" t="s">
        <v>16</v>
      </c>
      <c r="D565" s="36" t="s">
        <v>407</v>
      </c>
      <c r="E565" s="37">
        <v>42077</v>
      </c>
      <c r="F565" s="36">
        <v>76.099999999999994</v>
      </c>
      <c r="G565" s="36">
        <v>2</v>
      </c>
      <c r="H565" s="36">
        <v>0</v>
      </c>
    </row>
    <row r="566" spans="1:8" x14ac:dyDescent="0.3">
      <c r="A566" s="35" t="s">
        <v>682</v>
      </c>
      <c r="B566" s="36" t="s">
        <v>135</v>
      </c>
      <c r="C566" s="36" t="s">
        <v>16</v>
      </c>
      <c r="D566" s="36" t="s">
        <v>405</v>
      </c>
      <c r="E566" s="37">
        <v>42073</v>
      </c>
      <c r="F566" s="36">
        <v>96.9</v>
      </c>
      <c r="G566" s="36">
        <v>3</v>
      </c>
      <c r="H566" s="36">
        <v>3</v>
      </c>
    </row>
    <row r="567" spans="1:8" x14ac:dyDescent="0.3">
      <c r="A567" s="35" t="s">
        <v>683</v>
      </c>
      <c r="B567" s="36" t="s">
        <v>208</v>
      </c>
      <c r="C567" s="36" t="s">
        <v>16</v>
      </c>
      <c r="D567" s="36" t="s">
        <v>37</v>
      </c>
      <c r="E567" s="37">
        <v>42069</v>
      </c>
      <c r="F567" s="36">
        <v>38.799999999999997</v>
      </c>
      <c r="G567" s="36">
        <v>1</v>
      </c>
      <c r="H567" s="36">
        <v>0</v>
      </c>
    </row>
    <row r="568" spans="1:8" x14ac:dyDescent="0.3">
      <c r="A568" s="35" t="s">
        <v>684</v>
      </c>
      <c r="B568" s="36" t="s">
        <v>625</v>
      </c>
      <c r="C568" s="36" t="s">
        <v>16</v>
      </c>
      <c r="D568" s="36" t="s">
        <v>37</v>
      </c>
      <c r="E568" s="37">
        <v>42063</v>
      </c>
      <c r="F568" s="36">
        <v>103.6</v>
      </c>
      <c r="G568" s="36">
        <v>10</v>
      </c>
      <c r="H568" s="36">
        <v>1</v>
      </c>
    </row>
    <row r="569" spans="1:8" x14ac:dyDescent="0.3">
      <c r="A569" s="35" t="s">
        <v>195</v>
      </c>
      <c r="B569" s="36" t="s">
        <v>24</v>
      </c>
      <c r="C569" s="36" t="s">
        <v>16</v>
      </c>
      <c r="D569" s="36" t="s">
        <v>84</v>
      </c>
      <c r="E569" s="37">
        <v>42057</v>
      </c>
      <c r="F569" s="36">
        <v>0</v>
      </c>
      <c r="G569" s="36">
        <v>0</v>
      </c>
      <c r="H569" s="36">
        <v>0</v>
      </c>
    </row>
    <row r="570" spans="1:8" x14ac:dyDescent="0.3">
      <c r="A570" s="35" t="s">
        <v>685</v>
      </c>
      <c r="B570" s="36" t="s">
        <v>71</v>
      </c>
      <c r="C570" s="36" t="s">
        <v>16</v>
      </c>
      <c r="D570" s="36" t="s">
        <v>35</v>
      </c>
      <c r="E570" s="37">
        <v>42050</v>
      </c>
      <c r="F570" s="36">
        <v>75</v>
      </c>
      <c r="G570" s="36">
        <v>2</v>
      </c>
      <c r="H570" s="36">
        <v>0</v>
      </c>
    </row>
    <row r="571" spans="1:8" x14ac:dyDescent="0.3">
      <c r="A571" s="44" t="s">
        <v>686</v>
      </c>
      <c r="B571" s="44"/>
      <c r="C571" s="44"/>
      <c r="D571" s="44"/>
      <c r="E571" s="44"/>
      <c r="F571" s="44"/>
      <c r="G571" s="44"/>
      <c r="H571" s="44"/>
    </row>
    <row r="572" spans="1:8" x14ac:dyDescent="0.3">
      <c r="A572" s="35" t="s">
        <v>687</v>
      </c>
      <c r="B572" s="36" t="s">
        <v>32</v>
      </c>
      <c r="C572" s="36" t="s">
        <v>16</v>
      </c>
      <c r="D572" s="36" t="s">
        <v>84</v>
      </c>
      <c r="E572" s="37">
        <v>42022</v>
      </c>
      <c r="F572" s="36">
        <v>99.2</v>
      </c>
      <c r="G572" s="36">
        <v>9</v>
      </c>
      <c r="H572" s="36">
        <v>4</v>
      </c>
    </row>
    <row r="573" spans="1:8" x14ac:dyDescent="0.3">
      <c r="A573" s="44" t="s">
        <v>688</v>
      </c>
      <c r="B573" s="44"/>
      <c r="C573" s="44"/>
      <c r="D573" s="44"/>
      <c r="E573" s="44"/>
      <c r="F573" s="44"/>
      <c r="G573" s="44"/>
      <c r="H573" s="44"/>
    </row>
    <row r="574" spans="1:8" x14ac:dyDescent="0.3">
      <c r="A574" s="35" t="s">
        <v>689</v>
      </c>
      <c r="B574" s="36" t="s">
        <v>32</v>
      </c>
      <c r="C574" s="36" t="s">
        <v>83</v>
      </c>
      <c r="D574" s="36" t="s">
        <v>33</v>
      </c>
      <c r="E574" s="37">
        <v>42010</v>
      </c>
      <c r="F574" s="36" t="s">
        <v>690</v>
      </c>
      <c r="G574" s="36" t="s">
        <v>655</v>
      </c>
      <c r="H574" s="36" t="s">
        <v>691</v>
      </c>
    </row>
    <row r="575" spans="1:8" x14ac:dyDescent="0.3">
      <c r="A575" s="35" t="s">
        <v>692</v>
      </c>
      <c r="B575" s="36" t="s">
        <v>32</v>
      </c>
      <c r="C575" s="36" t="s">
        <v>83</v>
      </c>
      <c r="D575" s="36" t="s">
        <v>88</v>
      </c>
      <c r="E575" s="37">
        <v>41990</v>
      </c>
      <c r="F575" s="36" t="s">
        <v>693</v>
      </c>
      <c r="G575" s="36" t="s">
        <v>110</v>
      </c>
      <c r="H575" s="36" t="s">
        <v>182</v>
      </c>
    </row>
    <row r="576" spans="1:8" x14ac:dyDescent="0.3">
      <c r="A576" s="35" t="s">
        <v>694</v>
      </c>
      <c r="B576" s="36" t="s">
        <v>32</v>
      </c>
      <c r="C576" s="36" t="s">
        <v>83</v>
      </c>
      <c r="D576" s="36" t="s">
        <v>35</v>
      </c>
      <c r="E576" s="37">
        <v>41982</v>
      </c>
      <c r="F576" s="36" t="s">
        <v>695</v>
      </c>
      <c r="G576" s="36" t="s">
        <v>696</v>
      </c>
      <c r="H576" s="36" t="s">
        <v>86</v>
      </c>
    </row>
    <row r="577" spans="1:8" x14ac:dyDescent="0.3">
      <c r="A577" s="44" t="s">
        <v>697</v>
      </c>
      <c r="B577" s="44"/>
      <c r="C577" s="44"/>
      <c r="D577" s="44"/>
      <c r="E577" s="44"/>
      <c r="F577" s="44"/>
      <c r="G577" s="44"/>
      <c r="H577" s="44"/>
    </row>
    <row r="578" spans="1:8" x14ac:dyDescent="0.3">
      <c r="A578" s="35" t="s">
        <v>698</v>
      </c>
      <c r="B578" s="36" t="s">
        <v>115</v>
      </c>
      <c r="C578" s="36" t="s">
        <v>16</v>
      </c>
      <c r="D578" s="36" t="s">
        <v>29</v>
      </c>
      <c r="E578" s="37">
        <v>41959</v>
      </c>
      <c r="F578" s="36">
        <v>75</v>
      </c>
      <c r="G578" s="36">
        <v>2</v>
      </c>
      <c r="H578" s="36">
        <v>0</v>
      </c>
    </row>
    <row r="579" spans="1:8" x14ac:dyDescent="0.3">
      <c r="A579" s="35" t="s">
        <v>699</v>
      </c>
      <c r="B579" s="36" t="s">
        <v>115</v>
      </c>
      <c r="C579" s="36" t="s">
        <v>16</v>
      </c>
      <c r="D579" s="36" t="s">
        <v>139</v>
      </c>
      <c r="E579" s="37">
        <v>41956</v>
      </c>
      <c r="F579" s="36">
        <v>152.6</v>
      </c>
      <c r="G579" s="36">
        <v>33</v>
      </c>
      <c r="H579" s="36">
        <v>9</v>
      </c>
    </row>
    <row r="580" spans="1:8" x14ac:dyDescent="0.3">
      <c r="A580" s="44" t="s">
        <v>700</v>
      </c>
      <c r="B580" s="44"/>
      <c r="C580" s="44"/>
      <c r="D580" s="44"/>
      <c r="E580" s="44"/>
      <c r="F580" s="44"/>
      <c r="G580" s="44"/>
      <c r="H580" s="44"/>
    </row>
    <row r="581" spans="1:8" x14ac:dyDescent="0.3">
      <c r="A581" s="35" t="s">
        <v>701</v>
      </c>
      <c r="B581" s="36" t="s">
        <v>76</v>
      </c>
      <c r="C581" s="36" t="s">
        <v>16</v>
      </c>
      <c r="D581" s="36" t="s">
        <v>508</v>
      </c>
      <c r="E581" s="37">
        <v>41878</v>
      </c>
      <c r="F581" s="36">
        <v>59.7</v>
      </c>
      <c r="G581" s="36">
        <v>4</v>
      </c>
      <c r="H581" s="36">
        <v>1</v>
      </c>
    </row>
    <row r="582" spans="1:8" x14ac:dyDescent="0.3">
      <c r="A582" s="35" t="s">
        <v>702</v>
      </c>
      <c r="B582" s="36" t="s">
        <v>76</v>
      </c>
      <c r="C582" s="36" t="s">
        <v>83</v>
      </c>
      <c r="D582" s="36" t="s">
        <v>294</v>
      </c>
      <c r="E582" s="37">
        <v>41847</v>
      </c>
      <c r="F582" s="36" t="s">
        <v>703</v>
      </c>
      <c r="G582" s="36" t="s">
        <v>110</v>
      </c>
      <c r="H582" s="36" t="s">
        <v>86</v>
      </c>
    </row>
    <row r="583" spans="1:8" x14ac:dyDescent="0.3">
      <c r="A583" s="44" t="s">
        <v>704</v>
      </c>
      <c r="B583" s="44"/>
      <c r="C583" s="44"/>
      <c r="D583" s="44"/>
      <c r="E583" s="44"/>
      <c r="F583" s="44"/>
      <c r="G583" s="44"/>
      <c r="H583" s="44"/>
    </row>
    <row r="584" spans="1:8" x14ac:dyDescent="0.3">
      <c r="A584" s="35" t="s">
        <v>705</v>
      </c>
      <c r="B584" s="36" t="s">
        <v>56</v>
      </c>
      <c r="C584" s="36" t="s">
        <v>5</v>
      </c>
      <c r="D584" s="36" t="s">
        <v>12</v>
      </c>
      <c r="E584" s="37">
        <v>41787</v>
      </c>
      <c r="F584" s="36">
        <v>125</v>
      </c>
      <c r="G584" s="36">
        <v>3</v>
      </c>
      <c r="H584" s="36">
        <v>0</v>
      </c>
    </row>
    <row r="585" spans="1:8" x14ac:dyDescent="0.3">
      <c r="A585" s="35" t="s">
        <v>706</v>
      </c>
      <c r="B585" s="36" t="s">
        <v>4</v>
      </c>
      <c r="C585" s="36" t="s">
        <v>5</v>
      </c>
      <c r="D585" s="36" t="s">
        <v>12</v>
      </c>
      <c r="E585" s="37">
        <v>41784</v>
      </c>
      <c r="F585" s="36">
        <v>145.4</v>
      </c>
      <c r="G585" s="36">
        <v>1</v>
      </c>
      <c r="H585" s="36">
        <v>1</v>
      </c>
    </row>
    <row r="586" spans="1:8" x14ac:dyDescent="0.3">
      <c r="A586" s="35" t="s">
        <v>668</v>
      </c>
      <c r="B586" s="36" t="s">
        <v>8</v>
      </c>
      <c r="C586" s="36" t="s">
        <v>5</v>
      </c>
      <c r="D586" s="36" t="s">
        <v>12</v>
      </c>
      <c r="E586" s="37">
        <v>41782</v>
      </c>
      <c r="F586" s="36">
        <v>142.80000000000001</v>
      </c>
      <c r="G586" s="36">
        <v>4</v>
      </c>
      <c r="H586" s="36">
        <v>0</v>
      </c>
    </row>
    <row r="587" spans="1:8" x14ac:dyDescent="0.3">
      <c r="A587" s="35" t="s">
        <v>707</v>
      </c>
      <c r="B587" s="36" t="s">
        <v>40</v>
      </c>
      <c r="C587" s="36" t="s">
        <v>5</v>
      </c>
      <c r="D587" s="36" t="s">
        <v>173</v>
      </c>
      <c r="E587" s="37">
        <v>41780</v>
      </c>
      <c r="F587" s="36">
        <v>90</v>
      </c>
      <c r="G587" s="36">
        <v>2</v>
      </c>
      <c r="H587" s="36">
        <v>0</v>
      </c>
    </row>
    <row r="588" spans="1:8" x14ac:dyDescent="0.3">
      <c r="A588" s="35" t="s">
        <v>322</v>
      </c>
      <c r="B588" s="36" t="s">
        <v>4</v>
      </c>
      <c r="C588" s="36" t="s">
        <v>5</v>
      </c>
      <c r="D588" s="36" t="s">
        <v>41</v>
      </c>
      <c r="E588" s="37">
        <v>41778</v>
      </c>
      <c r="F588" s="36">
        <v>210.5</v>
      </c>
      <c r="G588" s="36">
        <v>3</v>
      </c>
      <c r="H588" s="36">
        <v>4</v>
      </c>
    </row>
    <row r="589" spans="1:8" x14ac:dyDescent="0.3">
      <c r="A589" s="35" t="s">
        <v>708</v>
      </c>
      <c r="B589" s="36" t="s">
        <v>11</v>
      </c>
      <c r="C589" s="36" t="s">
        <v>5</v>
      </c>
      <c r="D589" s="36" t="s">
        <v>78</v>
      </c>
      <c r="E589" s="37">
        <v>41773</v>
      </c>
      <c r="F589" s="36">
        <v>113.3</v>
      </c>
      <c r="G589" s="36">
        <v>4</v>
      </c>
      <c r="H589" s="36">
        <v>2</v>
      </c>
    </row>
    <row r="590" spans="1:8" x14ac:dyDescent="0.3">
      <c r="A590" s="35" t="s">
        <v>709</v>
      </c>
      <c r="B590" s="36" t="s">
        <v>53</v>
      </c>
      <c r="C590" s="36" t="s">
        <v>5</v>
      </c>
      <c r="D590" s="36" t="s">
        <v>54</v>
      </c>
      <c r="E590" s="37">
        <v>41771</v>
      </c>
      <c r="F590" s="36">
        <v>233.3</v>
      </c>
      <c r="G590" s="36">
        <v>3</v>
      </c>
      <c r="H590" s="36">
        <v>0</v>
      </c>
    </row>
    <row r="591" spans="1:8" x14ac:dyDescent="0.3">
      <c r="A591" s="35" t="s">
        <v>710</v>
      </c>
      <c r="B591" s="36" t="s">
        <v>56</v>
      </c>
      <c r="C591" s="36" t="s">
        <v>5</v>
      </c>
      <c r="D591" s="36" t="s">
        <v>12</v>
      </c>
      <c r="E591" s="37">
        <v>41769</v>
      </c>
      <c r="F591" s="36">
        <v>100</v>
      </c>
      <c r="G591" s="36">
        <v>1</v>
      </c>
      <c r="H591" s="36">
        <v>0</v>
      </c>
    </row>
    <row r="592" spans="1:8" x14ac:dyDescent="0.3">
      <c r="A592" s="35" t="s">
        <v>711</v>
      </c>
      <c r="B592" s="36" t="s">
        <v>60</v>
      </c>
      <c r="C592" s="36" t="s">
        <v>5</v>
      </c>
      <c r="D592" s="36" t="s">
        <v>12</v>
      </c>
      <c r="E592" s="37">
        <v>41765</v>
      </c>
      <c r="F592" s="36">
        <v>168.5</v>
      </c>
      <c r="G592" s="36">
        <v>3</v>
      </c>
      <c r="H592" s="36">
        <v>4</v>
      </c>
    </row>
    <row r="593" spans="1:8" x14ac:dyDescent="0.3">
      <c r="A593" s="35" t="s">
        <v>712</v>
      </c>
      <c r="B593" s="36" t="s">
        <v>40</v>
      </c>
      <c r="C593" s="36" t="s">
        <v>5</v>
      </c>
      <c r="D593" s="36" t="s">
        <v>12</v>
      </c>
      <c r="E593" s="37">
        <v>41762</v>
      </c>
      <c r="F593" s="36">
        <v>114.7</v>
      </c>
      <c r="G593" s="36">
        <v>4</v>
      </c>
      <c r="H593" s="36">
        <v>2</v>
      </c>
    </row>
    <row r="594" spans="1:8" x14ac:dyDescent="0.3">
      <c r="A594" s="35" t="s">
        <v>469</v>
      </c>
      <c r="B594" s="36" t="s">
        <v>53</v>
      </c>
      <c r="C594" s="36" t="s">
        <v>5</v>
      </c>
      <c r="D594" s="36" t="s">
        <v>67</v>
      </c>
      <c r="E594" s="37">
        <v>41759</v>
      </c>
      <c r="F594" s="36">
        <v>20</v>
      </c>
      <c r="G594" s="36">
        <v>0</v>
      </c>
      <c r="H594" s="36">
        <v>0</v>
      </c>
    </row>
    <row r="595" spans="1:8" x14ac:dyDescent="0.3">
      <c r="A595" s="35" t="s">
        <v>140</v>
      </c>
      <c r="B595" s="36" t="s">
        <v>8</v>
      </c>
      <c r="C595" s="36" t="s">
        <v>5</v>
      </c>
      <c r="D595" s="36" t="s">
        <v>338</v>
      </c>
      <c r="E595" s="37">
        <v>41756</v>
      </c>
      <c r="F595" s="36">
        <v>80</v>
      </c>
      <c r="G595" s="36">
        <v>0</v>
      </c>
      <c r="H595" s="36">
        <v>0</v>
      </c>
    </row>
    <row r="596" spans="1:8" x14ac:dyDescent="0.3">
      <c r="A596" s="35" t="s">
        <v>713</v>
      </c>
      <c r="B596" s="36" t="s">
        <v>56</v>
      </c>
      <c r="C596" s="36" t="s">
        <v>5</v>
      </c>
      <c r="D596" s="36" t="s">
        <v>67</v>
      </c>
      <c r="E596" s="37">
        <v>41754</v>
      </c>
      <c r="F596" s="36">
        <v>121.9</v>
      </c>
      <c r="G596" s="36">
        <v>3</v>
      </c>
      <c r="H596" s="36">
        <v>2</v>
      </c>
    </row>
    <row r="597" spans="1:8" x14ac:dyDescent="0.3">
      <c r="A597" s="35" t="s">
        <v>302</v>
      </c>
      <c r="B597" s="36" t="s">
        <v>60</v>
      </c>
      <c r="C597" s="36" t="s">
        <v>5</v>
      </c>
      <c r="D597" s="36" t="s">
        <v>67</v>
      </c>
      <c r="E597" s="37">
        <v>41748</v>
      </c>
      <c r="F597" s="36">
        <v>40</v>
      </c>
      <c r="G597" s="36">
        <v>0</v>
      </c>
      <c r="H597" s="36">
        <v>0</v>
      </c>
    </row>
    <row r="598" spans="1:8" x14ac:dyDescent="0.3">
      <c r="A598" s="35" t="s">
        <v>542</v>
      </c>
      <c r="B598" s="36" t="s">
        <v>11</v>
      </c>
      <c r="C598" s="36" t="s">
        <v>5</v>
      </c>
      <c r="D598" s="36" t="s">
        <v>333</v>
      </c>
      <c r="E598" s="37">
        <v>41745</v>
      </c>
      <c r="F598" s="36">
        <v>135</v>
      </c>
      <c r="G598" s="36">
        <v>0</v>
      </c>
      <c r="H598" s="36">
        <v>1</v>
      </c>
    </row>
    <row r="599" spans="1:8" x14ac:dyDescent="0.3">
      <c r="A599" s="44" t="s">
        <v>714</v>
      </c>
      <c r="B599" s="44"/>
      <c r="C599" s="44"/>
      <c r="D599" s="44"/>
      <c r="E599" s="44"/>
      <c r="F599" s="44"/>
      <c r="G599" s="44"/>
      <c r="H599" s="44"/>
    </row>
    <row r="600" spans="1:8" x14ac:dyDescent="0.3">
      <c r="A600" s="35" t="s">
        <v>715</v>
      </c>
      <c r="B600" s="36" t="s">
        <v>115</v>
      </c>
      <c r="C600" s="36" t="s">
        <v>121</v>
      </c>
      <c r="D600" s="36" t="s">
        <v>259</v>
      </c>
      <c r="E600" s="37">
        <v>41735</v>
      </c>
      <c r="F600" s="36">
        <v>111.5</v>
      </c>
      <c r="G600" s="36">
        <v>3</v>
      </c>
      <c r="H600" s="36">
        <v>0</v>
      </c>
    </row>
    <row r="601" spans="1:8" x14ac:dyDescent="0.3">
      <c r="A601" s="35" t="s">
        <v>716</v>
      </c>
      <c r="B601" s="36" t="s">
        <v>24</v>
      </c>
      <c r="C601" s="36" t="s">
        <v>121</v>
      </c>
      <c r="D601" s="36" t="s">
        <v>259</v>
      </c>
      <c r="E601" s="37">
        <v>41733</v>
      </c>
      <c r="F601" s="36">
        <v>184.6</v>
      </c>
      <c r="G601" s="36">
        <v>4</v>
      </c>
      <c r="H601" s="36">
        <v>1</v>
      </c>
    </row>
    <row r="602" spans="1:8" x14ac:dyDescent="0.3">
      <c r="A602" s="35" t="s">
        <v>610</v>
      </c>
      <c r="B602" s="36" t="s">
        <v>32</v>
      </c>
      <c r="C602" s="36" t="s">
        <v>121</v>
      </c>
      <c r="D602" s="36" t="s">
        <v>259</v>
      </c>
      <c r="E602" s="37">
        <v>41728</v>
      </c>
      <c r="F602" s="36">
        <v>166.6</v>
      </c>
      <c r="G602" s="36">
        <v>1</v>
      </c>
      <c r="H602" s="36">
        <v>0</v>
      </c>
    </row>
    <row r="603" spans="1:8" x14ac:dyDescent="0.3">
      <c r="A603" s="35" t="s">
        <v>717</v>
      </c>
      <c r="B603" s="36" t="s">
        <v>73</v>
      </c>
      <c r="C603" s="36" t="s">
        <v>121</v>
      </c>
      <c r="D603" s="36" t="s">
        <v>259</v>
      </c>
      <c r="E603" s="37">
        <v>41726</v>
      </c>
      <c r="F603" s="36">
        <v>127.2</v>
      </c>
      <c r="G603" s="36">
        <v>5</v>
      </c>
      <c r="H603" s="36">
        <v>1</v>
      </c>
    </row>
    <row r="604" spans="1:8" x14ac:dyDescent="0.3">
      <c r="A604" s="35" t="s">
        <v>718</v>
      </c>
      <c r="B604" s="36" t="s">
        <v>208</v>
      </c>
      <c r="C604" s="36" t="s">
        <v>121</v>
      </c>
      <c r="D604" s="36" t="s">
        <v>259</v>
      </c>
      <c r="E604" s="37">
        <v>41721</v>
      </c>
      <c r="F604" s="36">
        <v>112.7</v>
      </c>
      <c r="G604" s="36">
        <v>5</v>
      </c>
      <c r="H604" s="36">
        <v>2</v>
      </c>
    </row>
    <row r="605" spans="1:8" x14ac:dyDescent="0.3">
      <c r="A605" s="35" t="s">
        <v>45</v>
      </c>
      <c r="B605" s="36" t="s">
        <v>71</v>
      </c>
      <c r="C605" s="36" t="s">
        <v>121</v>
      </c>
      <c r="D605" s="36" t="s">
        <v>259</v>
      </c>
      <c r="E605" s="37">
        <v>41719</v>
      </c>
      <c r="F605" s="36">
        <v>114.2</v>
      </c>
      <c r="G605" s="36">
        <v>1</v>
      </c>
      <c r="H605" s="36">
        <v>2</v>
      </c>
    </row>
    <row r="606" spans="1:8" x14ac:dyDescent="0.3">
      <c r="A606" s="44" t="s">
        <v>719</v>
      </c>
      <c r="B606" s="44"/>
      <c r="C606" s="44"/>
      <c r="D606" s="44"/>
      <c r="E606" s="44"/>
      <c r="F606" s="44"/>
      <c r="G606" s="44"/>
      <c r="H606" s="44"/>
    </row>
    <row r="607" spans="1:8" x14ac:dyDescent="0.3">
      <c r="A607" s="35" t="s">
        <v>720</v>
      </c>
      <c r="B607" s="36" t="s">
        <v>130</v>
      </c>
      <c r="C607" s="36" t="s">
        <v>16</v>
      </c>
      <c r="D607" s="36" t="s">
        <v>259</v>
      </c>
      <c r="E607" s="37">
        <v>41703</v>
      </c>
      <c r="F607" s="36">
        <v>75</v>
      </c>
      <c r="G607" s="36">
        <v>1</v>
      </c>
      <c r="H607" s="36">
        <v>0</v>
      </c>
    </row>
    <row r="608" spans="1:8" x14ac:dyDescent="0.3">
      <c r="A608" s="35" t="s">
        <v>721</v>
      </c>
      <c r="B608" s="36" t="s">
        <v>71</v>
      </c>
      <c r="C608" s="36" t="s">
        <v>16</v>
      </c>
      <c r="D608" s="36" t="s">
        <v>259</v>
      </c>
      <c r="E608" s="37">
        <v>41700</v>
      </c>
      <c r="F608" s="36">
        <v>96.5</v>
      </c>
      <c r="G608" s="36">
        <v>7</v>
      </c>
      <c r="H608" s="36">
        <v>2</v>
      </c>
    </row>
    <row r="609" spans="1:8" x14ac:dyDescent="0.3">
      <c r="A609" s="35" t="s">
        <v>722</v>
      </c>
      <c r="B609" s="36" t="s">
        <v>115</v>
      </c>
      <c r="C609" s="36" t="s">
        <v>16</v>
      </c>
      <c r="D609" s="36" t="s">
        <v>662</v>
      </c>
      <c r="E609" s="37">
        <v>41698</v>
      </c>
      <c r="F609" s="36">
        <v>46.4</v>
      </c>
      <c r="G609" s="36">
        <v>1</v>
      </c>
      <c r="H609" s="36">
        <v>0</v>
      </c>
    </row>
    <row r="610" spans="1:8" x14ac:dyDescent="0.3">
      <c r="A610" s="35" t="s">
        <v>723</v>
      </c>
      <c r="B610" s="36" t="s">
        <v>73</v>
      </c>
      <c r="C610" s="36" t="s">
        <v>16</v>
      </c>
      <c r="D610" s="36" t="s">
        <v>662</v>
      </c>
      <c r="E610" s="37">
        <v>41696</v>
      </c>
      <c r="F610" s="36">
        <v>72.400000000000006</v>
      </c>
      <c r="G610" s="36">
        <v>1</v>
      </c>
      <c r="H610" s="36">
        <v>1</v>
      </c>
    </row>
    <row r="611" spans="1:8" x14ac:dyDescent="0.3">
      <c r="A611" s="44" t="s">
        <v>724</v>
      </c>
      <c r="B611" s="44"/>
      <c r="C611" s="44"/>
      <c r="D611" s="44"/>
      <c r="E611" s="44"/>
      <c r="F611" s="44"/>
      <c r="G611" s="44"/>
      <c r="H611" s="44"/>
    </row>
    <row r="612" spans="1:8" x14ac:dyDescent="0.3">
      <c r="A612" s="35" t="s">
        <v>725</v>
      </c>
      <c r="B612" s="36" t="s">
        <v>15</v>
      </c>
      <c r="C612" s="36" t="s">
        <v>83</v>
      </c>
      <c r="D612" s="36" t="s">
        <v>470</v>
      </c>
      <c r="E612" s="37">
        <v>41684</v>
      </c>
      <c r="F612" s="36" t="s">
        <v>726</v>
      </c>
      <c r="G612" s="36" t="s">
        <v>727</v>
      </c>
      <c r="H612" s="36" t="s">
        <v>86</v>
      </c>
    </row>
    <row r="613" spans="1:8" x14ac:dyDescent="0.3">
      <c r="A613" s="35" t="s">
        <v>728</v>
      </c>
      <c r="B613" s="36" t="s">
        <v>15</v>
      </c>
      <c r="C613" s="36" t="s">
        <v>83</v>
      </c>
      <c r="D613" s="36" t="s">
        <v>407</v>
      </c>
      <c r="E613" s="37">
        <v>41676</v>
      </c>
      <c r="F613" s="36" t="s">
        <v>729</v>
      </c>
      <c r="G613" s="36" t="s">
        <v>730</v>
      </c>
      <c r="H613" s="36" t="s">
        <v>182</v>
      </c>
    </row>
    <row r="614" spans="1:8" x14ac:dyDescent="0.3">
      <c r="A614" s="35" t="s">
        <v>567</v>
      </c>
      <c r="B614" s="36" t="s">
        <v>15</v>
      </c>
      <c r="C614" s="36" t="s">
        <v>16</v>
      </c>
      <c r="D614" s="36" t="s">
        <v>470</v>
      </c>
      <c r="E614" s="37">
        <v>41670</v>
      </c>
      <c r="F614" s="36">
        <v>30.7</v>
      </c>
      <c r="G614" s="36">
        <v>0</v>
      </c>
      <c r="H614" s="36">
        <v>0</v>
      </c>
    </row>
    <row r="615" spans="1:8" x14ac:dyDescent="0.3">
      <c r="A615" s="35" t="s">
        <v>731</v>
      </c>
      <c r="B615" s="36" t="s">
        <v>15</v>
      </c>
      <c r="C615" s="36" t="s">
        <v>16</v>
      </c>
      <c r="D615" s="36" t="s">
        <v>405</v>
      </c>
      <c r="E615" s="37">
        <v>41667</v>
      </c>
      <c r="F615" s="36">
        <v>84</v>
      </c>
      <c r="G615" s="36">
        <v>6</v>
      </c>
      <c r="H615" s="36">
        <v>4</v>
      </c>
    </row>
    <row r="616" spans="1:8" x14ac:dyDescent="0.3">
      <c r="A616" s="35" t="s">
        <v>732</v>
      </c>
      <c r="B616" s="36" t="s">
        <v>15</v>
      </c>
      <c r="C616" s="36" t="s">
        <v>16</v>
      </c>
      <c r="D616" s="36" t="s">
        <v>407</v>
      </c>
      <c r="E616" s="37">
        <v>41664</v>
      </c>
      <c r="F616" s="36">
        <v>102.6</v>
      </c>
      <c r="G616" s="36">
        <v>1</v>
      </c>
      <c r="H616" s="36">
        <v>4</v>
      </c>
    </row>
    <row r="617" spans="1:8" x14ac:dyDescent="0.3">
      <c r="A617" s="35" t="s">
        <v>733</v>
      </c>
      <c r="B617" s="36" t="s">
        <v>15</v>
      </c>
      <c r="C617" s="36" t="s">
        <v>16</v>
      </c>
      <c r="D617" s="36" t="s">
        <v>405</v>
      </c>
      <c r="E617" s="37">
        <v>41661</v>
      </c>
      <c r="F617" s="36">
        <v>58.8</v>
      </c>
      <c r="G617" s="36">
        <v>2</v>
      </c>
      <c r="H617" s="36">
        <v>1</v>
      </c>
    </row>
    <row r="618" spans="1:8" x14ac:dyDescent="0.3">
      <c r="A618" s="35" t="s">
        <v>734</v>
      </c>
      <c r="B618" s="36" t="s">
        <v>15</v>
      </c>
      <c r="C618" s="36" t="s">
        <v>16</v>
      </c>
      <c r="D618" s="36" t="s">
        <v>476</v>
      </c>
      <c r="E618" s="37">
        <v>41658</v>
      </c>
      <c r="F618" s="36">
        <v>13</v>
      </c>
      <c r="G618" s="36">
        <v>0</v>
      </c>
      <c r="H618" s="36">
        <v>0</v>
      </c>
    </row>
    <row r="619" spans="1:8" x14ac:dyDescent="0.3">
      <c r="A619" s="44" t="s">
        <v>735</v>
      </c>
      <c r="B619" s="44"/>
      <c r="C619" s="44"/>
      <c r="D619" s="44"/>
      <c r="E619" s="44"/>
      <c r="F619" s="44"/>
      <c r="G619" s="44"/>
      <c r="H619" s="44"/>
    </row>
    <row r="620" spans="1:8" x14ac:dyDescent="0.3">
      <c r="A620" s="35" t="s">
        <v>736</v>
      </c>
      <c r="B620" s="36" t="s">
        <v>24</v>
      </c>
      <c r="C620" s="36" t="s">
        <v>83</v>
      </c>
      <c r="D620" s="36" t="s">
        <v>535</v>
      </c>
      <c r="E620" s="37">
        <v>41634</v>
      </c>
      <c r="F620" s="36" t="s">
        <v>737</v>
      </c>
      <c r="G620" s="36" t="s">
        <v>244</v>
      </c>
      <c r="H620" s="36" t="s">
        <v>94</v>
      </c>
    </row>
    <row r="621" spans="1:8" x14ac:dyDescent="0.3">
      <c r="A621" s="35" t="s">
        <v>738</v>
      </c>
      <c r="B621" s="36" t="s">
        <v>24</v>
      </c>
      <c r="C621" s="36" t="s">
        <v>83</v>
      </c>
      <c r="D621" s="36" t="s">
        <v>530</v>
      </c>
      <c r="E621" s="37">
        <v>41626</v>
      </c>
      <c r="F621" s="36" t="s">
        <v>739</v>
      </c>
      <c r="G621" s="36" t="s">
        <v>109</v>
      </c>
      <c r="H621" s="36" t="s">
        <v>86</v>
      </c>
    </row>
    <row r="622" spans="1:8" x14ac:dyDescent="0.3">
      <c r="A622" s="35" t="s">
        <v>740</v>
      </c>
      <c r="B622" s="36" t="s">
        <v>24</v>
      </c>
      <c r="C622" s="36" t="s">
        <v>16</v>
      </c>
      <c r="D622" s="36" t="s">
        <v>535</v>
      </c>
      <c r="E622" s="37">
        <v>41616</v>
      </c>
      <c r="F622" s="36">
        <v>73</v>
      </c>
      <c r="G622" s="36">
        <v>2</v>
      </c>
      <c r="H622" s="36">
        <v>0</v>
      </c>
    </row>
    <row r="623" spans="1:8" x14ac:dyDescent="0.3">
      <c r="A623" s="35" t="s">
        <v>741</v>
      </c>
      <c r="B623" s="36" t="s">
        <v>24</v>
      </c>
      <c r="C623" s="36" t="s">
        <v>16</v>
      </c>
      <c r="D623" s="36" t="s">
        <v>530</v>
      </c>
      <c r="E623" s="37">
        <v>41613</v>
      </c>
      <c r="F623" s="36">
        <v>41.8</v>
      </c>
      <c r="G623" s="36">
        <v>2</v>
      </c>
      <c r="H623" s="36">
        <v>0</v>
      </c>
    </row>
    <row r="624" spans="1:8" x14ac:dyDescent="0.3">
      <c r="A624" s="44" t="s">
        <v>742</v>
      </c>
      <c r="B624" s="44"/>
      <c r="C624" s="44"/>
      <c r="D624" s="44"/>
      <c r="E624" s="44"/>
      <c r="F624" s="44"/>
      <c r="G624" s="44"/>
      <c r="H624" s="44"/>
    </row>
    <row r="625" spans="1:8" x14ac:dyDescent="0.3">
      <c r="A625" s="35" t="s">
        <v>743</v>
      </c>
      <c r="B625" s="36" t="s">
        <v>208</v>
      </c>
      <c r="C625" s="36" t="s">
        <v>16</v>
      </c>
      <c r="D625" s="36" t="s">
        <v>107</v>
      </c>
      <c r="E625" s="37">
        <v>41605</v>
      </c>
      <c r="F625" s="36">
        <v>28.5</v>
      </c>
      <c r="G625" s="36">
        <v>0</v>
      </c>
      <c r="H625" s="36">
        <v>0</v>
      </c>
    </row>
    <row r="626" spans="1:8" x14ac:dyDescent="0.3">
      <c r="A626" s="35" t="s">
        <v>744</v>
      </c>
      <c r="B626" s="36" t="s">
        <v>208</v>
      </c>
      <c r="C626" s="36" t="s">
        <v>16</v>
      </c>
      <c r="D626" s="36" t="s">
        <v>25</v>
      </c>
      <c r="E626" s="37">
        <v>41602</v>
      </c>
      <c r="F626" s="36">
        <v>63.1</v>
      </c>
      <c r="G626" s="36">
        <v>3</v>
      </c>
      <c r="H626" s="36">
        <v>0</v>
      </c>
    </row>
    <row r="627" spans="1:8" x14ac:dyDescent="0.3">
      <c r="A627" s="35" t="s">
        <v>745</v>
      </c>
      <c r="B627" s="36" t="s">
        <v>208</v>
      </c>
      <c r="C627" s="36" t="s">
        <v>16</v>
      </c>
      <c r="D627" s="36" t="s">
        <v>746</v>
      </c>
      <c r="E627" s="37">
        <v>41599</v>
      </c>
      <c r="F627" s="36">
        <v>88.8</v>
      </c>
      <c r="G627" s="36">
        <v>8</v>
      </c>
      <c r="H627" s="36">
        <v>1</v>
      </c>
    </row>
    <row r="628" spans="1:8" x14ac:dyDescent="0.3">
      <c r="A628" s="35" t="s">
        <v>747</v>
      </c>
      <c r="B628" s="36" t="s">
        <v>208</v>
      </c>
      <c r="C628" s="36" t="s">
        <v>83</v>
      </c>
      <c r="D628" s="36" t="s">
        <v>12</v>
      </c>
      <c r="E628" s="37">
        <v>41592</v>
      </c>
      <c r="F628" s="36" t="s">
        <v>748</v>
      </c>
      <c r="G628" s="36" t="s">
        <v>749</v>
      </c>
      <c r="H628" s="36" t="s">
        <v>157</v>
      </c>
    </row>
    <row r="629" spans="1:8" x14ac:dyDescent="0.3">
      <c r="A629" s="35" t="s">
        <v>750</v>
      </c>
      <c r="B629" s="36" t="s">
        <v>208</v>
      </c>
      <c r="C629" s="36" t="s">
        <v>83</v>
      </c>
      <c r="D629" s="36" t="s">
        <v>139</v>
      </c>
      <c r="E629" s="37">
        <v>41584</v>
      </c>
      <c r="F629" s="36" t="s">
        <v>751</v>
      </c>
      <c r="G629" s="36" t="s">
        <v>752</v>
      </c>
      <c r="H629" s="36" t="s">
        <v>239</v>
      </c>
    </row>
    <row r="630" spans="1:8" x14ac:dyDescent="0.3">
      <c r="A630" s="44" t="s">
        <v>753</v>
      </c>
      <c r="B630" s="44"/>
      <c r="C630" s="44"/>
      <c r="D630" s="44"/>
      <c r="E630" s="44"/>
      <c r="F630" s="44"/>
      <c r="G630" s="44"/>
      <c r="H630" s="44"/>
    </row>
    <row r="631" spans="1:8" x14ac:dyDescent="0.3">
      <c r="A631" s="35" t="s">
        <v>754</v>
      </c>
      <c r="B631" s="36" t="s">
        <v>32</v>
      </c>
      <c r="C631" s="36" t="s">
        <v>16</v>
      </c>
      <c r="D631" s="36" t="s">
        <v>103</v>
      </c>
      <c r="E631" s="37">
        <v>41580</v>
      </c>
      <c r="F631" s="36">
        <v>132.19999999999999</v>
      </c>
      <c r="G631" s="36">
        <v>12</v>
      </c>
      <c r="H631" s="36">
        <v>16</v>
      </c>
    </row>
    <row r="632" spans="1:8" x14ac:dyDescent="0.3">
      <c r="A632" s="35" t="s">
        <v>755</v>
      </c>
      <c r="B632" s="36" t="s">
        <v>32</v>
      </c>
      <c r="C632" s="36" t="s">
        <v>16</v>
      </c>
      <c r="D632" s="36" t="s">
        <v>80</v>
      </c>
      <c r="E632" s="37">
        <v>41577</v>
      </c>
      <c r="F632" s="36">
        <v>88.7</v>
      </c>
      <c r="G632" s="36">
        <v>7</v>
      </c>
      <c r="H632" s="36">
        <v>3</v>
      </c>
    </row>
    <row r="633" spans="1:8" x14ac:dyDescent="0.3">
      <c r="A633" s="35" t="s">
        <v>756</v>
      </c>
      <c r="B633" s="36" t="s">
        <v>32</v>
      </c>
      <c r="C633" s="36" t="s">
        <v>16</v>
      </c>
      <c r="D633" s="36" t="s">
        <v>29</v>
      </c>
      <c r="E633" s="37">
        <v>41570</v>
      </c>
      <c r="F633" s="36">
        <v>69.2</v>
      </c>
      <c r="G633" s="36">
        <v>1</v>
      </c>
      <c r="H633" s="36">
        <v>0</v>
      </c>
    </row>
    <row r="634" spans="1:8" x14ac:dyDescent="0.3">
      <c r="A634" s="35" t="s">
        <v>205</v>
      </c>
      <c r="B634" s="36" t="s">
        <v>32</v>
      </c>
      <c r="C634" s="36" t="s">
        <v>16</v>
      </c>
      <c r="D634" s="36" t="s">
        <v>173</v>
      </c>
      <c r="E634" s="37">
        <v>41566</v>
      </c>
      <c r="F634" s="36">
        <v>50</v>
      </c>
      <c r="G634" s="36">
        <v>2</v>
      </c>
      <c r="H634" s="36">
        <v>0</v>
      </c>
    </row>
    <row r="635" spans="1:8" x14ac:dyDescent="0.3">
      <c r="A635" s="35" t="s">
        <v>757</v>
      </c>
      <c r="B635" s="36" t="s">
        <v>32</v>
      </c>
      <c r="C635" s="36" t="s">
        <v>16</v>
      </c>
      <c r="D635" s="36" t="s">
        <v>46</v>
      </c>
      <c r="E635" s="37">
        <v>41563</v>
      </c>
      <c r="F635" s="36">
        <v>114.6</v>
      </c>
      <c r="G635" s="36">
        <v>17</v>
      </c>
      <c r="H635" s="36">
        <v>4</v>
      </c>
    </row>
    <row r="636" spans="1:8" x14ac:dyDescent="0.3">
      <c r="A636" s="35" t="s">
        <v>758</v>
      </c>
      <c r="B636" s="36" t="s">
        <v>32</v>
      </c>
      <c r="C636" s="36" t="s">
        <v>16</v>
      </c>
      <c r="D636" s="36" t="s">
        <v>100</v>
      </c>
      <c r="E636" s="37">
        <v>41560</v>
      </c>
      <c r="F636" s="36">
        <v>89.3</v>
      </c>
      <c r="G636" s="36">
        <v>6</v>
      </c>
      <c r="H636" s="36">
        <v>0</v>
      </c>
    </row>
    <row r="637" spans="1:8" x14ac:dyDescent="0.3">
      <c r="A637" s="35" t="s">
        <v>143</v>
      </c>
      <c r="B637" s="36" t="s">
        <v>32</v>
      </c>
      <c r="C637" s="36" t="s">
        <v>121</v>
      </c>
      <c r="D637" s="36" t="s">
        <v>19</v>
      </c>
      <c r="E637" s="37">
        <v>41557</v>
      </c>
      <c r="F637" s="36">
        <v>100</v>
      </c>
      <c r="G637" s="36">
        <v>0</v>
      </c>
      <c r="H637" s="36">
        <v>1</v>
      </c>
    </row>
    <row r="638" spans="1:8" x14ac:dyDescent="0.3">
      <c r="A638" s="44" t="s">
        <v>759</v>
      </c>
      <c r="B638" s="44"/>
      <c r="C638" s="44"/>
      <c r="D638" s="44"/>
      <c r="E638" s="44"/>
      <c r="F638" s="44"/>
      <c r="G638" s="44"/>
      <c r="H638" s="44"/>
    </row>
    <row r="639" spans="1:8" x14ac:dyDescent="0.3">
      <c r="A639" s="35" t="s">
        <v>760</v>
      </c>
      <c r="B639" s="36" t="s">
        <v>264</v>
      </c>
      <c r="C639" s="36" t="s">
        <v>16</v>
      </c>
      <c r="D639" s="36" t="s">
        <v>761</v>
      </c>
      <c r="E639" s="37">
        <v>41487</v>
      </c>
      <c r="F639" s="36">
        <v>71.099999999999994</v>
      </c>
      <c r="G639" s="36">
        <v>5</v>
      </c>
      <c r="H639" s="36">
        <v>1</v>
      </c>
    </row>
    <row r="640" spans="1:8" x14ac:dyDescent="0.3">
      <c r="A640" s="35" t="s">
        <v>762</v>
      </c>
      <c r="B640" s="36" t="s">
        <v>264</v>
      </c>
      <c r="C640" s="36" t="s">
        <v>16</v>
      </c>
      <c r="D640" s="36" t="s">
        <v>763</v>
      </c>
      <c r="E640" s="37">
        <v>41483</v>
      </c>
      <c r="F640" s="36">
        <v>66.599999999999994</v>
      </c>
      <c r="G640" s="36">
        <v>2</v>
      </c>
      <c r="H640" s="36">
        <v>0</v>
      </c>
    </row>
    <row r="641" spans="1:8" x14ac:dyDescent="0.3">
      <c r="A641" s="35" t="s">
        <v>764</v>
      </c>
      <c r="B641" s="36" t="s">
        <v>264</v>
      </c>
      <c r="C641" s="36" t="s">
        <v>16</v>
      </c>
      <c r="D641" s="36" t="s">
        <v>763</v>
      </c>
      <c r="E641" s="37">
        <v>41481</v>
      </c>
      <c r="F641" s="36">
        <v>14.2</v>
      </c>
      <c r="G641" s="36">
        <v>0</v>
      </c>
      <c r="H641" s="36">
        <v>0</v>
      </c>
    </row>
    <row r="642" spans="1:8" x14ac:dyDescent="0.3">
      <c r="A642" s="35" t="s">
        <v>765</v>
      </c>
      <c r="B642" s="36" t="s">
        <v>264</v>
      </c>
      <c r="C642" s="36" t="s">
        <v>16</v>
      </c>
      <c r="D642" s="36" t="s">
        <v>763</v>
      </c>
      <c r="E642" s="37">
        <v>41479</v>
      </c>
      <c r="F642" s="36">
        <v>50</v>
      </c>
      <c r="G642" s="36">
        <v>2</v>
      </c>
      <c r="H642" s="36">
        <v>0</v>
      </c>
    </row>
    <row r="643" spans="1:8" x14ac:dyDescent="0.3">
      <c r="A643" s="44" t="s">
        <v>766</v>
      </c>
      <c r="B643" s="44"/>
      <c r="C643" s="44"/>
      <c r="D643" s="44"/>
      <c r="E643" s="44"/>
      <c r="F643" s="44"/>
      <c r="G643" s="44"/>
      <c r="H643" s="44"/>
    </row>
    <row r="644" spans="1:8" x14ac:dyDescent="0.3">
      <c r="A644" s="35" t="s">
        <v>767</v>
      </c>
      <c r="B644" s="36" t="s">
        <v>115</v>
      </c>
      <c r="C644" s="36" t="s">
        <v>16</v>
      </c>
      <c r="D644" s="36" t="s">
        <v>210</v>
      </c>
      <c r="E644" s="37">
        <v>41466</v>
      </c>
      <c r="F644" s="36">
        <v>65.099999999999994</v>
      </c>
      <c r="G644" s="36">
        <v>5</v>
      </c>
      <c r="H644" s="36">
        <v>1</v>
      </c>
    </row>
    <row r="645" spans="1:8" x14ac:dyDescent="0.3">
      <c r="A645" s="35" t="s">
        <v>768</v>
      </c>
      <c r="B645" s="36" t="s">
        <v>115</v>
      </c>
      <c r="C645" s="36" t="s">
        <v>16</v>
      </c>
      <c r="D645" s="36" t="s">
        <v>210</v>
      </c>
      <c r="E645" s="37">
        <v>41464</v>
      </c>
      <c r="F645" s="36">
        <v>57.8</v>
      </c>
      <c r="G645" s="36">
        <v>2</v>
      </c>
      <c r="H645" s="36">
        <v>1</v>
      </c>
    </row>
    <row r="646" spans="1:8" x14ac:dyDescent="0.3">
      <c r="A646" s="35" t="s">
        <v>769</v>
      </c>
      <c r="B646" s="36" t="s">
        <v>208</v>
      </c>
      <c r="C646" s="36" t="s">
        <v>16</v>
      </c>
      <c r="D646" s="36" t="s">
        <v>210</v>
      </c>
      <c r="E646" s="37">
        <v>41460</v>
      </c>
      <c r="F646" s="36">
        <v>58.9</v>
      </c>
      <c r="G646" s="36">
        <v>5</v>
      </c>
      <c r="H646" s="36">
        <v>0</v>
      </c>
    </row>
    <row r="647" spans="1:8" x14ac:dyDescent="0.3">
      <c r="A647" s="35" t="s">
        <v>533</v>
      </c>
      <c r="B647" s="36" t="s">
        <v>115</v>
      </c>
      <c r="C647" s="36" t="s">
        <v>16</v>
      </c>
      <c r="D647" s="36" t="s">
        <v>770</v>
      </c>
      <c r="E647" s="37">
        <v>41457</v>
      </c>
      <c r="F647" s="36">
        <v>38.4</v>
      </c>
      <c r="G647" s="36">
        <v>0</v>
      </c>
      <c r="H647" s="36">
        <v>0</v>
      </c>
    </row>
    <row r="648" spans="1:8" x14ac:dyDescent="0.3">
      <c r="A648" s="35" t="s">
        <v>771</v>
      </c>
      <c r="B648" s="36" t="s">
        <v>208</v>
      </c>
      <c r="C648" s="36" t="s">
        <v>16</v>
      </c>
      <c r="D648" s="36" t="s">
        <v>770</v>
      </c>
      <c r="E648" s="37">
        <v>41455</v>
      </c>
      <c r="F648" s="36">
        <v>67.400000000000006</v>
      </c>
      <c r="G648" s="36">
        <v>4</v>
      </c>
      <c r="H648" s="36">
        <v>1</v>
      </c>
    </row>
    <row r="649" spans="1:8" x14ac:dyDescent="0.3">
      <c r="A649" s="44" t="s">
        <v>772</v>
      </c>
      <c r="B649" s="44"/>
      <c r="C649" s="44"/>
      <c r="D649" s="44"/>
      <c r="E649" s="44"/>
      <c r="F649" s="44"/>
      <c r="G649" s="44"/>
      <c r="H649" s="44"/>
    </row>
    <row r="650" spans="1:8" x14ac:dyDescent="0.3">
      <c r="A650" s="35" t="s">
        <v>773</v>
      </c>
      <c r="B650" s="36" t="s">
        <v>76</v>
      </c>
      <c r="C650" s="36" t="s">
        <v>16</v>
      </c>
      <c r="D650" s="36" t="s">
        <v>292</v>
      </c>
      <c r="E650" s="37">
        <v>41448</v>
      </c>
      <c r="F650" s="36">
        <v>64.2</v>
      </c>
      <c r="G650" s="36">
        <v>1</v>
      </c>
      <c r="H650" s="36">
        <v>0</v>
      </c>
    </row>
    <row r="651" spans="1:8" x14ac:dyDescent="0.3">
      <c r="A651" s="35" t="s">
        <v>774</v>
      </c>
      <c r="B651" s="36" t="s">
        <v>115</v>
      </c>
      <c r="C651" s="36" t="s">
        <v>16</v>
      </c>
      <c r="D651" s="36" t="s">
        <v>508</v>
      </c>
      <c r="E651" s="37">
        <v>41445</v>
      </c>
      <c r="F651" s="36">
        <v>66</v>
      </c>
      <c r="G651" s="36">
        <v>4</v>
      </c>
      <c r="H651" s="36">
        <v>0</v>
      </c>
    </row>
    <row r="652" spans="1:8" x14ac:dyDescent="0.3">
      <c r="A652" s="35" t="s">
        <v>775</v>
      </c>
      <c r="B652" s="36" t="s">
        <v>71</v>
      </c>
      <c r="C652" s="36" t="s">
        <v>16</v>
      </c>
      <c r="D652" s="36" t="s">
        <v>292</v>
      </c>
      <c r="E652" s="37">
        <v>41440</v>
      </c>
      <c r="F652" s="36">
        <v>56.2</v>
      </c>
      <c r="G652" s="36">
        <v>2</v>
      </c>
      <c r="H652" s="36">
        <v>0</v>
      </c>
    </row>
    <row r="653" spans="1:8" x14ac:dyDescent="0.3">
      <c r="A653" s="35" t="s">
        <v>776</v>
      </c>
      <c r="B653" s="36" t="s">
        <v>208</v>
      </c>
      <c r="C653" s="36" t="s">
        <v>16</v>
      </c>
      <c r="D653" s="36" t="s">
        <v>218</v>
      </c>
      <c r="E653" s="37">
        <v>41436</v>
      </c>
      <c r="F653" s="36">
        <v>92.8</v>
      </c>
      <c r="G653" s="36">
        <v>7</v>
      </c>
      <c r="H653" s="36">
        <v>0</v>
      </c>
    </row>
    <row r="654" spans="1:8" x14ac:dyDescent="0.3">
      <c r="A654" s="35" t="s">
        <v>777</v>
      </c>
      <c r="B654" s="36" t="s">
        <v>24</v>
      </c>
      <c r="C654" s="36" t="s">
        <v>16</v>
      </c>
      <c r="D654" s="36" t="s">
        <v>508</v>
      </c>
      <c r="E654" s="37">
        <v>41431</v>
      </c>
      <c r="F654" s="36">
        <v>80.2</v>
      </c>
      <c r="G654" s="36">
        <v>8</v>
      </c>
      <c r="H654" s="36">
        <v>1</v>
      </c>
    </row>
    <row r="655" spans="1:8" x14ac:dyDescent="0.3">
      <c r="A655" s="44" t="s">
        <v>778</v>
      </c>
      <c r="B655" s="44"/>
      <c r="C655" s="44"/>
      <c r="D655" s="44"/>
      <c r="E655" s="44"/>
      <c r="F655" s="44"/>
      <c r="G655" s="44"/>
      <c r="H655" s="44"/>
    </row>
    <row r="656" spans="1:8" x14ac:dyDescent="0.3">
      <c r="A656" s="35" t="s">
        <v>302</v>
      </c>
      <c r="B656" s="36" t="s">
        <v>56</v>
      </c>
      <c r="C656" s="36" t="s">
        <v>5</v>
      </c>
      <c r="D656" s="36" t="s">
        <v>139</v>
      </c>
      <c r="E656" s="37">
        <v>41420</v>
      </c>
      <c r="F656" s="36">
        <v>40</v>
      </c>
      <c r="G656" s="36">
        <v>0</v>
      </c>
      <c r="H656" s="36">
        <v>0</v>
      </c>
    </row>
    <row r="657" spans="1:8" x14ac:dyDescent="0.3">
      <c r="A657" s="35" t="s">
        <v>228</v>
      </c>
      <c r="B657" s="36" t="s">
        <v>4</v>
      </c>
      <c r="C657" s="36" t="s">
        <v>5</v>
      </c>
      <c r="D657" s="36" t="s">
        <v>139</v>
      </c>
      <c r="E657" s="37">
        <v>41418</v>
      </c>
      <c r="F657" s="36">
        <v>25</v>
      </c>
      <c r="G657" s="36">
        <v>0</v>
      </c>
      <c r="H657" s="36">
        <v>0</v>
      </c>
    </row>
    <row r="658" spans="1:8" x14ac:dyDescent="0.3">
      <c r="A658" s="35" t="s">
        <v>779</v>
      </c>
      <c r="B658" s="36" t="s">
        <v>56</v>
      </c>
      <c r="C658" s="36" t="s">
        <v>5</v>
      </c>
      <c r="D658" s="36" t="s">
        <v>9</v>
      </c>
      <c r="E658" s="37">
        <v>41415</v>
      </c>
      <c r="F658" s="36">
        <v>53.3</v>
      </c>
      <c r="G658" s="36">
        <v>0</v>
      </c>
      <c r="H658" s="36">
        <v>0</v>
      </c>
    </row>
    <row r="659" spans="1:8" x14ac:dyDescent="0.3">
      <c r="A659" s="35" t="s">
        <v>369</v>
      </c>
      <c r="B659" s="36" t="s">
        <v>40</v>
      </c>
      <c r="C659" s="36" t="s">
        <v>5</v>
      </c>
      <c r="D659" s="36" t="s">
        <v>154</v>
      </c>
      <c r="E659" s="37">
        <v>41412</v>
      </c>
      <c r="F659" s="36">
        <v>100</v>
      </c>
      <c r="G659" s="36">
        <v>2</v>
      </c>
      <c r="H659" s="36">
        <v>1</v>
      </c>
    </row>
    <row r="660" spans="1:8" x14ac:dyDescent="0.3">
      <c r="A660" s="35" t="s">
        <v>780</v>
      </c>
      <c r="B660" s="36" t="s">
        <v>4</v>
      </c>
      <c r="C660" s="36" t="s">
        <v>5</v>
      </c>
      <c r="D660" s="36" t="s">
        <v>12</v>
      </c>
      <c r="E660" s="37">
        <v>41409</v>
      </c>
      <c r="F660" s="36">
        <v>155.5</v>
      </c>
      <c r="G660" s="36">
        <v>2</v>
      </c>
      <c r="H660" s="36">
        <v>0</v>
      </c>
    </row>
    <row r="661" spans="1:8" x14ac:dyDescent="0.3">
      <c r="A661" s="35" t="s">
        <v>781</v>
      </c>
      <c r="B661" s="36" t="s">
        <v>53</v>
      </c>
      <c r="C661" s="36" t="s">
        <v>5</v>
      </c>
      <c r="D661" s="36" t="s">
        <v>12</v>
      </c>
      <c r="E661" s="37">
        <v>41407</v>
      </c>
      <c r="F661" s="36">
        <v>133.30000000000001</v>
      </c>
      <c r="G661" s="36">
        <v>0</v>
      </c>
      <c r="H661" s="36">
        <v>2</v>
      </c>
    </row>
    <row r="662" spans="1:8" x14ac:dyDescent="0.3">
      <c r="A662" s="35" t="s">
        <v>782</v>
      </c>
      <c r="B662" s="36" t="s">
        <v>783</v>
      </c>
      <c r="C662" s="36" t="s">
        <v>5</v>
      </c>
      <c r="D662" s="36" t="s">
        <v>100</v>
      </c>
      <c r="E662" s="37">
        <v>41405</v>
      </c>
      <c r="F662" s="36">
        <v>90.2</v>
      </c>
      <c r="G662" s="36">
        <v>3</v>
      </c>
      <c r="H662" s="36">
        <v>0</v>
      </c>
    </row>
    <row r="663" spans="1:8" x14ac:dyDescent="0.3">
      <c r="A663" s="35" t="s">
        <v>706</v>
      </c>
      <c r="B663" s="36" t="s">
        <v>11</v>
      </c>
      <c r="C663" s="36" t="s">
        <v>5</v>
      </c>
      <c r="D663" s="36" t="s">
        <v>12</v>
      </c>
      <c r="E663" s="37">
        <v>41401</v>
      </c>
      <c r="F663" s="36">
        <v>145.4</v>
      </c>
      <c r="G663" s="36">
        <v>1</v>
      </c>
      <c r="H663" s="36">
        <v>1</v>
      </c>
    </row>
    <row r="664" spans="1:8" x14ac:dyDescent="0.3">
      <c r="A664" s="35" t="s">
        <v>784</v>
      </c>
      <c r="B664" s="36" t="s">
        <v>56</v>
      </c>
      <c r="C664" s="36" t="s">
        <v>5</v>
      </c>
      <c r="D664" s="36" t="s">
        <v>12</v>
      </c>
      <c r="E664" s="37">
        <v>41399</v>
      </c>
      <c r="F664" s="36">
        <v>130</v>
      </c>
      <c r="G664" s="36">
        <v>3</v>
      </c>
      <c r="H664" s="36">
        <v>1</v>
      </c>
    </row>
    <row r="665" spans="1:8" x14ac:dyDescent="0.3">
      <c r="A665" s="35" t="s">
        <v>785</v>
      </c>
      <c r="B665" s="36" t="s">
        <v>53</v>
      </c>
      <c r="C665" s="36" t="s">
        <v>5</v>
      </c>
      <c r="D665" s="36" t="s">
        <v>54</v>
      </c>
      <c r="E665" s="37">
        <v>41395</v>
      </c>
      <c r="F665" s="36">
        <v>100</v>
      </c>
      <c r="G665" s="36">
        <v>2</v>
      </c>
      <c r="H665" s="36">
        <v>0</v>
      </c>
    </row>
    <row r="666" spans="1:8" x14ac:dyDescent="0.3">
      <c r="A666" s="35" t="s">
        <v>786</v>
      </c>
      <c r="B666" s="36" t="s">
        <v>40</v>
      </c>
      <c r="C666" s="36" t="s">
        <v>5</v>
      </c>
      <c r="D666" s="36" t="s">
        <v>12</v>
      </c>
      <c r="E666" s="37">
        <v>41393</v>
      </c>
      <c r="F666" s="36">
        <v>202.5</v>
      </c>
      <c r="G666" s="36">
        <v>6</v>
      </c>
      <c r="H666" s="36">
        <v>6</v>
      </c>
    </row>
    <row r="667" spans="1:8" x14ac:dyDescent="0.3">
      <c r="A667" s="35" t="s">
        <v>787</v>
      </c>
      <c r="B667" s="36" t="s">
        <v>60</v>
      </c>
      <c r="C667" s="36" t="s">
        <v>5</v>
      </c>
      <c r="D667" s="36" t="s">
        <v>12</v>
      </c>
      <c r="E667" s="37">
        <v>41391</v>
      </c>
      <c r="F667" s="36">
        <v>125</v>
      </c>
      <c r="G667" s="36">
        <v>1</v>
      </c>
      <c r="H667" s="36">
        <v>0</v>
      </c>
    </row>
    <row r="668" spans="1:8" x14ac:dyDescent="0.3">
      <c r="A668" s="35" t="s">
        <v>788</v>
      </c>
      <c r="B668" s="36" t="s">
        <v>11</v>
      </c>
      <c r="C668" s="36" t="s">
        <v>5</v>
      </c>
      <c r="D668" s="36" t="s">
        <v>139</v>
      </c>
      <c r="E668" s="37">
        <v>41388</v>
      </c>
      <c r="F668" s="36">
        <v>121.4</v>
      </c>
      <c r="G668" s="36">
        <v>1</v>
      </c>
      <c r="H668" s="36">
        <v>2</v>
      </c>
    </row>
    <row r="669" spans="1:8" x14ac:dyDescent="0.3">
      <c r="A669" s="35" t="s">
        <v>789</v>
      </c>
      <c r="B669" s="36" t="s">
        <v>8</v>
      </c>
      <c r="C669" s="36" t="s">
        <v>5</v>
      </c>
      <c r="D669" s="36" t="s">
        <v>9</v>
      </c>
      <c r="E669" s="37">
        <v>41385</v>
      </c>
      <c r="F669" s="36">
        <v>169.7</v>
      </c>
      <c r="G669" s="36">
        <v>5</v>
      </c>
      <c r="H669" s="36">
        <v>5</v>
      </c>
    </row>
    <row r="670" spans="1:8" x14ac:dyDescent="0.3">
      <c r="A670" s="35" t="s">
        <v>79</v>
      </c>
      <c r="B670" s="36" t="s">
        <v>4</v>
      </c>
      <c r="C670" s="36" t="s">
        <v>5</v>
      </c>
      <c r="D670" s="36" t="s">
        <v>46</v>
      </c>
      <c r="E670" s="37">
        <v>41381</v>
      </c>
      <c r="F670" s="36">
        <v>28.5</v>
      </c>
      <c r="G670" s="36">
        <v>0</v>
      </c>
      <c r="H670" s="36">
        <v>0</v>
      </c>
    </row>
    <row r="671" spans="1:8" x14ac:dyDescent="0.3">
      <c r="A671" s="35" t="s">
        <v>790</v>
      </c>
      <c r="B671" s="36" t="s">
        <v>783</v>
      </c>
      <c r="C671" s="36" t="s">
        <v>5</v>
      </c>
      <c r="D671" s="36" t="s">
        <v>12</v>
      </c>
      <c r="E671" s="37">
        <v>41377</v>
      </c>
      <c r="F671" s="36">
        <v>193.7</v>
      </c>
      <c r="G671" s="36">
        <v>3</v>
      </c>
      <c r="H671" s="36">
        <v>5</v>
      </c>
    </row>
    <row r="672" spans="1:8" x14ac:dyDescent="0.3">
      <c r="A672" s="35" t="s">
        <v>791</v>
      </c>
      <c r="B672" s="36" t="s">
        <v>8</v>
      </c>
      <c r="C672" s="36" t="s">
        <v>5</v>
      </c>
      <c r="D672" s="36" t="s">
        <v>12</v>
      </c>
      <c r="E672" s="37">
        <v>41373</v>
      </c>
      <c r="F672" s="36">
        <v>148</v>
      </c>
      <c r="G672" s="36">
        <v>4</v>
      </c>
      <c r="H672" s="36">
        <v>5</v>
      </c>
    </row>
    <row r="673" spans="1:8" x14ac:dyDescent="0.3">
      <c r="A673" s="35" t="s">
        <v>340</v>
      </c>
      <c r="B673" s="36" t="s">
        <v>56</v>
      </c>
      <c r="C673" s="36" t="s">
        <v>5</v>
      </c>
      <c r="D673" s="36" t="s">
        <v>64</v>
      </c>
      <c r="E673" s="37">
        <v>41370</v>
      </c>
      <c r="F673" s="36">
        <v>80</v>
      </c>
      <c r="G673" s="36">
        <v>1</v>
      </c>
      <c r="H673" s="36">
        <v>0</v>
      </c>
    </row>
    <row r="674" spans="1:8" x14ac:dyDescent="0.3">
      <c r="A674" s="35" t="s">
        <v>517</v>
      </c>
      <c r="B674" s="36" t="s">
        <v>60</v>
      </c>
      <c r="C674" s="36" t="s">
        <v>5</v>
      </c>
      <c r="D674" s="36" t="s">
        <v>103</v>
      </c>
      <c r="E674" s="37">
        <v>41368</v>
      </c>
      <c r="F674" s="36">
        <v>100</v>
      </c>
      <c r="G674" s="36">
        <v>1</v>
      </c>
      <c r="H674" s="36">
        <v>0</v>
      </c>
    </row>
    <row r="675" spans="1:8" x14ac:dyDescent="0.3">
      <c r="A675" s="44" t="s">
        <v>792</v>
      </c>
      <c r="B675" s="44"/>
      <c r="C675" s="44"/>
      <c r="D675" s="44"/>
      <c r="E675" s="44"/>
      <c r="F675" s="44"/>
      <c r="G675" s="44"/>
      <c r="H675" s="44"/>
    </row>
    <row r="676" spans="1:8" x14ac:dyDescent="0.3">
      <c r="A676" s="35" t="s">
        <v>793</v>
      </c>
      <c r="B676" s="36" t="s">
        <v>76</v>
      </c>
      <c r="C676" s="36" t="s">
        <v>16</v>
      </c>
      <c r="D676" s="36" t="s">
        <v>154</v>
      </c>
      <c r="E676" s="37">
        <v>41301</v>
      </c>
      <c r="F676" s="36">
        <v>44.4</v>
      </c>
      <c r="G676" s="36">
        <v>1</v>
      </c>
      <c r="H676" s="36">
        <v>0</v>
      </c>
    </row>
    <row r="677" spans="1:8" x14ac:dyDescent="0.3">
      <c r="A677" s="35" t="s">
        <v>794</v>
      </c>
      <c r="B677" s="36" t="s">
        <v>76</v>
      </c>
      <c r="C677" s="36" t="s">
        <v>16</v>
      </c>
      <c r="D677" s="36" t="s">
        <v>173</v>
      </c>
      <c r="E677" s="37">
        <v>41297</v>
      </c>
      <c r="F677" s="36">
        <v>89.2</v>
      </c>
      <c r="G677" s="36">
        <v>11</v>
      </c>
      <c r="H677" s="36">
        <v>1</v>
      </c>
    </row>
    <row r="678" spans="1:8" x14ac:dyDescent="0.3">
      <c r="A678" s="44" t="s">
        <v>795</v>
      </c>
      <c r="B678" s="44"/>
      <c r="C678" s="44"/>
      <c r="D678" s="44"/>
      <c r="E678" s="44"/>
      <c r="F678" s="44"/>
      <c r="G678" s="44"/>
      <c r="H678" s="44"/>
    </row>
    <row r="679" spans="1:8" x14ac:dyDescent="0.3">
      <c r="A679" s="35" t="s">
        <v>743</v>
      </c>
      <c r="B679" s="36" t="s">
        <v>71</v>
      </c>
      <c r="C679" s="36" t="s">
        <v>16</v>
      </c>
      <c r="D679" s="36" t="s">
        <v>64</v>
      </c>
      <c r="E679" s="37">
        <v>41273</v>
      </c>
      <c r="F679" s="36">
        <v>28.5</v>
      </c>
      <c r="G679" s="36">
        <v>0</v>
      </c>
      <c r="H679" s="36">
        <v>0</v>
      </c>
    </row>
    <row r="680" spans="1:8" x14ac:dyDescent="0.3">
      <c r="A680" s="35" t="s">
        <v>796</v>
      </c>
      <c r="B680" s="36" t="s">
        <v>71</v>
      </c>
      <c r="C680" s="36" t="s">
        <v>121</v>
      </c>
      <c r="D680" s="36" t="s">
        <v>41</v>
      </c>
      <c r="E680" s="37">
        <v>41271</v>
      </c>
      <c r="F680" s="36">
        <v>200</v>
      </c>
      <c r="G680" s="36">
        <v>1</v>
      </c>
      <c r="H680" s="36">
        <v>0</v>
      </c>
    </row>
    <row r="681" spans="1:8" x14ac:dyDescent="0.3">
      <c r="A681" s="35" t="s">
        <v>797</v>
      </c>
      <c r="B681" s="36" t="s">
        <v>71</v>
      </c>
      <c r="C681" s="36" t="s">
        <v>121</v>
      </c>
      <c r="D681" s="36" t="s">
        <v>103</v>
      </c>
      <c r="E681" s="37">
        <v>41268</v>
      </c>
      <c r="F681" s="36">
        <v>100</v>
      </c>
      <c r="G681" s="36">
        <v>0</v>
      </c>
      <c r="H681" s="36">
        <v>0</v>
      </c>
    </row>
    <row r="682" spans="1:8" x14ac:dyDescent="0.3">
      <c r="A682" s="44" t="s">
        <v>792</v>
      </c>
      <c r="B682" s="44"/>
      <c r="C682" s="44"/>
      <c r="D682" s="44"/>
      <c r="E682" s="44"/>
      <c r="F682" s="44"/>
      <c r="G682" s="44"/>
      <c r="H682" s="44"/>
    </row>
    <row r="683" spans="1:8" x14ac:dyDescent="0.3">
      <c r="A683" s="35" t="s">
        <v>798</v>
      </c>
      <c r="B683" s="36" t="s">
        <v>76</v>
      </c>
      <c r="C683" s="36" t="s">
        <v>121</v>
      </c>
      <c r="D683" s="36" t="s">
        <v>12</v>
      </c>
      <c r="E683" s="37">
        <v>41265</v>
      </c>
      <c r="F683" s="36">
        <v>126.3</v>
      </c>
      <c r="G683" s="36">
        <v>1</v>
      </c>
      <c r="H683" s="36">
        <v>1</v>
      </c>
    </row>
    <row r="684" spans="1:8" x14ac:dyDescent="0.3">
      <c r="A684" s="44" t="s">
        <v>799</v>
      </c>
      <c r="B684" s="44"/>
      <c r="C684" s="44"/>
      <c r="D684" s="44"/>
      <c r="E684" s="44"/>
      <c r="F684" s="44"/>
      <c r="G684" s="44"/>
      <c r="H684" s="44"/>
    </row>
    <row r="685" spans="1:8" x14ac:dyDescent="0.3">
      <c r="A685" s="35" t="s">
        <v>800</v>
      </c>
      <c r="B685" s="36" t="s">
        <v>24</v>
      </c>
      <c r="C685" s="36" t="s">
        <v>121</v>
      </c>
      <c r="D685" s="36" t="s">
        <v>116</v>
      </c>
      <c r="E685" s="37">
        <v>41184</v>
      </c>
      <c r="F685" s="36">
        <v>92.5</v>
      </c>
      <c r="G685" s="36">
        <v>2</v>
      </c>
      <c r="H685" s="36">
        <v>0</v>
      </c>
    </row>
    <row r="686" spans="1:8" x14ac:dyDescent="0.3">
      <c r="A686" s="35" t="s">
        <v>199</v>
      </c>
      <c r="B686" s="36" t="s">
        <v>71</v>
      </c>
      <c r="C686" s="36" t="s">
        <v>121</v>
      </c>
      <c r="D686" s="36" t="s">
        <v>116</v>
      </c>
      <c r="E686" s="37">
        <v>41182</v>
      </c>
      <c r="F686" s="36" t="s">
        <v>199</v>
      </c>
      <c r="G686" s="36" t="s">
        <v>199</v>
      </c>
      <c r="H686" s="36" t="s">
        <v>199</v>
      </c>
    </row>
    <row r="687" spans="1:8" x14ac:dyDescent="0.3">
      <c r="A687" s="35" t="s">
        <v>75</v>
      </c>
      <c r="B687" s="36" t="s">
        <v>32</v>
      </c>
      <c r="C687" s="36" t="s">
        <v>121</v>
      </c>
      <c r="D687" s="36" t="s">
        <v>116</v>
      </c>
      <c r="E687" s="37">
        <v>41180</v>
      </c>
      <c r="F687" s="36">
        <v>50</v>
      </c>
      <c r="G687" s="36">
        <v>0</v>
      </c>
      <c r="H687" s="36">
        <v>0</v>
      </c>
    </row>
    <row r="688" spans="1:8" x14ac:dyDescent="0.3">
      <c r="A688" s="35" t="s">
        <v>801</v>
      </c>
      <c r="B688" s="36" t="s">
        <v>76</v>
      </c>
      <c r="C688" s="36" t="s">
        <v>121</v>
      </c>
      <c r="D688" s="36" t="s">
        <v>116</v>
      </c>
      <c r="E688" s="37">
        <v>41175</v>
      </c>
      <c r="F688" s="36">
        <v>166.6</v>
      </c>
      <c r="G688" s="36">
        <v>5</v>
      </c>
      <c r="H688" s="36">
        <v>1</v>
      </c>
    </row>
    <row r="689" spans="1:8" x14ac:dyDescent="0.3">
      <c r="A689" s="35" t="s">
        <v>802</v>
      </c>
      <c r="B689" s="36" t="s">
        <v>130</v>
      </c>
      <c r="C689" s="36" t="s">
        <v>121</v>
      </c>
      <c r="D689" s="36" t="s">
        <v>116</v>
      </c>
      <c r="E689" s="37">
        <v>41171</v>
      </c>
      <c r="F689" s="36">
        <v>100</v>
      </c>
      <c r="G689" s="36">
        <v>0</v>
      </c>
      <c r="H689" s="36">
        <v>0</v>
      </c>
    </row>
    <row r="690" spans="1:8" x14ac:dyDescent="0.3">
      <c r="A690" s="44" t="s">
        <v>803</v>
      </c>
      <c r="B690" s="44"/>
      <c r="C690" s="44"/>
      <c r="D690" s="44"/>
      <c r="E690" s="44"/>
      <c r="F690" s="44"/>
      <c r="G690" s="44"/>
      <c r="H690" s="44"/>
    </row>
    <row r="691" spans="1:8" x14ac:dyDescent="0.3">
      <c r="A691" s="35" t="s">
        <v>796</v>
      </c>
      <c r="B691" s="36" t="s">
        <v>15</v>
      </c>
      <c r="C691" s="36" t="s">
        <v>121</v>
      </c>
      <c r="D691" s="36" t="s">
        <v>64</v>
      </c>
      <c r="E691" s="37">
        <v>41163</v>
      </c>
      <c r="F691" s="36">
        <v>200</v>
      </c>
      <c r="G691" s="36">
        <v>0</v>
      </c>
      <c r="H691" s="36">
        <v>0</v>
      </c>
    </row>
    <row r="692" spans="1:8" x14ac:dyDescent="0.3">
      <c r="A692" s="44" t="s">
        <v>804</v>
      </c>
      <c r="B692" s="44"/>
      <c r="C692" s="44"/>
      <c r="D692" s="44"/>
      <c r="E692" s="44"/>
      <c r="F692" s="44"/>
      <c r="G692" s="44"/>
      <c r="H692" s="44"/>
    </row>
    <row r="693" spans="1:8" x14ac:dyDescent="0.3">
      <c r="A693" s="35" t="s">
        <v>199</v>
      </c>
      <c r="B693" s="36" t="s">
        <v>115</v>
      </c>
      <c r="C693" s="36" t="s">
        <v>121</v>
      </c>
      <c r="D693" s="36" t="s">
        <v>204</v>
      </c>
      <c r="E693" s="37">
        <v>41128</v>
      </c>
      <c r="F693" s="36" t="s">
        <v>199</v>
      </c>
      <c r="G693" s="36" t="s">
        <v>199</v>
      </c>
      <c r="H693" s="36" t="s">
        <v>199</v>
      </c>
    </row>
    <row r="694" spans="1:8" x14ac:dyDescent="0.3">
      <c r="A694" s="35" t="s">
        <v>793</v>
      </c>
      <c r="B694" s="36" t="s">
        <v>115</v>
      </c>
      <c r="C694" s="36" t="s">
        <v>16</v>
      </c>
      <c r="D694" s="36" t="s">
        <v>204</v>
      </c>
      <c r="E694" s="37">
        <v>41125</v>
      </c>
      <c r="F694" s="36">
        <v>44.4</v>
      </c>
      <c r="G694" s="36">
        <v>1</v>
      </c>
      <c r="H694" s="36">
        <v>0</v>
      </c>
    </row>
    <row r="695" spans="1:8" x14ac:dyDescent="0.3">
      <c r="A695" s="35" t="s">
        <v>743</v>
      </c>
      <c r="B695" s="36" t="s">
        <v>115</v>
      </c>
      <c r="C695" s="36" t="s">
        <v>16</v>
      </c>
      <c r="D695" s="36" t="s">
        <v>116</v>
      </c>
      <c r="E695" s="37">
        <v>41121</v>
      </c>
      <c r="F695" s="36">
        <v>28.5</v>
      </c>
      <c r="G695" s="36">
        <v>0</v>
      </c>
      <c r="H695" s="36">
        <v>0</v>
      </c>
    </row>
    <row r="696" spans="1:8" x14ac:dyDescent="0.3">
      <c r="A696" s="35" t="s">
        <v>149</v>
      </c>
      <c r="B696" s="36" t="s">
        <v>115</v>
      </c>
      <c r="C696" s="36" t="s">
        <v>16</v>
      </c>
      <c r="D696" s="36" t="s">
        <v>116</v>
      </c>
      <c r="E696" s="37">
        <v>41118</v>
      </c>
      <c r="F696" s="36">
        <v>0</v>
      </c>
      <c r="G696" s="36">
        <v>0</v>
      </c>
      <c r="H696" s="36">
        <v>0</v>
      </c>
    </row>
    <row r="697" spans="1:8" x14ac:dyDescent="0.3">
      <c r="A697" s="35" t="s">
        <v>676</v>
      </c>
      <c r="B697" s="36" t="s">
        <v>115</v>
      </c>
      <c r="C697" s="36" t="s">
        <v>16</v>
      </c>
      <c r="D697" s="36" t="s">
        <v>805</v>
      </c>
      <c r="E697" s="37">
        <v>41114</v>
      </c>
      <c r="F697" s="36">
        <v>0</v>
      </c>
      <c r="G697" s="36">
        <v>0</v>
      </c>
      <c r="H697" s="36">
        <v>0</v>
      </c>
    </row>
    <row r="698" spans="1:8" x14ac:dyDescent="0.3">
      <c r="A698" s="35" t="s">
        <v>323</v>
      </c>
      <c r="B698" s="36" t="s">
        <v>115</v>
      </c>
      <c r="C698" s="36" t="s">
        <v>16</v>
      </c>
      <c r="D698" s="36" t="s">
        <v>805</v>
      </c>
      <c r="E698" s="37">
        <v>41111</v>
      </c>
      <c r="F698" s="36">
        <v>62.5</v>
      </c>
      <c r="G698" s="36">
        <v>0</v>
      </c>
      <c r="H698" s="36">
        <v>0</v>
      </c>
    </row>
    <row r="699" spans="1:8" x14ac:dyDescent="0.3">
      <c r="A699" s="44" t="s">
        <v>806</v>
      </c>
      <c r="B699" s="44"/>
      <c r="C699" s="44"/>
      <c r="D699" s="44"/>
      <c r="E699" s="44"/>
      <c r="F699" s="44"/>
      <c r="G699" s="44"/>
      <c r="H699" s="44"/>
    </row>
    <row r="700" spans="1:8" x14ac:dyDescent="0.3">
      <c r="A700" s="35" t="s">
        <v>807</v>
      </c>
      <c r="B700" s="36" t="s">
        <v>56</v>
      </c>
      <c r="C700" s="36" t="s">
        <v>5</v>
      </c>
      <c r="D700" s="36" t="s">
        <v>103</v>
      </c>
      <c r="E700" s="37">
        <v>41052</v>
      </c>
      <c r="F700" s="36">
        <v>73.599999999999994</v>
      </c>
      <c r="G700" s="36">
        <v>0</v>
      </c>
      <c r="H700" s="36">
        <v>0</v>
      </c>
    </row>
    <row r="701" spans="1:8" x14ac:dyDescent="0.3">
      <c r="A701" s="35" t="s">
        <v>199</v>
      </c>
      <c r="B701" s="36" t="s">
        <v>4</v>
      </c>
      <c r="C701" s="36" t="s">
        <v>5</v>
      </c>
      <c r="D701" s="36" t="s">
        <v>46</v>
      </c>
      <c r="E701" s="37">
        <v>41049</v>
      </c>
      <c r="F701" s="36" t="s">
        <v>199</v>
      </c>
      <c r="G701" s="36" t="s">
        <v>199</v>
      </c>
      <c r="H701" s="36" t="s">
        <v>199</v>
      </c>
    </row>
    <row r="702" spans="1:8" x14ac:dyDescent="0.3">
      <c r="A702" s="35" t="s">
        <v>808</v>
      </c>
      <c r="B702" s="36" t="s">
        <v>11</v>
      </c>
      <c r="C702" s="36" t="s">
        <v>5</v>
      </c>
      <c r="D702" s="36" t="s">
        <v>12</v>
      </c>
      <c r="E702" s="37">
        <v>41045</v>
      </c>
      <c r="F702" s="36">
        <v>85.7</v>
      </c>
      <c r="G702" s="36">
        <v>1</v>
      </c>
      <c r="H702" s="36">
        <v>0</v>
      </c>
    </row>
    <row r="703" spans="1:8" x14ac:dyDescent="0.3">
      <c r="A703" s="35" t="s">
        <v>453</v>
      </c>
      <c r="B703" s="36" t="s">
        <v>60</v>
      </c>
      <c r="C703" s="36" t="s">
        <v>5</v>
      </c>
      <c r="D703" s="36" t="s">
        <v>103</v>
      </c>
      <c r="E703" s="37">
        <v>41043</v>
      </c>
      <c r="F703" s="36">
        <v>71.400000000000006</v>
      </c>
      <c r="G703" s="36">
        <v>1</v>
      </c>
      <c r="H703" s="36">
        <v>0</v>
      </c>
    </row>
    <row r="704" spans="1:8" x14ac:dyDescent="0.3">
      <c r="A704" s="35" t="s">
        <v>809</v>
      </c>
      <c r="B704" s="36" t="s">
        <v>11</v>
      </c>
      <c r="C704" s="36" t="s">
        <v>5</v>
      </c>
      <c r="D704" s="36" t="s">
        <v>139</v>
      </c>
      <c r="E704" s="37">
        <v>41041</v>
      </c>
      <c r="F704" s="36">
        <v>181.6</v>
      </c>
      <c r="G704" s="36">
        <v>12</v>
      </c>
      <c r="H704" s="36">
        <v>5</v>
      </c>
    </row>
    <row r="705" spans="1:8" x14ac:dyDescent="0.3">
      <c r="A705" s="35" t="s">
        <v>226</v>
      </c>
      <c r="B705" s="36" t="s">
        <v>60</v>
      </c>
      <c r="C705" s="36" t="s">
        <v>5</v>
      </c>
      <c r="D705" s="36" t="s">
        <v>12</v>
      </c>
      <c r="E705" s="37">
        <v>41038</v>
      </c>
      <c r="F705" s="36">
        <v>0</v>
      </c>
      <c r="G705" s="36">
        <v>0</v>
      </c>
      <c r="H705" s="36">
        <v>0</v>
      </c>
    </row>
    <row r="706" spans="1:8" x14ac:dyDescent="0.3">
      <c r="A706" s="35" t="s">
        <v>810</v>
      </c>
      <c r="B706" s="36" t="s">
        <v>56</v>
      </c>
      <c r="C706" s="36" t="s">
        <v>5</v>
      </c>
      <c r="D706" s="36" t="s">
        <v>12</v>
      </c>
      <c r="E706" s="37">
        <v>41035</v>
      </c>
      <c r="F706" s="36">
        <v>130.4</v>
      </c>
      <c r="G706" s="36">
        <v>6</v>
      </c>
      <c r="H706" s="36">
        <v>2</v>
      </c>
    </row>
    <row r="707" spans="1:8" x14ac:dyDescent="0.3">
      <c r="A707" s="35" t="s">
        <v>227</v>
      </c>
      <c r="B707" s="36" t="s">
        <v>783</v>
      </c>
      <c r="C707" s="36" t="s">
        <v>5</v>
      </c>
      <c r="D707" s="36" t="s">
        <v>100</v>
      </c>
      <c r="E707" s="37">
        <v>41032</v>
      </c>
      <c r="F707" s="36">
        <v>60</v>
      </c>
      <c r="G707" s="36">
        <v>0</v>
      </c>
      <c r="H707" s="36">
        <v>0</v>
      </c>
    </row>
    <row r="708" spans="1:8" x14ac:dyDescent="0.3">
      <c r="A708" s="35" t="s">
        <v>811</v>
      </c>
      <c r="B708" s="36" t="s">
        <v>812</v>
      </c>
      <c r="C708" s="36" t="s">
        <v>5</v>
      </c>
      <c r="D708" s="36" t="s">
        <v>12</v>
      </c>
      <c r="E708" s="37">
        <v>41028</v>
      </c>
      <c r="F708" s="36">
        <v>87.5</v>
      </c>
      <c r="G708" s="36">
        <v>4</v>
      </c>
      <c r="H708" s="36">
        <v>1</v>
      </c>
    </row>
    <row r="709" spans="1:8" x14ac:dyDescent="0.3">
      <c r="A709" s="35" t="s">
        <v>813</v>
      </c>
      <c r="B709" s="36" t="s">
        <v>8</v>
      </c>
      <c r="C709" s="36" t="s">
        <v>5</v>
      </c>
      <c r="D709" s="36" t="s">
        <v>9</v>
      </c>
      <c r="E709" s="37">
        <v>41026</v>
      </c>
      <c r="F709" s="36">
        <v>200</v>
      </c>
      <c r="G709" s="36">
        <v>1</v>
      </c>
      <c r="H709" s="36">
        <v>1</v>
      </c>
    </row>
    <row r="710" spans="1:8" x14ac:dyDescent="0.3">
      <c r="A710" s="35" t="s">
        <v>814</v>
      </c>
      <c r="B710" s="36" t="s">
        <v>40</v>
      </c>
      <c r="C710" s="36" t="s">
        <v>5</v>
      </c>
      <c r="D710" s="36" t="s">
        <v>173</v>
      </c>
      <c r="E710" s="37">
        <v>41024</v>
      </c>
      <c r="F710" s="36">
        <v>166.6</v>
      </c>
      <c r="G710" s="36">
        <v>3</v>
      </c>
      <c r="H710" s="36">
        <v>3</v>
      </c>
    </row>
    <row r="711" spans="1:8" x14ac:dyDescent="0.3">
      <c r="A711" s="35" t="s">
        <v>302</v>
      </c>
      <c r="B711" s="36" t="s">
        <v>40</v>
      </c>
      <c r="C711" s="36" t="s">
        <v>5</v>
      </c>
      <c r="D711" s="36" t="s">
        <v>12</v>
      </c>
      <c r="E711" s="37">
        <v>41021</v>
      </c>
      <c r="F711" s="36">
        <v>40</v>
      </c>
      <c r="G711" s="36">
        <v>0</v>
      </c>
      <c r="H711" s="36">
        <v>0</v>
      </c>
    </row>
    <row r="712" spans="1:8" x14ac:dyDescent="0.3">
      <c r="A712" s="35" t="s">
        <v>815</v>
      </c>
      <c r="B712" s="36" t="s">
        <v>8</v>
      </c>
      <c r="C712" s="36" t="s">
        <v>5</v>
      </c>
      <c r="D712" s="36" t="s">
        <v>12</v>
      </c>
      <c r="E712" s="37">
        <v>41015</v>
      </c>
      <c r="F712" s="36">
        <v>107.4</v>
      </c>
      <c r="G712" s="36">
        <v>5</v>
      </c>
      <c r="H712" s="36">
        <v>0</v>
      </c>
    </row>
    <row r="713" spans="1:8" x14ac:dyDescent="0.3">
      <c r="A713" s="35" t="s">
        <v>233</v>
      </c>
      <c r="B713" s="36" t="s">
        <v>4</v>
      </c>
      <c r="C713" s="36" t="s">
        <v>5</v>
      </c>
      <c r="D713" s="36" t="s">
        <v>12</v>
      </c>
      <c r="E713" s="37">
        <v>41010</v>
      </c>
      <c r="F713" s="36">
        <v>161.5</v>
      </c>
      <c r="G713" s="36">
        <v>2</v>
      </c>
      <c r="H713" s="36">
        <v>1</v>
      </c>
    </row>
    <row r="714" spans="1:8" x14ac:dyDescent="0.3">
      <c r="A714" s="35" t="s">
        <v>816</v>
      </c>
      <c r="B714" s="36" t="s">
        <v>812</v>
      </c>
      <c r="C714" s="36" t="s">
        <v>5</v>
      </c>
      <c r="D714" s="36" t="s">
        <v>25</v>
      </c>
      <c r="E714" s="37">
        <v>41008</v>
      </c>
      <c r="F714" s="36">
        <v>146</v>
      </c>
      <c r="G714" s="36">
        <v>4</v>
      </c>
      <c r="H714" s="36">
        <v>5</v>
      </c>
    </row>
    <row r="715" spans="1:8" x14ac:dyDescent="0.3">
      <c r="A715" s="35" t="s">
        <v>817</v>
      </c>
      <c r="B715" s="36" t="s">
        <v>783</v>
      </c>
      <c r="C715" s="36" t="s">
        <v>5</v>
      </c>
      <c r="D715" s="36" t="s">
        <v>12</v>
      </c>
      <c r="E715" s="37">
        <v>41005</v>
      </c>
      <c r="F715" s="36">
        <v>16.600000000000001</v>
      </c>
      <c r="G715" s="36">
        <v>0</v>
      </c>
      <c r="H715" s="36">
        <v>0</v>
      </c>
    </row>
    <row r="716" spans="1:8" x14ac:dyDescent="0.3">
      <c r="A716" s="35" t="s">
        <v>226</v>
      </c>
      <c r="B716" s="36" t="s">
        <v>56</v>
      </c>
      <c r="C716" s="36" t="s">
        <v>5</v>
      </c>
      <c r="D716" s="36" t="s">
        <v>64</v>
      </c>
      <c r="E716" s="37">
        <v>41003</v>
      </c>
      <c r="F716" s="36">
        <v>0</v>
      </c>
      <c r="G716" s="36">
        <v>0</v>
      </c>
      <c r="H716" s="36">
        <v>0</v>
      </c>
    </row>
    <row r="717" spans="1:8" x14ac:dyDescent="0.3">
      <c r="A717" s="44" t="s">
        <v>818</v>
      </c>
      <c r="B717" s="44"/>
      <c r="C717" s="44"/>
      <c r="D717" s="44"/>
      <c r="E717" s="44"/>
      <c r="F717" s="44"/>
      <c r="G717" s="44"/>
      <c r="H717" s="44"/>
    </row>
    <row r="718" spans="1:8" x14ac:dyDescent="0.3">
      <c r="A718" s="35" t="s">
        <v>199</v>
      </c>
      <c r="B718" s="36" t="s">
        <v>24</v>
      </c>
      <c r="C718" s="36" t="s">
        <v>121</v>
      </c>
      <c r="D718" s="36" t="s">
        <v>530</v>
      </c>
      <c r="E718" s="37">
        <v>40998</v>
      </c>
      <c r="F718" s="36" t="s">
        <v>199</v>
      </c>
      <c r="G718" s="36" t="s">
        <v>199</v>
      </c>
      <c r="H718" s="36" t="s">
        <v>199</v>
      </c>
    </row>
    <row r="719" spans="1:8" x14ac:dyDescent="0.3">
      <c r="A719" s="44" t="s">
        <v>819</v>
      </c>
      <c r="B719" s="44"/>
      <c r="C719" s="44"/>
      <c r="D719" s="44"/>
      <c r="E719" s="44"/>
      <c r="F719" s="44"/>
      <c r="G719" s="44"/>
      <c r="H719" s="44"/>
    </row>
    <row r="720" spans="1:8" x14ac:dyDescent="0.3">
      <c r="A720" s="35" t="s">
        <v>820</v>
      </c>
      <c r="B720" s="36" t="s">
        <v>71</v>
      </c>
      <c r="C720" s="36" t="s">
        <v>16</v>
      </c>
      <c r="D720" s="36" t="s">
        <v>259</v>
      </c>
      <c r="E720" s="37">
        <v>40986</v>
      </c>
      <c r="F720" s="36">
        <v>81.900000000000006</v>
      </c>
      <c r="G720" s="36">
        <v>5</v>
      </c>
      <c r="H720" s="36">
        <v>1</v>
      </c>
    </row>
    <row r="721" spans="1:8" x14ac:dyDescent="0.3">
      <c r="A721" s="35" t="s">
        <v>488</v>
      </c>
      <c r="B721" s="36" t="s">
        <v>73</v>
      </c>
      <c r="C721" s="36" t="s">
        <v>16</v>
      </c>
      <c r="D721" s="36" t="s">
        <v>259</v>
      </c>
      <c r="E721" s="37">
        <v>40984</v>
      </c>
      <c r="F721" s="36">
        <v>66.599999999999994</v>
      </c>
      <c r="G721" s="36">
        <v>0</v>
      </c>
      <c r="H721" s="36">
        <v>0</v>
      </c>
    </row>
    <row r="722" spans="1:8" x14ac:dyDescent="0.3">
      <c r="A722" s="35" t="s">
        <v>199</v>
      </c>
      <c r="B722" s="36" t="s">
        <v>115</v>
      </c>
      <c r="C722" s="36" t="s">
        <v>16</v>
      </c>
      <c r="D722" s="36" t="s">
        <v>259</v>
      </c>
      <c r="E722" s="37">
        <v>40981</v>
      </c>
      <c r="F722" s="36" t="s">
        <v>199</v>
      </c>
      <c r="G722" s="36" t="s">
        <v>199</v>
      </c>
      <c r="H722" s="36" t="s">
        <v>199</v>
      </c>
    </row>
    <row r="723" spans="1:8" x14ac:dyDescent="0.3">
      <c r="A723" s="44" t="s">
        <v>821</v>
      </c>
      <c r="B723" s="44"/>
      <c r="C723" s="44"/>
      <c r="D723" s="44"/>
      <c r="E723" s="44"/>
      <c r="F723" s="44"/>
      <c r="G723" s="44"/>
      <c r="H723" s="44"/>
    </row>
    <row r="724" spans="1:8" x14ac:dyDescent="0.3">
      <c r="A724" s="35" t="s">
        <v>676</v>
      </c>
      <c r="B724" s="36" t="s">
        <v>32</v>
      </c>
      <c r="C724" s="36" t="s">
        <v>16</v>
      </c>
      <c r="D724" s="36" t="s">
        <v>88</v>
      </c>
      <c r="E724" s="37">
        <v>40958</v>
      </c>
      <c r="F724" s="36">
        <v>0</v>
      </c>
      <c r="G724" s="36">
        <v>0</v>
      </c>
      <c r="H724" s="36">
        <v>0</v>
      </c>
    </row>
    <row r="725" spans="1:8" x14ac:dyDescent="0.3">
      <c r="A725" s="35" t="s">
        <v>590</v>
      </c>
      <c r="B725" s="36" t="s">
        <v>115</v>
      </c>
      <c r="C725" s="36" t="s">
        <v>16</v>
      </c>
      <c r="D725" s="36" t="s">
        <v>35</v>
      </c>
      <c r="E725" s="37">
        <v>40953</v>
      </c>
      <c r="F725" s="36">
        <v>55.5</v>
      </c>
      <c r="G725" s="36">
        <v>2</v>
      </c>
      <c r="H725" s="36">
        <v>0</v>
      </c>
    </row>
    <row r="726" spans="1:8" x14ac:dyDescent="0.3">
      <c r="A726" s="35" t="s">
        <v>822</v>
      </c>
      <c r="B726" s="36" t="s">
        <v>32</v>
      </c>
      <c r="C726" s="36" t="s">
        <v>16</v>
      </c>
      <c r="D726" s="36" t="s">
        <v>35</v>
      </c>
      <c r="E726" s="37">
        <v>40951</v>
      </c>
      <c r="F726" s="36">
        <v>80.400000000000006</v>
      </c>
      <c r="G726" s="36">
        <v>1</v>
      </c>
      <c r="H726" s="36">
        <v>1</v>
      </c>
    </row>
    <row r="727" spans="1:8" x14ac:dyDescent="0.3">
      <c r="A727" s="35" t="s">
        <v>823</v>
      </c>
      <c r="B727" s="36" t="s">
        <v>115</v>
      </c>
      <c r="C727" s="36" t="s">
        <v>16</v>
      </c>
      <c r="D727" s="36" t="s">
        <v>37</v>
      </c>
      <c r="E727" s="37">
        <v>40947</v>
      </c>
      <c r="F727" s="36">
        <v>58.8</v>
      </c>
      <c r="G727" s="36">
        <v>1</v>
      </c>
      <c r="H727" s="36">
        <v>0</v>
      </c>
    </row>
    <row r="728" spans="1:8" x14ac:dyDescent="0.3">
      <c r="A728" s="35" t="s">
        <v>824</v>
      </c>
      <c r="B728" s="36" t="s">
        <v>32</v>
      </c>
      <c r="C728" s="36" t="s">
        <v>16</v>
      </c>
      <c r="D728" s="36" t="s">
        <v>84</v>
      </c>
      <c r="E728" s="37">
        <v>40944</v>
      </c>
      <c r="F728" s="36">
        <v>100</v>
      </c>
      <c r="G728" s="36">
        <v>2</v>
      </c>
      <c r="H728" s="36">
        <v>0</v>
      </c>
    </row>
    <row r="729" spans="1:8" x14ac:dyDescent="0.3">
      <c r="A729" s="44" t="s">
        <v>825</v>
      </c>
      <c r="B729" s="44"/>
      <c r="C729" s="44"/>
      <c r="D729" s="44"/>
      <c r="E729" s="44"/>
      <c r="F729" s="44"/>
      <c r="G729" s="44"/>
      <c r="H729" s="44"/>
    </row>
    <row r="730" spans="1:8" x14ac:dyDescent="0.3">
      <c r="A730" s="35" t="s">
        <v>199</v>
      </c>
      <c r="B730" s="36" t="s">
        <v>32</v>
      </c>
      <c r="C730" s="36" t="s">
        <v>121</v>
      </c>
      <c r="D730" s="36" t="s">
        <v>84</v>
      </c>
      <c r="E730" s="37">
        <v>40942</v>
      </c>
      <c r="F730" s="36" t="s">
        <v>199</v>
      </c>
      <c r="G730" s="36" t="s">
        <v>199</v>
      </c>
      <c r="H730" s="36" t="s">
        <v>199</v>
      </c>
    </row>
    <row r="731" spans="1:8" x14ac:dyDescent="0.3">
      <c r="A731" s="35" t="s">
        <v>149</v>
      </c>
      <c r="B731" s="36" t="s">
        <v>32</v>
      </c>
      <c r="C731" s="36" t="s">
        <v>121</v>
      </c>
      <c r="D731" s="36" t="s">
        <v>826</v>
      </c>
      <c r="E731" s="37">
        <v>40940</v>
      </c>
      <c r="F731" s="36">
        <v>0</v>
      </c>
      <c r="G731" s="36">
        <v>0</v>
      </c>
      <c r="H731" s="36">
        <v>0</v>
      </c>
    </row>
    <row r="732" spans="1:8" x14ac:dyDescent="0.3">
      <c r="A732" s="44" t="s">
        <v>827</v>
      </c>
      <c r="B732" s="44"/>
      <c r="C732" s="44"/>
      <c r="D732" s="44"/>
      <c r="E732" s="44"/>
      <c r="F732" s="44"/>
      <c r="G732" s="44"/>
      <c r="H732" s="44"/>
    </row>
    <row r="733" spans="1:8" x14ac:dyDescent="0.3">
      <c r="A733" s="35" t="s">
        <v>828</v>
      </c>
      <c r="B733" s="36" t="s">
        <v>208</v>
      </c>
      <c r="C733" s="36" t="s">
        <v>16</v>
      </c>
      <c r="D733" s="36" t="s">
        <v>64</v>
      </c>
      <c r="E733" s="37">
        <v>40888</v>
      </c>
      <c r="F733" s="36">
        <v>80.7</v>
      </c>
      <c r="G733" s="36">
        <v>1</v>
      </c>
      <c r="H733" s="36">
        <v>0</v>
      </c>
    </row>
    <row r="734" spans="1:8" x14ac:dyDescent="0.3">
      <c r="A734" s="35" t="s">
        <v>829</v>
      </c>
      <c r="B734" s="36" t="s">
        <v>208</v>
      </c>
      <c r="C734" s="36" t="s">
        <v>16</v>
      </c>
      <c r="D734" s="36" t="s">
        <v>17</v>
      </c>
      <c r="E734" s="37">
        <v>40885</v>
      </c>
      <c r="F734" s="36">
        <v>168.7</v>
      </c>
      <c r="G734" s="36">
        <v>3</v>
      </c>
      <c r="H734" s="36">
        <v>0</v>
      </c>
    </row>
    <row r="735" spans="1:8" x14ac:dyDescent="0.3">
      <c r="A735" s="35" t="s">
        <v>830</v>
      </c>
      <c r="B735" s="36" t="s">
        <v>208</v>
      </c>
      <c r="C735" s="36" t="s">
        <v>16</v>
      </c>
      <c r="D735" s="36" t="s">
        <v>41</v>
      </c>
      <c r="E735" s="37">
        <v>40882</v>
      </c>
      <c r="F735" s="36">
        <v>95</v>
      </c>
      <c r="G735" s="36">
        <v>10</v>
      </c>
      <c r="H735" s="36">
        <v>1</v>
      </c>
    </row>
    <row r="736" spans="1:8" x14ac:dyDescent="0.3">
      <c r="A736" s="35" t="s">
        <v>831</v>
      </c>
      <c r="B736" s="36" t="s">
        <v>208</v>
      </c>
      <c r="C736" s="36" t="s">
        <v>16</v>
      </c>
      <c r="D736" s="36" t="s">
        <v>25</v>
      </c>
      <c r="E736" s="37">
        <v>40879</v>
      </c>
      <c r="F736" s="36">
        <v>91.8</v>
      </c>
      <c r="G736" s="36">
        <v>7</v>
      </c>
      <c r="H736" s="36">
        <v>2</v>
      </c>
    </row>
    <row r="737" spans="1:8" x14ac:dyDescent="0.3">
      <c r="A737" s="35" t="s">
        <v>832</v>
      </c>
      <c r="B737" s="36" t="s">
        <v>208</v>
      </c>
      <c r="C737" s="36" t="s">
        <v>16</v>
      </c>
      <c r="D737" s="36" t="s">
        <v>78</v>
      </c>
      <c r="E737" s="37">
        <v>40876</v>
      </c>
      <c r="F737" s="36">
        <v>72.7</v>
      </c>
      <c r="G737" s="36">
        <v>3</v>
      </c>
      <c r="H737" s="36">
        <v>1</v>
      </c>
    </row>
    <row r="738" spans="1:8" x14ac:dyDescent="0.3">
      <c r="A738" s="44" t="s">
        <v>833</v>
      </c>
      <c r="B738" s="44"/>
      <c r="C738" s="44"/>
      <c r="D738" s="44"/>
      <c r="E738" s="44"/>
      <c r="F738" s="44"/>
      <c r="G738" s="44"/>
      <c r="H738" s="44"/>
    </row>
    <row r="739" spans="1:8" x14ac:dyDescent="0.3">
      <c r="A739" s="35" t="s">
        <v>834</v>
      </c>
      <c r="B739" s="36" t="s">
        <v>76</v>
      </c>
      <c r="C739" s="36" t="s">
        <v>16</v>
      </c>
      <c r="D739" s="36" t="s">
        <v>835</v>
      </c>
      <c r="E739" s="37">
        <v>40789</v>
      </c>
      <c r="F739" s="36">
        <v>0</v>
      </c>
      <c r="G739" s="36">
        <v>0</v>
      </c>
      <c r="H739" s="36">
        <v>0</v>
      </c>
    </row>
    <row r="740" spans="1:8" x14ac:dyDescent="0.3">
      <c r="A740" s="35" t="s">
        <v>836</v>
      </c>
      <c r="B740" s="36" t="s">
        <v>76</v>
      </c>
      <c r="C740" s="36" t="s">
        <v>121</v>
      </c>
      <c r="D740" s="36" t="s">
        <v>287</v>
      </c>
      <c r="E740" s="37">
        <v>40786</v>
      </c>
      <c r="F740" s="36">
        <v>33.299999999999997</v>
      </c>
      <c r="G740" s="36">
        <v>0</v>
      </c>
      <c r="H740" s="36">
        <v>0</v>
      </c>
    </row>
    <row r="741" spans="1:8" x14ac:dyDescent="0.3">
      <c r="A741" s="44" t="s">
        <v>837</v>
      </c>
      <c r="B741" s="44"/>
      <c r="C741" s="44"/>
      <c r="D741" s="44"/>
      <c r="E741" s="44"/>
      <c r="F741" s="44"/>
      <c r="G741" s="44"/>
      <c r="H741" s="44"/>
    </row>
    <row r="742" spans="1:8" x14ac:dyDescent="0.3">
      <c r="A742" s="35" t="s">
        <v>838</v>
      </c>
      <c r="B742" s="36" t="s">
        <v>208</v>
      </c>
      <c r="C742" s="36" t="s">
        <v>16</v>
      </c>
      <c r="D742" s="36" t="s">
        <v>770</v>
      </c>
      <c r="E742" s="37">
        <v>40710</v>
      </c>
      <c r="F742" s="36">
        <v>79.099999999999994</v>
      </c>
      <c r="G742" s="36">
        <v>2</v>
      </c>
      <c r="H742" s="36">
        <v>1</v>
      </c>
    </row>
    <row r="743" spans="1:8" x14ac:dyDescent="0.3">
      <c r="A743" s="35" t="s">
        <v>839</v>
      </c>
      <c r="B743" s="36" t="s">
        <v>208</v>
      </c>
      <c r="C743" s="36" t="s">
        <v>16</v>
      </c>
      <c r="D743" s="36" t="s">
        <v>128</v>
      </c>
      <c r="E743" s="37">
        <v>40707</v>
      </c>
      <c r="F743" s="36">
        <v>82.9</v>
      </c>
      <c r="G743" s="36">
        <v>0</v>
      </c>
      <c r="H743" s="36">
        <v>1</v>
      </c>
    </row>
    <row r="744" spans="1:8" x14ac:dyDescent="0.3">
      <c r="A744" s="35" t="s">
        <v>840</v>
      </c>
      <c r="B744" s="36" t="s">
        <v>208</v>
      </c>
      <c r="C744" s="36" t="s">
        <v>16</v>
      </c>
      <c r="D744" s="36" t="s">
        <v>128</v>
      </c>
      <c r="E744" s="37">
        <v>40705</v>
      </c>
      <c r="F744" s="36">
        <v>94.5</v>
      </c>
      <c r="G744" s="36">
        <v>5</v>
      </c>
      <c r="H744" s="36">
        <v>2</v>
      </c>
    </row>
    <row r="745" spans="1:8" x14ac:dyDescent="0.3">
      <c r="A745" s="35" t="s">
        <v>841</v>
      </c>
      <c r="B745" s="36" t="s">
        <v>208</v>
      </c>
      <c r="C745" s="36" t="s">
        <v>16</v>
      </c>
      <c r="D745" s="36" t="s">
        <v>210</v>
      </c>
      <c r="E745" s="37">
        <v>40702</v>
      </c>
      <c r="F745" s="36">
        <v>50</v>
      </c>
      <c r="G745" s="36">
        <v>1</v>
      </c>
      <c r="H745" s="36">
        <v>0</v>
      </c>
    </row>
    <row r="746" spans="1:8" x14ac:dyDescent="0.3">
      <c r="A746" s="35" t="s">
        <v>842</v>
      </c>
      <c r="B746" s="36" t="s">
        <v>208</v>
      </c>
      <c r="C746" s="36" t="s">
        <v>16</v>
      </c>
      <c r="D746" s="36" t="s">
        <v>210</v>
      </c>
      <c r="E746" s="37">
        <v>40700</v>
      </c>
      <c r="F746" s="36">
        <v>90.6</v>
      </c>
      <c r="G746" s="36">
        <v>3</v>
      </c>
      <c r="H746" s="36">
        <v>1</v>
      </c>
    </row>
    <row r="747" spans="1:8" x14ac:dyDescent="0.3">
      <c r="A747" s="35" t="s">
        <v>843</v>
      </c>
      <c r="B747" s="36" t="s">
        <v>208</v>
      </c>
      <c r="C747" s="36" t="s">
        <v>121</v>
      </c>
      <c r="D747" s="36" t="s">
        <v>210</v>
      </c>
      <c r="E747" s="37">
        <v>40698</v>
      </c>
      <c r="F747" s="36">
        <v>113</v>
      </c>
      <c r="G747" s="36">
        <v>0</v>
      </c>
      <c r="H747" s="36">
        <v>2</v>
      </c>
    </row>
    <row r="748" spans="1:8" x14ac:dyDescent="0.3">
      <c r="A748" s="44" t="s">
        <v>844</v>
      </c>
      <c r="B748" s="44"/>
      <c r="C748" s="44"/>
      <c r="D748" s="44"/>
      <c r="E748" s="44"/>
      <c r="F748" s="44"/>
      <c r="G748" s="44"/>
      <c r="H748" s="44"/>
    </row>
    <row r="749" spans="1:8" x14ac:dyDescent="0.3">
      <c r="A749" s="35" t="s">
        <v>236</v>
      </c>
      <c r="B749" s="36" t="s">
        <v>60</v>
      </c>
      <c r="C749" s="36" t="s">
        <v>5</v>
      </c>
      <c r="D749" s="36" t="s">
        <v>64</v>
      </c>
      <c r="E749" s="37">
        <v>40690</v>
      </c>
      <c r="F749" s="36">
        <v>86.6</v>
      </c>
      <c r="G749" s="36">
        <v>1</v>
      </c>
      <c r="H749" s="36">
        <v>0</v>
      </c>
    </row>
    <row r="750" spans="1:8" x14ac:dyDescent="0.3">
      <c r="A750" s="35" t="s">
        <v>199</v>
      </c>
      <c r="B750" s="36" t="s">
        <v>11</v>
      </c>
      <c r="C750" s="36" t="s">
        <v>5</v>
      </c>
      <c r="D750" s="36" t="s">
        <v>12</v>
      </c>
      <c r="E750" s="37">
        <v>40688</v>
      </c>
      <c r="F750" s="36" t="s">
        <v>199</v>
      </c>
      <c r="G750" s="36" t="s">
        <v>199</v>
      </c>
      <c r="H750" s="36" t="s">
        <v>199</v>
      </c>
    </row>
    <row r="751" spans="1:8" x14ac:dyDescent="0.3">
      <c r="A751" s="35" t="s">
        <v>845</v>
      </c>
      <c r="B751" s="36" t="s">
        <v>11</v>
      </c>
      <c r="C751" s="36" t="s">
        <v>5</v>
      </c>
      <c r="D751" s="36" t="s">
        <v>139</v>
      </c>
      <c r="E751" s="37">
        <v>40685</v>
      </c>
      <c r="F751" s="36">
        <v>111.1</v>
      </c>
      <c r="G751" s="36">
        <v>1</v>
      </c>
      <c r="H751" s="36">
        <v>0</v>
      </c>
    </row>
    <row r="752" spans="1:8" x14ac:dyDescent="0.3">
      <c r="A752" s="35" t="s">
        <v>118</v>
      </c>
      <c r="B752" s="36" t="s">
        <v>4</v>
      </c>
      <c r="C752" s="36" t="s">
        <v>5</v>
      </c>
      <c r="D752" s="36" t="s">
        <v>12</v>
      </c>
      <c r="E752" s="37">
        <v>40683</v>
      </c>
      <c r="F752" s="36">
        <v>123.4</v>
      </c>
      <c r="G752" s="36">
        <v>5</v>
      </c>
      <c r="H752" s="36">
        <v>1</v>
      </c>
    </row>
    <row r="753" spans="1:8" x14ac:dyDescent="0.3">
      <c r="A753" s="35" t="s">
        <v>488</v>
      </c>
      <c r="B753" s="36" t="s">
        <v>812</v>
      </c>
      <c r="C753" s="36" t="s">
        <v>5</v>
      </c>
      <c r="D753" s="36" t="s">
        <v>12</v>
      </c>
      <c r="E753" s="37">
        <v>40677</v>
      </c>
      <c r="F753" s="36">
        <v>66.599999999999994</v>
      </c>
      <c r="G753" s="36">
        <v>1</v>
      </c>
      <c r="H753" s="36">
        <v>0</v>
      </c>
    </row>
    <row r="754" spans="1:8" x14ac:dyDescent="0.3">
      <c r="A754" s="35" t="s">
        <v>47</v>
      </c>
      <c r="B754" s="36" t="s">
        <v>40</v>
      </c>
      <c r="C754" s="36" t="s">
        <v>5</v>
      </c>
      <c r="D754" s="36" t="s">
        <v>173</v>
      </c>
      <c r="E754" s="37">
        <v>40673</v>
      </c>
      <c r="F754" s="36">
        <v>100</v>
      </c>
      <c r="G754" s="36">
        <v>1</v>
      </c>
      <c r="H754" s="36">
        <v>0</v>
      </c>
    </row>
    <row r="755" spans="1:8" x14ac:dyDescent="0.3">
      <c r="A755" s="35" t="s">
        <v>846</v>
      </c>
      <c r="B755" s="36" t="s">
        <v>8</v>
      </c>
      <c r="C755" s="36" t="s">
        <v>5</v>
      </c>
      <c r="D755" s="36" t="s">
        <v>12</v>
      </c>
      <c r="E755" s="37">
        <v>40670</v>
      </c>
      <c r="F755" s="36">
        <v>153.1</v>
      </c>
      <c r="G755" s="36">
        <v>2</v>
      </c>
      <c r="H755" s="36">
        <v>3</v>
      </c>
    </row>
    <row r="756" spans="1:8" x14ac:dyDescent="0.3">
      <c r="A756" s="35" t="s">
        <v>571</v>
      </c>
      <c r="B756" s="36" t="s">
        <v>783</v>
      </c>
      <c r="C756" s="36" t="s">
        <v>5</v>
      </c>
      <c r="D756" s="36" t="s">
        <v>300</v>
      </c>
      <c r="E756" s="37">
        <v>40667</v>
      </c>
      <c r="F756" s="36">
        <v>60</v>
      </c>
      <c r="G756" s="36">
        <v>0</v>
      </c>
      <c r="H756" s="36">
        <v>0</v>
      </c>
    </row>
    <row r="757" spans="1:8" x14ac:dyDescent="0.3">
      <c r="A757" s="35" t="s">
        <v>847</v>
      </c>
      <c r="B757" s="36" t="s">
        <v>40</v>
      </c>
      <c r="C757" s="36" t="s">
        <v>5</v>
      </c>
      <c r="D757" s="36" t="s">
        <v>12</v>
      </c>
      <c r="E757" s="37">
        <v>40665</v>
      </c>
      <c r="F757" s="36">
        <v>163.6</v>
      </c>
      <c r="G757" s="36">
        <v>3</v>
      </c>
      <c r="H757" s="36">
        <v>0</v>
      </c>
    </row>
    <row r="758" spans="1:8" x14ac:dyDescent="0.3">
      <c r="A758" s="35" t="s">
        <v>848</v>
      </c>
      <c r="B758" s="36" t="s">
        <v>4</v>
      </c>
      <c r="C758" s="36" t="s">
        <v>5</v>
      </c>
      <c r="D758" s="36" t="s">
        <v>46</v>
      </c>
      <c r="E758" s="37">
        <v>40662</v>
      </c>
      <c r="F758" s="36">
        <v>59</v>
      </c>
      <c r="G758" s="36">
        <v>1</v>
      </c>
      <c r="H758" s="36">
        <v>0</v>
      </c>
    </row>
    <row r="759" spans="1:8" x14ac:dyDescent="0.3">
      <c r="A759" s="35" t="s">
        <v>849</v>
      </c>
      <c r="B759" s="36" t="s">
        <v>812</v>
      </c>
      <c r="C759" s="36" t="s">
        <v>5</v>
      </c>
      <c r="D759" s="36" t="s">
        <v>54</v>
      </c>
      <c r="E759" s="37">
        <v>40657</v>
      </c>
      <c r="F759" s="36">
        <v>164.7</v>
      </c>
      <c r="G759" s="36">
        <v>5</v>
      </c>
      <c r="H759" s="36">
        <v>3</v>
      </c>
    </row>
    <row r="760" spans="1:8" x14ac:dyDescent="0.3">
      <c r="A760" s="35" t="s">
        <v>850</v>
      </c>
      <c r="B760" s="36" t="s">
        <v>56</v>
      </c>
      <c r="C760" s="36" t="s">
        <v>5</v>
      </c>
      <c r="D760" s="36" t="s">
        <v>12</v>
      </c>
      <c r="E760" s="37">
        <v>40655</v>
      </c>
      <c r="F760" s="36">
        <v>181.2</v>
      </c>
      <c r="G760" s="36">
        <v>8</v>
      </c>
      <c r="H760" s="36">
        <v>5</v>
      </c>
    </row>
    <row r="761" spans="1:8" x14ac:dyDescent="0.3">
      <c r="A761" s="35" t="s">
        <v>851</v>
      </c>
      <c r="B761" s="36" t="s">
        <v>783</v>
      </c>
      <c r="C761" s="36" t="s">
        <v>5</v>
      </c>
      <c r="D761" s="36" t="s">
        <v>12</v>
      </c>
      <c r="E761" s="37">
        <v>40653</v>
      </c>
      <c r="F761" s="36">
        <v>111.1</v>
      </c>
      <c r="G761" s="36">
        <v>1</v>
      </c>
      <c r="H761" s="36">
        <v>1</v>
      </c>
    </row>
    <row r="762" spans="1:8" x14ac:dyDescent="0.3">
      <c r="A762" s="35" t="s">
        <v>199</v>
      </c>
      <c r="B762" s="36" t="s">
        <v>852</v>
      </c>
      <c r="C762" s="36" t="s">
        <v>5</v>
      </c>
      <c r="D762" s="36" t="s">
        <v>12</v>
      </c>
      <c r="E762" s="37">
        <v>40648</v>
      </c>
      <c r="F762" s="36" t="s">
        <v>199</v>
      </c>
      <c r="G762" s="36" t="s">
        <v>199</v>
      </c>
      <c r="H762" s="36" t="s">
        <v>199</v>
      </c>
    </row>
    <row r="763" spans="1:8" x14ac:dyDescent="0.3">
      <c r="A763" s="35" t="s">
        <v>199</v>
      </c>
      <c r="B763" s="36" t="s">
        <v>60</v>
      </c>
      <c r="C763" s="36" t="s">
        <v>5</v>
      </c>
      <c r="D763" s="36" t="s">
        <v>103</v>
      </c>
      <c r="E763" s="37">
        <v>40645</v>
      </c>
      <c r="F763" s="36" t="s">
        <v>199</v>
      </c>
      <c r="G763" s="36" t="s">
        <v>199</v>
      </c>
      <c r="H763" s="36" t="s">
        <v>199</v>
      </c>
    </row>
    <row r="764" spans="1:8" x14ac:dyDescent="0.3">
      <c r="A764" s="35" t="s">
        <v>853</v>
      </c>
      <c r="B764" s="36" t="s">
        <v>8</v>
      </c>
      <c r="C764" s="36" t="s">
        <v>5</v>
      </c>
      <c r="D764" s="36" t="s">
        <v>9</v>
      </c>
      <c r="E764" s="37">
        <v>40643</v>
      </c>
      <c r="F764" s="36">
        <v>90</v>
      </c>
      <c r="G764" s="36">
        <v>3</v>
      </c>
      <c r="H764" s="36">
        <v>0</v>
      </c>
    </row>
    <row r="765" spans="1:8" x14ac:dyDescent="0.3">
      <c r="A765" s="44" t="s">
        <v>854</v>
      </c>
      <c r="B765" s="44"/>
      <c r="C765" s="44"/>
      <c r="D765" s="44"/>
      <c r="E765" s="44"/>
      <c r="F765" s="44"/>
      <c r="G765" s="44"/>
      <c r="H765" s="44"/>
    </row>
    <row r="766" spans="1:8" x14ac:dyDescent="0.3">
      <c r="A766" s="35" t="s">
        <v>323</v>
      </c>
      <c r="B766" s="36" t="s">
        <v>24</v>
      </c>
      <c r="C766" s="36" t="s">
        <v>16</v>
      </c>
      <c r="D766" s="36" t="s">
        <v>180</v>
      </c>
      <c r="E766" s="37">
        <v>40566</v>
      </c>
      <c r="F766" s="36">
        <v>62.5</v>
      </c>
      <c r="G766" s="36">
        <v>1</v>
      </c>
      <c r="H766" s="36">
        <v>0</v>
      </c>
    </row>
    <row r="767" spans="1:8" x14ac:dyDescent="0.3">
      <c r="A767" s="35" t="s">
        <v>817</v>
      </c>
      <c r="B767" s="36" t="s">
        <v>24</v>
      </c>
      <c r="C767" s="36" t="s">
        <v>16</v>
      </c>
      <c r="D767" s="36" t="s">
        <v>532</v>
      </c>
      <c r="E767" s="37">
        <v>40564</v>
      </c>
      <c r="F767" s="36">
        <v>16.600000000000001</v>
      </c>
      <c r="G767" s="36">
        <v>0</v>
      </c>
      <c r="H767" s="36">
        <v>0</v>
      </c>
    </row>
    <row r="768" spans="1:8" x14ac:dyDescent="0.3">
      <c r="A768" s="35" t="s">
        <v>855</v>
      </c>
      <c r="B768" s="36" t="s">
        <v>24</v>
      </c>
      <c r="C768" s="36" t="s">
        <v>16</v>
      </c>
      <c r="D768" s="36" t="s">
        <v>176</v>
      </c>
      <c r="E768" s="37">
        <v>40561</v>
      </c>
      <c r="F768" s="36">
        <v>51.1</v>
      </c>
      <c r="G768" s="36">
        <v>2</v>
      </c>
      <c r="H768" s="36">
        <v>0</v>
      </c>
    </row>
    <row r="769" spans="1:8" x14ac:dyDescent="0.3">
      <c r="A769" s="35" t="s">
        <v>773</v>
      </c>
      <c r="B769" s="36" t="s">
        <v>24</v>
      </c>
      <c r="C769" s="36" t="s">
        <v>16</v>
      </c>
      <c r="D769" s="36" t="s">
        <v>530</v>
      </c>
      <c r="E769" s="37">
        <v>40558</v>
      </c>
      <c r="F769" s="36">
        <v>64.2</v>
      </c>
      <c r="G769" s="36">
        <v>1</v>
      </c>
      <c r="H769" s="36">
        <v>0</v>
      </c>
    </row>
    <row r="770" spans="1:8" x14ac:dyDescent="0.3">
      <c r="A770" s="35" t="s">
        <v>856</v>
      </c>
      <c r="B770" s="36" t="s">
        <v>24</v>
      </c>
      <c r="C770" s="36" t="s">
        <v>16</v>
      </c>
      <c r="D770" s="36" t="s">
        <v>535</v>
      </c>
      <c r="E770" s="37">
        <v>40555</v>
      </c>
      <c r="F770" s="36">
        <v>40.700000000000003</v>
      </c>
      <c r="G770" s="36">
        <v>1</v>
      </c>
      <c r="H770" s="36">
        <v>0</v>
      </c>
    </row>
    <row r="771" spans="1:8" x14ac:dyDescent="0.3">
      <c r="A771" s="35" t="s">
        <v>857</v>
      </c>
      <c r="B771" s="36" t="s">
        <v>24</v>
      </c>
      <c r="C771" s="36" t="s">
        <v>121</v>
      </c>
      <c r="D771" s="36" t="s">
        <v>535</v>
      </c>
      <c r="E771" s="37">
        <v>40552</v>
      </c>
      <c r="F771" s="36">
        <v>155.80000000000001</v>
      </c>
      <c r="G771" s="36">
        <v>5</v>
      </c>
      <c r="H771" s="36">
        <v>2</v>
      </c>
    </row>
    <row r="772" spans="1:8" x14ac:dyDescent="0.3">
      <c r="A772" s="44" t="s">
        <v>858</v>
      </c>
      <c r="B772" s="44"/>
      <c r="C772" s="44"/>
      <c r="D772" s="44"/>
      <c r="E772" s="44"/>
      <c r="F772" s="44"/>
      <c r="G772" s="44"/>
      <c r="H772" s="44"/>
    </row>
    <row r="773" spans="1:8" x14ac:dyDescent="0.3">
      <c r="A773" s="35" t="s">
        <v>199</v>
      </c>
      <c r="B773" s="36" t="s">
        <v>15</v>
      </c>
      <c r="C773" s="36" t="s">
        <v>16</v>
      </c>
      <c r="D773" s="36" t="s">
        <v>64</v>
      </c>
      <c r="E773" s="37">
        <v>40522</v>
      </c>
      <c r="F773" s="36" t="s">
        <v>199</v>
      </c>
      <c r="G773" s="36" t="s">
        <v>199</v>
      </c>
      <c r="H773" s="36" t="s">
        <v>199</v>
      </c>
    </row>
    <row r="774" spans="1:8" x14ac:dyDescent="0.3">
      <c r="A774" s="35" t="s">
        <v>859</v>
      </c>
      <c r="B774" s="36" t="s">
        <v>15</v>
      </c>
      <c r="C774" s="36" t="s">
        <v>16</v>
      </c>
      <c r="D774" s="36" t="s">
        <v>103</v>
      </c>
      <c r="E774" s="37">
        <v>40519</v>
      </c>
      <c r="F774" s="36">
        <v>91.6</v>
      </c>
      <c r="G774" s="36">
        <v>4</v>
      </c>
      <c r="H774" s="36">
        <v>1</v>
      </c>
    </row>
    <row r="775" spans="1:8" x14ac:dyDescent="0.3">
      <c r="A775" s="44" t="s">
        <v>860</v>
      </c>
      <c r="B775" s="44"/>
      <c r="C775" s="44"/>
      <c r="D775" s="44"/>
      <c r="E775" s="44"/>
      <c r="F775" s="44"/>
      <c r="G775" s="44"/>
      <c r="H775" s="44"/>
    </row>
    <row r="776" spans="1:8" x14ac:dyDescent="0.3">
      <c r="A776" s="35" t="s">
        <v>317</v>
      </c>
      <c r="B776" s="36" t="s">
        <v>115</v>
      </c>
      <c r="C776" s="36" t="s">
        <v>16</v>
      </c>
      <c r="D776" s="36" t="s">
        <v>568</v>
      </c>
      <c r="E776" s="37">
        <v>40418</v>
      </c>
      <c r="F776" s="36">
        <v>55.5</v>
      </c>
      <c r="G776" s="36">
        <v>0</v>
      </c>
      <c r="H776" s="36">
        <v>0</v>
      </c>
    </row>
    <row r="777" spans="1:8" x14ac:dyDescent="0.3">
      <c r="A777" s="35" t="s">
        <v>861</v>
      </c>
      <c r="B777" s="36" t="s">
        <v>115</v>
      </c>
      <c r="C777" s="36" t="s">
        <v>16</v>
      </c>
      <c r="D777" s="36" t="s">
        <v>568</v>
      </c>
      <c r="E777" s="37">
        <v>40412</v>
      </c>
      <c r="F777" s="36">
        <v>52.3</v>
      </c>
      <c r="G777" s="36">
        <v>2</v>
      </c>
      <c r="H777" s="36">
        <v>0</v>
      </c>
    </row>
    <row r="778" spans="1:8" x14ac:dyDescent="0.3">
      <c r="A778" s="35" t="s">
        <v>172</v>
      </c>
      <c r="B778" s="36" t="s">
        <v>115</v>
      </c>
      <c r="C778" s="36" t="s">
        <v>16</v>
      </c>
      <c r="D778" s="36" t="s">
        <v>568</v>
      </c>
      <c r="E778" s="37">
        <v>40406</v>
      </c>
      <c r="F778" s="36">
        <v>0</v>
      </c>
      <c r="G778" s="36">
        <v>0</v>
      </c>
      <c r="H778" s="36">
        <v>0</v>
      </c>
    </row>
    <row r="779" spans="1:8" x14ac:dyDescent="0.3">
      <c r="A779" s="35" t="s">
        <v>862</v>
      </c>
      <c r="B779" s="36" t="s">
        <v>15</v>
      </c>
      <c r="C779" s="36" t="s">
        <v>16</v>
      </c>
      <c r="D779" s="36" t="s">
        <v>568</v>
      </c>
      <c r="E779" s="37">
        <v>40400</v>
      </c>
      <c r="F779" s="36">
        <v>36.299999999999997</v>
      </c>
      <c r="G779" s="36">
        <v>0</v>
      </c>
      <c r="H779" s="36">
        <v>0</v>
      </c>
    </row>
    <row r="780" spans="1:8" x14ac:dyDescent="0.3">
      <c r="A780" s="44" t="s">
        <v>863</v>
      </c>
      <c r="B780" s="44"/>
      <c r="C780" s="44"/>
      <c r="D780" s="44"/>
      <c r="E780" s="44"/>
      <c r="F780" s="44"/>
      <c r="G780" s="44"/>
      <c r="H780" s="44"/>
    </row>
    <row r="781" spans="1:8" x14ac:dyDescent="0.3">
      <c r="A781" s="35" t="s">
        <v>864</v>
      </c>
      <c r="B781" s="36" t="s">
        <v>115</v>
      </c>
      <c r="C781" s="36" t="s">
        <v>16</v>
      </c>
      <c r="D781" s="36" t="s">
        <v>568</v>
      </c>
      <c r="E781" s="37">
        <v>40353</v>
      </c>
      <c r="F781" s="36">
        <v>78.8</v>
      </c>
      <c r="G781" s="36">
        <v>3</v>
      </c>
      <c r="H781" s="36">
        <v>0</v>
      </c>
    </row>
    <row r="782" spans="1:8" x14ac:dyDescent="0.3">
      <c r="A782" s="35" t="s">
        <v>865</v>
      </c>
      <c r="B782" s="36" t="s">
        <v>115</v>
      </c>
      <c r="C782" s="36" t="s">
        <v>16</v>
      </c>
      <c r="D782" s="36" t="s">
        <v>568</v>
      </c>
      <c r="E782" s="37">
        <v>40351</v>
      </c>
      <c r="F782" s="36">
        <v>94.5</v>
      </c>
      <c r="G782" s="36">
        <v>7</v>
      </c>
      <c r="H782" s="36">
        <v>0</v>
      </c>
    </row>
    <row r="783" spans="1:8" x14ac:dyDescent="0.3">
      <c r="A783" s="35" t="s">
        <v>647</v>
      </c>
      <c r="B783" s="36" t="s">
        <v>71</v>
      </c>
      <c r="C783" s="36" t="s">
        <v>16</v>
      </c>
      <c r="D783" s="36" t="s">
        <v>568</v>
      </c>
      <c r="E783" s="37">
        <v>40348</v>
      </c>
      <c r="F783" s="36">
        <v>91.6</v>
      </c>
      <c r="G783" s="36">
        <v>2</v>
      </c>
      <c r="H783" s="36">
        <v>0</v>
      </c>
    </row>
    <row r="784" spans="1:8" x14ac:dyDescent="0.3">
      <c r="A784" s="35" t="s">
        <v>149</v>
      </c>
      <c r="B784" s="36" t="s">
        <v>73</v>
      </c>
      <c r="C784" s="36" t="s">
        <v>16</v>
      </c>
      <c r="D784" s="36" t="s">
        <v>568</v>
      </c>
      <c r="E784" s="37">
        <v>40345</v>
      </c>
      <c r="F784" s="36">
        <v>0</v>
      </c>
      <c r="G784" s="36">
        <v>0</v>
      </c>
      <c r="H784" s="36">
        <v>0</v>
      </c>
    </row>
    <row r="785" spans="1:8" x14ac:dyDescent="0.3">
      <c r="A785" s="44" t="s">
        <v>866</v>
      </c>
      <c r="B785" s="44"/>
      <c r="C785" s="44"/>
      <c r="D785" s="44"/>
      <c r="E785" s="44"/>
      <c r="F785" s="44"/>
      <c r="G785" s="44"/>
      <c r="H785" s="44"/>
    </row>
    <row r="786" spans="1:8" x14ac:dyDescent="0.3">
      <c r="A786" s="35" t="s">
        <v>199</v>
      </c>
      <c r="B786" s="36" t="s">
        <v>264</v>
      </c>
      <c r="C786" s="36" t="s">
        <v>121</v>
      </c>
      <c r="D786" s="36" t="s">
        <v>763</v>
      </c>
      <c r="E786" s="37">
        <v>40342</v>
      </c>
      <c r="F786" s="36" t="s">
        <v>199</v>
      </c>
      <c r="G786" s="36" t="s">
        <v>199</v>
      </c>
      <c r="H786" s="36" t="s">
        <v>199</v>
      </c>
    </row>
    <row r="787" spans="1:8" x14ac:dyDescent="0.3">
      <c r="A787" s="35" t="s">
        <v>412</v>
      </c>
      <c r="B787" s="36" t="s">
        <v>264</v>
      </c>
      <c r="C787" s="36" t="s">
        <v>121</v>
      </c>
      <c r="D787" s="36" t="s">
        <v>763</v>
      </c>
      <c r="E787" s="37">
        <v>40341</v>
      </c>
      <c r="F787" s="36">
        <v>66.599999999999994</v>
      </c>
      <c r="G787" s="36">
        <v>1</v>
      </c>
      <c r="H787" s="36">
        <v>0</v>
      </c>
    </row>
    <row r="788" spans="1:8" x14ac:dyDescent="0.3">
      <c r="A788" s="44" t="s">
        <v>867</v>
      </c>
      <c r="B788" s="44"/>
      <c r="C788" s="44"/>
      <c r="D788" s="44"/>
      <c r="E788" s="44"/>
      <c r="F788" s="44"/>
      <c r="G788" s="44"/>
      <c r="H788" s="44"/>
    </row>
    <row r="789" spans="1:8" x14ac:dyDescent="0.3">
      <c r="A789" s="35" t="s">
        <v>868</v>
      </c>
      <c r="B789" s="36" t="s">
        <v>115</v>
      </c>
      <c r="C789" s="36" t="s">
        <v>16</v>
      </c>
      <c r="D789" s="36" t="s">
        <v>763</v>
      </c>
      <c r="E789" s="37">
        <v>40334</v>
      </c>
      <c r="F789" s="36">
        <v>80</v>
      </c>
      <c r="G789" s="36">
        <v>1</v>
      </c>
      <c r="H789" s="36">
        <v>0</v>
      </c>
    </row>
    <row r="790" spans="1:8" x14ac:dyDescent="0.3">
      <c r="A790" s="35" t="s">
        <v>869</v>
      </c>
      <c r="B790" s="36" t="s">
        <v>264</v>
      </c>
      <c r="C790" s="36" t="s">
        <v>16</v>
      </c>
      <c r="D790" s="36" t="s">
        <v>763</v>
      </c>
      <c r="E790" s="37">
        <v>40332</v>
      </c>
      <c r="F790" s="36">
        <v>52</v>
      </c>
      <c r="G790" s="36">
        <v>0</v>
      </c>
      <c r="H790" s="36">
        <v>0</v>
      </c>
    </row>
    <row r="791" spans="1:8" x14ac:dyDescent="0.3">
      <c r="A791" s="35" t="s">
        <v>870</v>
      </c>
      <c r="B791" s="36" t="s">
        <v>115</v>
      </c>
      <c r="C791" s="36" t="s">
        <v>16</v>
      </c>
      <c r="D791" s="36" t="s">
        <v>761</v>
      </c>
      <c r="E791" s="37">
        <v>40328</v>
      </c>
      <c r="F791" s="36">
        <v>101</v>
      </c>
      <c r="G791" s="36">
        <v>6</v>
      </c>
      <c r="H791" s="36">
        <v>2</v>
      </c>
    </row>
    <row r="792" spans="1:8" x14ac:dyDescent="0.3">
      <c r="A792" s="35" t="s">
        <v>871</v>
      </c>
      <c r="B792" s="36" t="s">
        <v>264</v>
      </c>
      <c r="C792" s="36" t="s">
        <v>16</v>
      </c>
      <c r="D792" s="36" t="s">
        <v>761</v>
      </c>
      <c r="E792" s="37">
        <v>40326</v>
      </c>
      <c r="F792" s="36">
        <v>95.8</v>
      </c>
      <c r="G792" s="36">
        <v>6</v>
      </c>
      <c r="H792" s="36">
        <v>4</v>
      </c>
    </row>
    <row r="793" spans="1:8" x14ac:dyDescent="0.3">
      <c r="A793" s="44" t="s">
        <v>872</v>
      </c>
      <c r="B793" s="44"/>
      <c r="C793" s="44"/>
      <c r="D793" s="44"/>
      <c r="E793" s="44"/>
      <c r="F793" s="44"/>
      <c r="G793" s="44"/>
      <c r="H793" s="44"/>
    </row>
    <row r="794" spans="1:8" x14ac:dyDescent="0.3">
      <c r="A794" s="35" t="s">
        <v>199</v>
      </c>
      <c r="B794" s="36" t="s">
        <v>115</v>
      </c>
      <c r="C794" s="36" t="s">
        <v>121</v>
      </c>
      <c r="D794" s="36" t="s">
        <v>126</v>
      </c>
      <c r="E794" s="37">
        <v>40309</v>
      </c>
      <c r="F794" s="36" t="s">
        <v>199</v>
      </c>
      <c r="G794" s="36" t="s">
        <v>199</v>
      </c>
      <c r="H794" s="36" t="s">
        <v>199</v>
      </c>
    </row>
    <row r="795" spans="1:8" x14ac:dyDescent="0.3">
      <c r="A795" s="35" t="s">
        <v>323</v>
      </c>
      <c r="B795" s="36" t="s">
        <v>208</v>
      </c>
      <c r="C795" s="36" t="s">
        <v>121</v>
      </c>
      <c r="D795" s="36" t="s">
        <v>122</v>
      </c>
      <c r="E795" s="37">
        <v>40307</v>
      </c>
      <c r="F795" s="36">
        <v>62.5</v>
      </c>
      <c r="G795" s="36">
        <v>1</v>
      </c>
      <c r="H795" s="36">
        <v>0</v>
      </c>
    </row>
    <row r="796" spans="1:8" x14ac:dyDescent="0.3">
      <c r="A796" s="35" t="s">
        <v>873</v>
      </c>
      <c r="B796" s="36" t="s">
        <v>32</v>
      </c>
      <c r="C796" s="36" t="s">
        <v>121</v>
      </c>
      <c r="D796" s="36" t="s">
        <v>122</v>
      </c>
      <c r="E796" s="37">
        <v>40305</v>
      </c>
      <c r="F796" s="36">
        <v>171.7</v>
      </c>
      <c r="G796" s="36">
        <v>4</v>
      </c>
      <c r="H796" s="36">
        <v>6</v>
      </c>
    </row>
    <row r="797" spans="1:8" x14ac:dyDescent="0.3">
      <c r="A797" s="44" t="s">
        <v>874</v>
      </c>
      <c r="B797" s="44"/>
      <c r="C797" s="44"/>
      <c r="D797" s="44"/>
      <c r="E797" s="44"/>
      <c r="F797" s="44"/>
      <c r="G797" s="44"/>
      <c r="H797" s="44"/>
    </row>
    <row r="798" spans="1:8" x14ac:dyDescent="0.3">
      <c r="A798" s="35" t="s">
        <v>63</v>
      </c>
      <c r="B798" s="36" t="s">
        <v>60</v>
      </c>
      <c r="C798" s="36" t="s">
        <v>5</v>
      </c>
      <c r="D798" s="36" t="s">
        <v>300</v>
      </c>
      <c r="E798" s="37">
        <v>40292</v>
      </c>
      <c r="F798" s="36">
        <v>0</v>
      </c>
      <c r="G798" s="36">
        <v>0</v>
      </c>
      <c r="H798" s="36">
        <v>0</v>
      </c>
    </row>
    <row r="799" spans="1:8" x14ac:dyDescent="0.3">
      <c r="A799" s="35" t="s">
        <v>302</v>
      </c>
      <c r="B799" s="36" t="s">
        <v>56</v>
      </c>
      <c r="C799" s="36" t="s">
        <v>5</v>
      </c>
      <c r="D799" s="36" t="s">
        <v>300</v>
      </c>
      <c r="E799" s="37">
        <v>40290</v>
      </c>
      <c r="F799" s="36">
        <v>40</v>
      </c>
      <c r="G799" s="36">
        <v>0</v>
      </c>
      <c r="H799" s="36">
        <v>0</v>
      </c>
    </row>
    <row r="800" spans="1:8" x14ac:dyDescent="0.3">
      <c r="A800" s="35" t="s">
        <v>273</v>
      </c>
      <c r="B800" s="36" t="s">
        <v>8</v>
      </c>
      <c r="C800" s="36" t="s">
        <v>5</v>
      </c>
      <c r="D800" s="36" t="s">
        <v>9</v>
      </c>
      <c r="E800" s="37">
        <v>40286</v>
      </c>
      <c r="F800" s="36">
        <v>122.2</v>
      </c>
      <c r="G800" s="36">
        <v>2</v>
      </c>
      <c r="H800" s="36">
        <v>0</v>
      </c>
    </row>
    <row r="801" spans="1:8" x14ac:dyDescent="0.3">
      <c r="A801" s="35" t="s">
        <v>875</v>
      </c>
      <c r="B801" s="36" t="s">
        <v>40</v>
      </c>
      <c r="C801" s="36" t="s">
        <v>5</v>
      </c>
      <c r="D801" s="36" t="s">
        <v>154</v>
      </c>
      <c r="E801" s="37">
        <v>40284</v>
      </c>
      <c r="F801" s="36">
        <v>178.9</v>
      </c>
      <c r="G801" s="36">
        <v>6</v>
      </c>
      <c r="H801" s="36">
        <v>3</v>
      </c>
    </row>
    <row r="802" spans="1:8" x14ac:dyDescent="0.3">
      <c r="A802" s="35" t="s">
        <v>876</v>
      </c>
      <c r="B802" s="36" t="s">
        <v>60</v>
      </c>
      <c r="C802" s="36" t="s">
        <v>5</v>
      </c>
      <c r="D802" s="36" t="s">
        <v>80</v>
      </c>
      <c r="E802" s="37">
        <v>40280</v>
      </c>
      <c r="F802" s="36">
        <v>110.8</v>
      </c>
      <c r="G802" s="36">
        <v>7</v>
      </c>
      <c r="H802" s="36">
        <v>0</v>
      </c>
    </row>
    <row r="803" spans="1:8" x14ac:dyDescent="0.3">
      <c r="A803" s="35" t="s">
        <v>779</v>
      </c>
      <c r="B803" s="36" t="s">
        <v>56</v>
      </c>
      <c r="C803" s="36" t="s">
        <v>5</v>
      </c>
      <c r="D803" s="36" t="s">
        <v>80</v>
      </c>
      <c r="E803" s="37">
        <v>40278</v>
      </c>
      <c r="F803" s="36">
        <v>53.3</v>
      </c>
      <c r="G803" s="36">
        <v>0</v>
      </c>
      <c r="H803" s="36">
        <v>0</v>
      </c>
    </row>
    <row r="804" spans="1:8" x14ac:dyDescent="0.3">
      <c r="A804" s="35" t="s">
        <v>144</v>
      </c>
      <c r="B804" s="36" t="s">
        <v>60</v>
      </c>
      <c r="C804" s="36" t="s">
        <v>5</v>
      </c>
      <c r="D804" s="36" t="s">
        <v>103</v>
      </c>
      <c r="E804" s="37">
        <v>40276</v>
      </c>
      <c r="F804" s="36">
        <v>120</v>
      </c>
      <c r="G804" s="36">
        <v>1</v>
      </c>
      <c r="H804" s="36">
        <v>0</v>
      </c>
    </row>
    <row r="805" spans="1:8" x14ac:dyDescent="0.3">
      <c r="A805" s="35" t="s">
        <v>877</v>
      </c>
      <c r="B805" s="36" t="s">
        <v>4</v>
      </c>
      <c r="C805" s="36" t="s">
        <v>5</v>
      </c>
      <c r="D805" s="36" t="s">
        <v>80</v>
      </c>
      <c r="E805" s="37">
        <v>40273</v>
      </c>
      <c r="F805" s="36">
        <v>165.9</v>
      </c>
      <c r="G805" s="36">
        <v>8</v>
      </c>
      <c r="H805" s="36">
        <v>2</v>
      </c>
    </row>
    <row r="806" spans="1:8" x14ac:dyDescent="0.3">
      <c r="A806" s="35" t="s">
        <v>14</v>
      </c>
      <c r="B806" s="36" t="s">
        <v>878</v>
      </c>
      <c r="C806" s="36" t="s">
        <v>5</v>
      </c>
      <c r="D806" s="36" t="s">
        <v>12</v>
      </c>
      <c r="E806" s="37">
        <v>40271</v>
      </c>
      <c r="F806" s="36">
        <v>84.6</v>
      </c>
      <c r="G806" s="36">
        <v>0</v>
      </c>
      <c r="H806" s="36">
        <v>0</v>
      </c>
    </row>
    <row r="807" spans="1:8" x14ac:dyDescent="0.3">
      <c r="A807" s="35" t="s">
        <v>299</v>
      </c>
      <c r="B807" s="36" t="s">
        <v>11</v>
      </c>
      <c r="C807" s="36" t="s">
        <v>5</v>
      </c>
      <c r="D807" s="36" t="s">
        <v>139</v>
      </c>
      <c r="E807" s="37">
        <v>40269</v>
      </c>
      <c r="F807" s="36">
        <v>33.299999999999997</v>
      </c>
      <c r="G807" s="36">
        <v>0</v>
      </c>
      <c r="H807" s="36">
        <v>0</v>
      </c>
    </row>
    <row r="808" spans="1:8" x14ac:dyDescent="0.3">
      <c r="A808" s="35" t="s">
        <v>879</v>
      </c>
      <c r="B808" s="36" t="s">
        <v>878</v>
      </c>
      <c r="C808" s="36" t="s">
        <v>5</v>
      </c>
      <c r="D808" s="36" t="s">
        <v>300</v>
      </c>
      <c r="E808" s="37">
        <v>40265</v>
      </c>
      <c r="F808" s="36">
        <v>160.69999999999999</v>
      </c>
      <c r="G808" s="36">
        <v>3</v>
      </c>
      <c r="H808" s="36">
        <v>2</v>
      </c>
    </row>
    <row r="809" spans="1:8" x14ac:dyDescent="0.3">
      <c r="A809" s="35" t="s">
        <v>880</v>
      </c>
      <c r="B809" s="36" t="s">
        <v>4</v>
      </c>
      <c r="C809" s="36" t="s">
        <v>5</v>
      </c>
      <c r="D809" s="36" t="s">
        <v>41</v>
      </c>
      <c r="E809" s="37">
        <v>40263</v>
      </c>
      <c r="F809" s="36">
        <v>140</v>
      </c>
      <c r="G809" s="36">
        <v>2</v>
      </c>
      <c r="H809" s="36">
        <v>3</v>
      </c>
    </row>
    <row r="810" spans="1:8" x14ac:dyDescent="0.3">
      <c r="A810" s="35" t="s">
        <v>881</v>
      </c>
      <c r="B810" s="36" t="s">
        <v>8</v>
      </c>
      <c r="C810" s="36" t="s">
        <v>5</v>
      </c>
      <c r="D810" s="36" t="s">
        <v>78</v>
      </c>
      <c r="E810" s="37">
        <v>40258</v>
      </c>
      <c r="F810" s="36">
        <v>150</v>
      </c>
      <c r="G810" s="36">
        <v>3</v>
      </c>
      <c r="H810" s="36">
        <v>3</v>
      </c>
    </row>
    <row r="811" spans="1:8" x14ac:dyDescent="0.3">
      <c r="A811" s="35" t="s">
        <v>75</v>
      </c>
      <c r="B811" s="36" t="s">
        <v>40</v>
      </c>
      <c r="C811" s="36" t="s">
        <v>5</v>
      </c>
      <c r="D811" s="36" t="s">
        <v>78</v>
      </c>
      <c r="E811" s="37">
        <v>40256</v>
      </c>
      <c r="F811" s="36">
        <v>50</v>
      </c>
      <c r="G811" s="36">
        <v>0</v>
      </c>
      <c r="H811" s="36">
        <v>0</v>
      </c>
    </row>
    <row r="812" spans="1:8" x14ac:dyDescent="0.3">
      <c r="A812" s="35" t="s">
        <v>882</v>
      </c>
      <c r="B812" s="36" t="s">
        <v>56</v>
      </c>
      <c r="C812" s="36" t="s">
        <v>5</v>
      </c>
      <c r="D812" s="36" t="s">
        <v>64</v>
      </c>
      <c r="E812" s="37">
        <v>40251</v>
      </c>
      <c r="F812" s="36">
        <v>190</v>
      </c>
      <c r="G812" s="36">
        <v>2</v>
      </c>
      <c r="H812" s="36">
        <v>1</v>
      </c>
    </row>
    <row r="813" spans="1:8" x14ac:dyDescent="0.3">
      <c r="A813" s="35" t="s">
        <v>61</v>
      </c>
      <c r="B813" s="36" t="s">
        <v>11</v>
      </c>
      <c r="C813" s="36" t="s">
        <v>5</v>
      </c>
      <c r="D813" s="36" t="s">
        <v>300</v>
      </c>
      <c r="E813" s="37">
        <v>40249</v>
      </c>
      <c r="F813" s="36">
        <v>108.3</v>
      </c>
      <c r="G813" s="36">
        <v>2</v>
      </c>
      <c r="H813" s="36">
        <v>0</v>
      </c>
    </row>
    <row r="814" spans="1:8" x14ac:dyDescent="0.3">
      <c r="A814" s="44" t="s">
        <v>883</v>
      </c>
      <c r="B814" s="44"/>
      <c r="C814" s="44"/>
      <c r="D814" s="44"/>
      <c r="E814" s="44"/>
      <c r="F814" s="44"/>
      <c r="G814" s="44"/>
      <c r="H814" s="44"/>
    </row>
    <row r="815" spans="1:8" x14ac:dyDescent="0.3">
      <c r="A815" s="35" t="s">
        <v>884</v>
      </c>
      <c r="B815" s="36" t="s">
        <v>24</v>
      </c>
      <c r="C815" s="36" t="s">
        <v>16</v>
      </c>
      <c r="D815" s="36" t="s">
        <v>41</v>
      </c>
      <c r="E815" s="37">
        <v>40236</v>
      </c>
      <c r="F815" s="36">
        <v>78.599999999999994</v>
      </c>
      <c r="G815" s="36">
        <v>3</v>
      </c>
      <c r="H815" s="36">
        <v>0</v>
      </c>
    </row>
    <row r="816" spans="1:8" x14ac:dyDescent="0.3">
      <c r="A816" s="44" t="s">
        <v>885</v>
      </c>
      <c r="B816" s="44"/>
      <c r="C816" s="44"/>
      <c r="D816" s="44"/>
      <c r="E816" s="44"/>
      <c r="F816" s="44"/>
      <c r="G816" s="44"/>
      <c r="H816" s="44"/>
    </row>
    <row r="817" spans="1:8" x14ac:dyDescent="0.3">
      <c r="A817" s="35" t="s">
        <v>886</v>
      </c>
      <c r="B817" s="36" t="s">
        <v>115</v>
      </c>
      <c r="C817" s="36" t="s">
        <v>121</v>
      </c>
      <c r="D817" s="36" t="s">
        <v>80</v>
      </c>
      <c r="E817" s="37">
        <v>40156</v>
      </c>
      <c r="F817" s="36">
        <v>75</v>
      </c>
      <c r="G817" s="36">
        <v>0</v>
      </c>
      <c r="H817" s="36">
        <v>0</v>
      </c>
    </row>
    <row r="818" spans="1:8" x14ac:dyDescent="0.3">
      <c r="A818" s="44" t="s">
        <v>887</v>
      </c>
      <c r="B818" s="44"/>
      <c r="C818" s="44"/>
      <c r="D818" s="44"/>
      <c r="E818" s="44"/>
      <c r="F818" s="44"/>
      <c r="G818" s="44"/>
      <c r="H818" s="44"/>
    </row>
    <row r="819" spans="1:8" x14ac:dyDescent="0.3">
      <c r="A819" s="35" t="s">
        <v>273</v>
      </c>
      <c r="B819" s="36" t="s">
        <v>208</v>
      </c>
      <c r="C819" s="36" t="s">
        <v>16</v>
      </c>
      <c r="D819" s="36" t="s">
        <v>126</v>
      </c>
      <c r="E819" s="37">
        <v>39997</v>
      </c>
      <c r="F819" s="36">
        <v>122.2</v>
      </c>
      <c r="G819" s="36">
        <v>0</v>
      </c>
      <c r="H819" s="36">
        <v>0</v>
      </c>
    </row>
    <row r="820" spans="1:8" x14ac:dyDescent="0.3">
      <c r="A820" s="35" t="s">
        <v>172</v>
      </c>
      <c r="B820" s="36" t="s">
        <v>208</v>
      </c>
      <c r="C820" s="36" t="s">
        <v>16</v>
      </c>
      <c r="D820" s="36" t="s">
        <v>770</v>
      </c>
      <c r="E820" s="37">
        <v>39992</v>
      </c>
      <c r="F820" s="36">
        <v>0</v>
      </c>
      <c r="G820" s="36">
        <v>0</v>
      </c>
      <c r="H820" s="36">
        <v>0</v>
      </c>
    </row>
    <row r="821" spans="1:8" x14ac:dyDescent="0.3">
      <c r="A821" s="35" t="s">
        <v>888</v>
      </c>
      <c r="B821" s="36" t="s">
        <v>208</v>
      </c>
      <c r="C821" s="36" t="s">
        <v>16</v>
      </c>
      <c r="D821" s="36" t="s">
        <v>770</v>
      </c>
      <c r="E821" s="37">
        <v>39990</v>
      </c>
      <c r="F821" s="36">
        <v>33.299999999999997</v>
      </c>
      <c r="G821" s="36">
        <v>0</v>
      </c>
      <c r="H821" s="36">
        <v>0</v>
      </c>
    </row>
    <row r="822" spans="1:8" x14ac:dyDescent="0.3">
      <c r="A822" s="44" t="s">
        <v>889</v>
      </c>
      <c r="B822" s="44"/>
      <c r="C822" s="44"/>
      <c r="D822" s="44"/>
      <c r="E822" s="44"/>
      <c r="F822" s="44"/>
      <c r="G822" s="44"/>
      <c r="H822" s="44"/>
    </row>
    <row r="823" spans="1:8" x14ac:dyDescent="0.3">
      <c r="A823" s="35" t="s">
        <v>890</v>
      </c>
      <c r="B823" s="36" t="s">
        <v>24</v>
      </c>
      <c r="C823" s="36" t="s">
        <v>121</v>
      </c>
      <c r="D823" s="36" t="s">
        <v>290</v>
      </c>
      <c r="E823" s="37">
        <v>39980</v>
      </c>
      <c r="F823" s="36">
        <v>103.5</v>
      </c>
      <c r="G823" s="36">
        <v>3</v>
      </c>
      <c r="H823" s="36">
        <v>0</v>
      </c>
    </row>
    <row r="824" spans="1:8" x14ac:dyDescent="0.3">
      <c r="A824" s="35" t="s">
        <v>394</v>
      </c>
      <c r="B824" s="36" t="s">
        <v>76</v>
      </c>
      <c r="C824" s="36" t="s">
        <v>121</v>
      </c>
      <c r="D824" s="36" t="s">
        <v>218</v>
      </c>
      <c r="E824" s="37">
        <v>39978</v>
      </c>
      <c r="F824" s="36">
        <v>112.5</v>
      </c>
      <c r="G824" s="36">
        <v>1</v>
      </c>
      <c r="H824" s="36">
        <v>0</v>
      </c>
    </row>
    <row r="825" spans="1:8" x14ac:dyDescent="0.3">
      <c r="A825" s="35" t="s">
        <v>610</v>
      </c>
      <c r="B825" s="36" t="s">
        <v>208</v>
      </c>
      <c r="C825" s="36" t="s">
        <v>121</v>
      </c>
      <c r="D825" s="36" t="s">
        <v>218</v>
      </c>
      <c r="E825" s="37">
        <v>39976</v>
      </c>
      <c r="F825" s="36">
        <v>166.6</v>
      </c>
      <c r="G825" s="36">
        <v>1</v>
      </c>
      <c r="H825" s="36">
        <v>0</v>
      </c>
    </row>
    <row r="826" spans="1:8" x14ac:dyDescent="0.3">
      <c r="A826" s="35" t="s">
        <v>891</v>
      </c>
      <c r="B826" s="36" t="s">
        <v>135</v>
      </c>
      <c r="C826" s="36" t="s">
        <v>121</v>
      </c>
      <c r="D826" s="36" t="s">
        <v>290</v>
      </c>
      <c r="E826" s="37">
        <v>39974</v>
      </c>
      <c r="F826" s="36">
        <v>115.5</v>
      </c>
      <c r="G826" s="36">
        <v>4</v>
      </c>
      <c r="H826" s="36">
        <v>1</v>
      </c>
    </row>
    <row r="827" spans="1:8" x14ac:dyDescent="0.3">
      <c r="A827" s="35" t="s">
        <v>892</v>
      </c>
      <c r="B827" s="36" t="s">
        <v>73</v>
      </c>
      <c r="C827" s="36" t="s">
        <v>121</v>
      </c>
      <c r="D827" s="36" t="s">
        <v>290</v>
      </c>
      <c r="E827" s="37">
        <v>39970</v>
      </c>
      <c r="F827" s="36">
        <v>156.5</v>
      </c>
      <c r="G827" s="36">
        <v>3</v>
      </c>
      <c r="H827" s="36">
        <v>2</v>
      </c>
    </row>
    <row r="828" spans="1:8" x14ac:dyDescent="0.3">
      <c r="A828" s="44" t="s">
        <v>893</v>
      </c>
      <c r="B828" s="44"/>
      <c r="C828" s="44"/>
      <c r="D828" s="44"/>
      <c r="E828" s="44"/>
      <c r="F828" s="44"/>
      <c r="G828" s="44"/>
      <c r="H828" s="44"/>
    </row>
    <row r="829" spans="1:8" x14ac:dyDescent="0.3">
      <c r="A829" s="35" t="s">
        <v>894</v>
      </c>
      <c r="B829" s="36" t="s">
        <v>60</v>
      </c>
      <c r="C829" s="36" t="s">
        <v>5</v>
      </c>
      <c r="D829" s="36" t="s">
        <v>530</v>
      </c>
      <c r="E829" s="37">
        <v>39957</v>
      </c>
      <c r="F829" s="36">
        <v>104.3</v>
      </c>
      <c r="G829" s="36">
        <v>1</v>
      </c>
      <c r="H829" s="36">
        <v>1</v>
      </c>
    </row>
    <row r="830" spans="1:8" x14ac:dyDescent="0.3">
      <c r="A830" s="35" t="s">
        <v>895</v>
      </c>
      <c r="B830" s="36" t="s">
        <v>8</v>
      </c>
      <c r="C830" s="36" t="s">
        <v>5</v>
      </c>
      <c r="D830" s="36" t="s">
        <v>180</v>
      </c>
      <c r="E830" s="37">
        <v>39955</v>
      </c>
      <c r="F830" s="36">
        <v>45.4</v>
      </c>
      <c r="G830" s="36">
        <v>0</v>
      </c>
      <c r="H830" s="36">
        <v>0</v>
      </c>
    </row>
    <row r="831" spans="1:8" x14ac:dyDescent="0.3">
      <c r="A831" s="35" t="s">
        <v>372</v>
      </c>
      <c r="B831" s="36" t="s">
        <v>60</v>
      </c>
      <c r="C831" s="36" t="s">
        <v>5</v>
      </c>
      <c r="D831" s="36" t="s">
        <v>180</v>
      </c>
      <c r="E831" s="37">
        <v>39954</v>
      </c>
      <c r="F831" s="36">
        <v>100</v>
      </c>
      <c r="G831" s="36">
        <v>1</v>
      </c>
      <c r="H831" s="36">
        <v>0</v>
      </c>
    </row>
    <row r="832" spans="1:8" x14ac:dyDescent="0.3">
      <c r="A832" s="35" t="s">
        <v>896</v>
      </c>
      <c r="B832" s="36" t="s">
        <v>40</v>
      </c>
      <c r="C832" s="36" t="s">
        <v>5</v>
      </c>
      <c r="D832" s="36" t="s">
        <v>530</v>
      </c>
      <c r="E832" s="37">
        <v>39950</v>
      </c>
      <c r="F832" s="36">
        <v>161.5</v>
      </c>
      <c r="G832" s="36">
        <v>3</v>
      </c>
      <c r="H832" s="36">
        <v>3</v>
      </c>
    </row>
    <row r="833" spans="1:8" x14ac:dyDescent="0.3">
      <c r="A833" s="35" t="s">
        <v>897</v>
      </c>
      <c r="B833" s="36" t="s">
        <v>11</v>
      </c>
      <c r="C833" s="36" t="s">
        <v>5</v>
      </c>
      <c r="D833" s="36" t="s">
        <v>530</v>
      </c>
      <c r="E833" s="37">
        <v>39949</v>
      </c>
      <c r="F833" s="36">
        <v>246.1</v>
      </c>
      <c r="G833" s="36">
        <v>3</v>
      </c>
      <c r="H833" s="36">
        <v>2</v>
      </c>
    </row>
    <row r="834" spans="1:8" x14ac:dyDescent="0.3">
      <c r="A834" s="35" t="s">
        <v>304</v>
      </c>
      <c r="B834" s="36" t="s">
        <v>8</v>
      </c>
      <c r="C834" s="36" t="s">
        <v>5</v>
      </c>
      <c r="D834" s="36" t="s">
        <v>535</v>
      </c>
      <c r="E834" s="37">
        <v>39946</v>
      </c>
      <c r="F834" s="36">
        <v>85.7</v>
      </c>
      <c r="G834" s="36">
        <v>1</v>
      </c>
      <c r="H834" s="36">
        <v>0</v>
      </c>
    </row>
    <row r="835" spans="1:8" x14ac:dyDescent="0.3">
      <c r="A835" s="35" t="s">
        <v>773</v>
      </c>
      <c r="B835" s="36" t="s">
        <v>4</v>
      </c>
      <c r="C835" s="36" t="s">
        <v>5</v>
      </c>
      <c r="D835" s="36" t="s">
        <v>898</v>
      </c>
      <c r="E835" s="37">
        <v>39944</v>
      </c>
      <c r="F835" s="36">
        <v>64.2</v>
      </c>
      <c r="G835" s="36">
        <v>0</v>
      </c>
      <c r="H835" s="36">
        <v>0</v>
      </c>
    </row>
    <row r="836" spans="1:8" x14ac:dyDescent="0.3">
      <c r="A836" s="35" t="s">
        <v>899</v>
      </c>
      <c r="B836" s="36" t="s">
        <v>40</v>
      </c>
      <c r="C836" s="36" t="s">
        <v>5</v>
      </c>
      <c r="D836" s="36" t="s">
        <v>898</v>
      </c>
      <c r="E836" s="37">
        <v>39942</v>
      </c>
      <c r="F836" s="36">
        <v>60</v>
      </c>
      <c r="G836" s="36">
        <v>1</v>
      </c>
      <c r="H836" s="36">
        <v>0</v>
      </c>
    </row>
    <row r="837" spans="1:8" x14ac:dyDescent="0.3">
      <c r="A837" s="35" t="s">
        <v>900</v>
      </c>
      <c r="B837" s="36" t="s">
        <v>878</v>
      </c>
      <c r="C837" s="36" t="s">
        <v>5</v>
      </c>
      <c r="D837" s="36" t="s">
        <v>180</v>
      </c>
      <c r="E837" s="37">
        <v>39939</v>
      </c>
      <c r="F837" s="36">
        <v>105.5</v>
      </c>
      <c r="G837" s="36">
        <v>2</v>
      </c>
      <c r="H837" s="36">
        <v>1</v>
      </c>
    </row>
    <row r="838" spans="1:8" x14ac:dyDescent="0.3">
      <c r="A838" s="35" t="s">
        <v>901</v>
      </c>
      <c r="B838" s="36" t="s">
        <v>56</v>
      </c>
      <c r="C838" s="36" t="s">
        <v>5</v>
      </c>
      <c r="D838" s="36" t="s">
        <v>902</v>
      </c>
      <c r="E838" s="37">
        <v>39937</v>
      </c>
      <c r="F838" s="36">
        <v>105</v>
      </c>
      <c r="G838" s="36">
        <v>2</v>
      </c>
      <c r="H838" s="36">
        <v>1</v>
      </c>
    </row>
    <row r="839" spans="1:8" x14ac:dyDescent="0.3">
      <c r="A839" s="35" t="s">
        <v>467</v>
      </c>
      <c r="B839" s="36" t="s">
        <v>4</v>
      </c>
      <c r="C839" s="36" t="s">
        <v>5</v>
      </c>
      <c r="D839" s="36" t="s">
        <v>532</v>
      </c>
      <c r="E839" s="37">
        <v>39935</v>
      </c>
      <c r="F839" s="36">
        <v>118.7</v>
      </c>
      <c r="G839" s="36">
        <v>2</v>
      </c>
      <c r="H839" s="36">
        <v>2</v>
      </c>
    </row>
    <row r="840" spans="1:8" x14ac:dyDescent="0.3">
      <c r="A840" s="35" t="s">
        <v>903</v>
      </c>
      <c r="B840" s="36" t="s">
        <v>8</v>
      </c>
      <c r="C840" s="36" t="s">
        <v>5</v>
      </c>
      <c r="D840" s="36" t="s">
        <v>180</v>
      </c>
      <c r="E840" s="37">
        <v>39933</v>
      </c>
      <c r="F840" s="36">
        <v>85</v>
      </c>
      <c r="G840" s="36">
        <v>2</v>
      </c>
      <c r="H840" s="36">
        <v>0</v>
      </c>
    </row>
    <row r="841" spans="1:8" x14ac:dyDescent="0.3">
      <c r="A841" s="35" t="s">
        <v>904</v>
      </c>
      <c r="B841" s="36" t="s">
        <v>56</v>
      </c>
      <c r="C841" s="36" t="s">
        <v>5</v>
      </c>
      <c r="D841" s="36" t="s">
        <v>535</v>
      </c>
      <c r="E841" s="37">
        <v>39930</v>
      </c>
      <c r="F841" s="36">
        <v>94.7</v>
      </c>
      <c r="G841" s="36">
        <v>0</v>
      </c>
      <c r="H841" s="36">
        <v>1</v>
      </c>
    </row>
    <row r="842" spans="1:8" x14ac:dyDescent="0.3">
      <c r="A842" s="35" t="s">
        <v>227</v>
      </c>
      <c r="B842" s="36" t="s">
        <v>878</v>
      </c>
      <c r="C842" s="36" t="s">
        <v>5</v>
      </c>
      <c r="D842" s="36" t="s">
        <v>535</v>
      </c>
      <c r="E842" s="37">
        <v>39928</v>
      </c>
      <c r="F842" s="36">
        <v>60</v>
      </c>
      <c r="G842" s="36">
        <v>0</v>
      </c>
      <c r="H842" s="36">
        <v>0</v>
      </c>
    </row>
    <row r="843" spans="1:8" x14ac:dyDescent="0.3">
      <c r="A843" s="35" t="s">
        <v>905</v>
      </c>
      <c r="B843" s="36" t="s">
        <v>60</v>
      </c>
      <c r="C843" s="36" t="s">
        <v>5</v>
      </c>
      <c r="D843" s="36" t="s">
        <v>176</v>
      </c>
      <c r="E843" s="37">
        <v>39925</v>
      </c>
      <c r="F843" s="36">
        <v>173.3</v>
      </c>
      <c r="G843" s="36">
        <v>1</v>
      </c>
      <c r="H843" s="36">
        <v>5</v>
      </c>
    </row>
    <row r="844" spans="1:8" x14ac:dyDescent="0.3">
      <c r="A844" s="35" t="s">
        <v>906</v>
      </c>
      <c r="B844" s="36" t="s">
        <v>11</v>
      </c>
      <c r="C844" s="36" t="s">
        <v>5</v>
      </c>
      <c r="D844" s="36" t="s">
        <v>176</v>
      </c>
      <c r="E844" s="37">
        <v>39922</v>
      </c>
      <c r="F844" s="36">
        <v>112.5</v>
      </c>
      <c r="G844" s="36">
        <v>3</v>
      </c>
      <c r="H844" s="36">
        <v>2</v>
      </c>
    </row>
    <row r="845" spans="1:8" x14ac:dyDescent="0.3">
      <c r="A845" s="44" t="s">
        <v>907</v>
      </c>
      <c r="B845" s="44"/>
      <c r="C845" s="44"/>
      <c r="D845" s="44"/>
      <c r="E845" s="44"/>
      <c r="F845" s="44"/>
      <c r="G845" s="44"/>
      <c r="H845" s="44"/>
    </row>
    <row r="846" spans="1:8" x14ac:dyDescent="0.3">
      <c r="A846" s="35" t="s">
        <v>908</v>
      </c>
      <c r="B846" s="36" t="s">
        <v>15</v>
      </c>
      <c r="C846" s="36" t="s">
        <v>16</v>
      </c>
      <c r="D846" s="36" t="s">
        <v>407</v>
      </c>
      <c r="E846" s="37">
        <v>39886</v>
      </c>
      <c r="F846" s="36">
        <v>58.1</v>
      </c>
      <c r="G846" s="36">
        <v>1</v>
      </c>
      <c r="H846" s="36">
        <v>1</v>
      </c>
    </row>
    <row r="847" spans="1:8" x14ac:dyDescent="0.3">
      <c r="A847" s="35" t="s">
        <v>199</v>
      </c>
      <c r="B847" s="36" t="s">
        <v>15</v>
      </c>
      <c r="C847" s="36" t="s">
        <v>16</v>
      </c>
      <c r="D847" s="36" t="s">
        <v>405</v>
      </c>
      <c r="E847" s="37">
        <v>39883</v>
      </c>
      <c r="F847" s="36" t="s">
        <v>199</v>
      </c>
      <c r="G847" s="36" t="s">
        <v>199</v>
      </c>
      <c r="H847" s="36" t="s">
        <v>199</v>
      </c>
    </row>
    <row r="848" spans="1:8" x14ac:dyDescent="0.3">
      <c r="A848" s="44" t="s">
        <v>909</v>
      </c>
      <c r="B848" s="44"/>
      <c r="C848" s="44"/>
      <c r="D848" s="44"/>
      <c r="E848" s="44"/>
      <c r="F848" s="44"/>
      <c r="G848" s="44"/>
      <c r="H848" s="44"/>
    </row>
    <row r="849" spans="1:8" x14ac:dyDescent="0.3">
      <c r="A849" s="35" t="s">
        <v>910</v>
      </c>
      <c r="B849" s="36" t="s">
        <v>15</v>
      </c>
      <c r="C849" s="36" t="s">
        <v>121</v>
      </c>
      <c r="D849" s="36" t="s">
        <v>911</v>
      </c>
      <c r="E849" s="37">
        <v>39869</v>
      </c>
      <c r="F849" s="36">
        <v>100</v>
      </c>
      <c r="G849" s="36">
        <v>0</v>
      </c>
      <c r="H849" s="36">
        <v>1</v>
      </c>
    </row>
    <row r="850" spans="1:8" x14ac:dyDescent="0.3">
      <c r="A850" s="44" t="s">
        <v>912</v>
      </c>
      <c r="B850" s="44"/>
      <c r="C850" s="44"/>
      <c r="D850" s="44"/>
      <c r="E850" s="44"/>
      <c r="F850" s="44"/>
      <c r="G850" s="44"/>
      <c r="H850" s="44"/>
    </row>
    <row r="851" spans="1:8" x14ac:dyDescent="0.3">
      <c r="A851" s="35" t="s">
        <v>862</v>
      </c>
      <c r="B851" s="36" t="s">
        <v>115</v>
      </c>
      <c r="C851" s="36" t="s">
        <v>121</v>
      </c>
      <c r="D851" s="36" t="s">
        <v>116</v>
      </c>
      <c r="E851" s="37">
        <v>39854</v>
      </c>
      <c r="F851" s="36">
        <v>36.299999999999997</v>
      </c>
      <c r="G851" s="36">
        <v>0</v>
      </c>
      <c r="H851" s="36">
        <v>0</v>
      </c>
    </row>
    <row r="852" spans="1:8" x14ac:dyDescent="0.3">
      <c r="A852" s="44" t="s">
        <v>913</v>
      </c>
      <c r="B852" s="44"/>
      <c r="C852" s="44"/>
      <c r="D852" s="44"/>
      <c r="E852" s="44"/>
      <c r="F852" s="44"/>
      <c r="G852" s="44"/>
      <c r="H852" s="44"/>
    </row>
    <row r="853" spans="1:8" x14ac:dyDescent="0.3">
      <c r="A853" s="35" t="s">
        <v>914</v>
      </c>
      <c r="B853" s="36" t="s">
        <v>115</v>
      </c>
      <c r="C853" s="36" t="s">
        <v>16</v>
      </c>
      <c r="D853" s="36" t="s">
        <v>116</v>
      </c>
      <c r="E853" s="37">
        <v>39852</v>
      </c>
      <c r="F853" s="36">
        <v>68.099999999999994</v>
      </c>
      <c r="G853" s="36">
        <v>1</v>
      </c>
      <c r="H853" s="36">
        <v>0</v>
      </c>
    </row>
    <row r="854" spans="1:8" x14ac:dyDescent="0.3">
      <c r="A854" s="35" t="s">
        <v>915</v>
      </c>
      <c r="B854" s="36" t="s">
        <v>115</v>
      </c>
      <c r="C854" s="36" t="s">
        <v>16</v>
      </c>
      <c r="D854" s="36" t="s">
        <v>116</v>
      </c>
      <c r="E854" s="37">
        <v>39849</v>
      </c>
      <c r="F854" s="36">
        <v>66.599999999999994</v>
      </c>
      <c r="G854" s="36">
        <v>0</v>
      </c>
      <c r="H854" s="36">
        <v>0</v>
      </c>
    </row>
    <row r="855" spans="1:8" x14ac:dyDescent="0.3">
      <c r="A855" s="35" t="s">
        <v>916</v>
      </c>
      <c r="B855" s="36" t="s">
        <v>115</v>
      </c>
      <c r="C855" s="36" t="s">
        <v>16</v>
      </c>
      <c r="D855" s="36" t="s">
        <v>568</v>
      </c>
      <c r="E855" s="37">
        <v>39841</v>
      </c>
      <c r="F855" s="36">
        <v>83.3</v>
      </c>
      <c r="G855" s="36">
        <v>3</v>
      </c>
      <c r="H855" s="36">
        <v>0</v>
      </c>
    </row>
    <row r="856" spans="1:8" x14ac:dyDescent="0.3">
      <c r="A856" s="44" t="s">
        <v>917</v>
      </c>
      <c r="B856" s="44"/>
      <c r="C856" s="44"/>
      <c r="D856" s="44"/>
      <c r="E856" s="44"/>
      <c r="F856" s="44"/>
      <c r="G856" s="44"/>
      <c r="H856" s="44"/>
    </row>
    <row r="857" spans="1:8" x14ac:dyDescent="0.3">
      <c r="A857" s="35" t="s">
        <v>918</v>
      </c>
      <c r="B857" s="36" t="s">
        <v>76</v>
      </c>
      <c r="C857" s="36" t="s">
        <v>16</v>
      </c>
      <c r="D857" s="36" t="s">
        <v>78</v>
      </c>
      <c r="E857" s="37">
        <v>39778</v>
      </c>
      <c r="F857" s="36">
        <v>80</v>
      </c>
      <c r="G857" s="36">
        <v>1</v>
      </c>
      <c r="H857" s="36">
        <v>0</v>
      </c>
    </row>
    <row r="858" spans="1:8" x14ac:dyDescent="0.3">
      <c r="A858" s="35" t="s">
        <v>919</v>
      </c>
      <c r="B858" s="36" t="s">
        <v>76</v>
      </c>
      <c r="C858" s="36" t="s">
        <v>16</v>
      </c>
      <c r="D858" s="36" t="s">
        <v>107</v>
      </c>
      <c r="E858" s="37">
        <v>39772</v>
      </c>
      <c r="F858" s="36">
        <v>68.2</v>
      </c>
      <c r="G858" s="36">
        <v>3</v>
      </c>
      <c r="H858" s="36">
        <v>0</v>
      </c>
    </row>
    <row r="859" spans="1:8" x14ac:dyDescent="0.3">
      <c r="A859" s="35" t="s">
        <v>920</v>
      </c>
      <c r="B859" s="36" t="s">
        <v>76</v>
      </c>
      <c r="C859" s="36" t="s">
        <v>16</v>
      </c>
      <c r="D859" s="36" t="s">
        <v>17</v>
      </c>
      <c r="E859" s="37">
        <v>39769</v>
      </c>
      <c r="F859" s="36">
        <v>23</v>
      </c>
      <c r="G859" s="36">
        <v>0</v>
      </c>
      <c r="H859" s="36">
        <v>0</v>
      </c>
    </row>
    <row r="860" spans="1:8" x14ac:dyDescent="0.3">
      <c r="A860" s="35" t="s">
        <v>921</v>
      </c>
      <c r="B860" s="36" t="s">
        <v>76</v>
      </c>
      <c r="C860" s="36" t="s">
        <v>16</v>
      </c>
      <c r="D860" s="36" t="s">
        <v>19</v>
      </c>
      <c r="E860" s="37">
        <v>39766</v>
      </c>
      <c r="F860" s="36">
        <v>137.5</v>
      </c>
      <c r="G860" s="36">
        <v>1</v>
      </c>
      <c r="H860" s="36">
        <v>0</v>
      </c>
    </row>
    <row r="861" spans="1:8" x14ac:dyDescent="0.3">
      <c r="A861" s="44" t="s">
        <v>913</v>
      </c>
      <c r="B861" s="44"/>
      <c r="C861" s="44"/>
      <c r="D861" s="44"/>
      <c r="E861" s="44"/>
      <c r="F861" s="44"/>
      <c r="G861" s="44"/>
      <c r="H861" s="44"/>
    </row>
    <row r="862" spans="1:8" x14ac:dyDescent="0.3">
      <c r="A862" s="35" t="s">
        <v>227</v>
      </c>
      <c r="B862" s="36" t="s">
        <v>115</v>
      </c>
      <c r="C862" s="36" t="s">
        <v>16</v>
      </c>
      <c r="D862" s="36" t="s">
        <v>116</v>
      </c>
      <c r="E862" s="37">
        <v>39689</v>
      </c>
      <c r="F862" s="36">
        <v>60</v>
      </c>
      <c r="G862" s="36">
        <v>0</v>
      </c>
      <c r="H862" s="36">
        <v>0</v>
      </c>
    </row>
    <row r="863" spans="1:8" x14ac:dyDescent="0.3">
      <c r="A863" s="35" t="s">
        <v>444</v>
      </c>
      <c r="B863" s="36" t="s">
        <v>115</v>
      </c>
      <c r="C863" s="36" t="s">
        <v>16</v>
      </c>
      <c r="D863" s="36" t="s">
        <v>116</v>
      </c>
      <c r="E863" s="37">
        <v>39687</v>
      </c>
      <c r="F863" s="36">
        <v>78.2</v>
      </c>
      <c r="G863" s="36">
        <v>0</v>
      </c>
      <c r="H863" s="36">
        <v>0</v>
      </c>
    </row>
    <row r="864" spans="1:8" x14ac:dyDescent="0.3">
      <c r="A864" s="35" t="s">
        <v>922</v>
      </c>
      <c r="B864" s="36" t="s">
        <v>115</v>
      </c>
      <c r="C864" s="36" t="s">
        <v>16</v>
      </c>
      <c r="D864" s="36" t="s">
        <v>116</v>
      </c>
      <c r="E864" s="37">
        <v>39684</v>
      </c>
      <c r="F864" s="36">
        <v>100</v>
      </c>
      <c r="G864" s="36">
        <v>3</v>
      </c>
      <c r="H864" s="36">
        <v>0</v>
      </c>
    </row>
    <row r="865" spans="1:8" x14ac:dyDescent="0.3">
      <c r="A865" s="35" t="s">
        <v>172</v>
      </c>
      <c r="B865" s="36" t="s">
        <v>115</v>
      </c>
      <c r="C865" s="36" t="s">
        <v>16</v>
      </c>
      <c r="D865" s="36" t="s">
        <v>568</v>
      </c>
      <c r="E865" s="37">
        <v>39680</v>
      </c>
      <c r="F865" s="36">
        <v>0</v>
      </c>
      <c r="G865" s="36">
        <v>0</v>
      </c>
      <c r="H865" s="36">
        <v>0</v>
      </c>
    </row>
    <row r="866" spans="1:8" x14ac:dyDescent="0.3">
      <c r="A866" s="35" t="s">
        <v>923</v>
      </c>
      <c r="B866" s="36" t="s">
        <v>115</v>
      </c>
      <c r="C866" s="36" t="s">
        <v>16</v>
      </c>
      <c r="D866" s="36" t="s">
        <v>568</v>
      </c>
      <c r="E866" s="37">
        <v>39678</v>
      </c>
      <c r="F866" s="36">
        <v>61.2</v>
      </c>
      <c r="G866" s="36">
        <v>1</v>
      </c>
      <c r="H866" s="36">
        <v>1</v>
      </c>
    </row>
    <row r="867" spans="1:8" x14ac:dyDescent="0.3">
      <c r="A867" s="44" t="s">
        <v>924</v>
      </c>
      <c r="B867" s="44"/>
      <c r="C867" s="44"/>
      <c r="D867" s="44"/>
      <c r="E867" s="44"/>
      <c r="F867" s="44"/>
      <c r="G867" s="44"/>
      <c r="H867" s="44"/>
    </row>
    <row r="868" spans="1:8" x14ac:dyDescent="0.3">
      <c r="A868" s="35" t="s">
        <v>925</v>
      </c>
      <c r="B868" s="36" t="s">
        <v>115</v>
      </c>
      <c r="C868" s="36" t="s">
        <v>16</v>
      </c>
      <c r="D868" s="36" t="s">
        <v>926</v>
      </c>
      <c r="E868" s="37">
        <v>39635</v>
      </c>
      <c r="F868" s="36">
        <v>37.5</v>
      </c>
      <c r="G868" s="36">
        <v>0</v>
      </c>
      <c r="H868" s="36">
        <v>0</v>
      </c>
    </row>
    <row r="869" spans="1:8" x14ac:dyDescent="0.3">
      <c r="A869" s="35" t="s">
        <v>927</v>
      </c>
      <c r="B869" s="36" t="s">
        <v>115</v>
      </c>
      <c r="C869" s="36" t="s">
        <v>16</v>
      </c>
      <c r="D869" s="36" t="s">
        <v>926</v>
      </c>
      <c r="E869" s="37">
        <v>39632</v>
      </c>
      <c r="F869" s="36">
        <v>78.5</v>
      </c>
      <c r="G869" s="36">
        <v>2</v>
      </c>
      <c r="H869" s="36">
        <v>0</v>
      </c>
    </row>
    <row r="870" spans="1:8" x14ac:dyDescent="0.3">
      <c r="A870" s="35" t="s">
        <v>928</v>
      </c>
      <c r="B870" s="36" t="s">
        <v>71</v>
      </c>
      <c r="C870" s="36" t="s">
        <v>16</v>
      </c>
      <c r="D870" s="36" t="s">
        <v>926</v>
      </c>
      <c r="E870" s="37">
        <v>39631</v>
      </c>
      <c r="F870" s="36">
        <v>81.599999999999994</v>
      </c>
      <c r="G870" s="36">
        <v>4</v>
      </c>
      <c r="H870" s="36">
        <v>0</v>
      </c>
    </row>
    <row r="871" spans="1:8" x14ac:dyDescent="0.3">
      <c r="A871" s="35" t="s">
        <v>929</v>
      </c>
      <c r="B871" s="36" t="s">
        <v>73</v>
      </c>
      <c r="C871" s="36" t="s">
        <v>16</v>
      </c>
      <c r="D871" s="36" t="s">
        <v>926</v>
      </c>
      <c r="E871" s="37">
        <v>39627</v>
      </c>
      <c r="F871" s="36">
        <v>95.6</v>
      </c>
      <c r="G871" s="36">
        <v>2</v>
      </c>
      <c r="H871" s="36">
        <v>0</v>
      </c>
    </row>
    <row r="872" spans="1:8" x14ac:dyDescent="0.3">
      <c r="A872" s="35" t="s">
        <v>834</v>
      </c>
      <c r="B872" s="36" t="s">
        <v>71</v>
      </c>
      <c r="C872" s="36" t="s">
        <v>16</v>
      </c>
      <c r="D872" s="36" t="s">
        <v>926</v>
      </c>
      <c r="E872" s="37">
        <v>39625</v>
      </c>
      <c r="F872" s="36">
        <v>0</v>
      </c>
      <c r="G872" s="36">
        <v>0</v>
      </c>
      <c r="H872" s="36">
        <v>0</v>
      </c>
    </row>
    <row r="873" spans="1:8" x14ac:dyDescent="0.3">
      <c r="A873" s="35" t="s">
        <v>930</v>
      </c>
      <c r="B873" s="36" t="s">
        <v>277</v>
      </c>
      <c r="C873" s="36" t="s">
        <v>16</v>
      </c>
      <c r="D873" s="36" t="s">
        <v>926</v>
      </c>
      <c r="E873" s="37">
        <v>39624</v>
      </c>
      <c r="F873" s="36">
        <v>37.9</v>
      </c>
      <c r="G873" s="36">
        <v>0</v>
      </c>
      <c r="H873" s="36">
        <v>0</v>
      </c>
    </row>
    <row r="874" spans="1:8" x14ac:dyDescent="0.3">
      <c r="A874" s="44" t="s">
        <v>931</v>
      </c>
      <c r="B874" s="44"/>
      <c r="C874" s="44"/>
      <c r="D874" s="44"/>
      <c r="E874" s="44"/>
      <c r="F874" s="44"/>
      <c r="G874" s="44"/>
      <c r="H874" s="44"/>
    </row>
    <row r="875" spans="1:8" x14ac:dyDescent="0.3">
      <c r="A875" s="35" t="s">
        <v>932</v>
      </c>
      <c r="B875" s="36" t="s">
        <v>71</v>
      </c>
      <c r="C875" s="36" t="s">
        <v>16</v>
      </c>
      <c r="D875" s="36" t="s">
        <v>259</v>
      </c>
      <c r="E875" s="37">
        <v>39613</v>
      </c>
      <c r="F875" s="36">
        <v>88.8</v>
      </c>
      <c r="G875" s="36">
        <v>5</v>
      </c>
      <c r="H875" s="36">
        <v>0</v>
      </c>
    </row>
    <row r="876" spans="1:8" x14ac:dyDescent="0.3">
      <c r="A876" s="35" t="s">
        <v>933</v>
      </c>
      <c r="B876" s="36" t="s">
        <v>73</v>
      </c>
      <c r="C876" s="36" t="s">
        <v>16</v>
      </c>
      <c r="D876" s="36" t="s">
        <v>259</v>
      </c>
      <c r="E876" s="37">
        <v>39611</v>
      </c>
      <c r="F876" s="36">
        <v>60.4</v>
      </c>
      <c r="G876" s="36">
        <v>1</v>
      </c>
      <c r="H876" s="36">
        <v>1</v>
      </c>
    </row>
    <row r="877" spans="1:8" x14ac:dyDescent="0.3">
      <c r="A877" s="35" t="s">
        <v>934</v>
      </c>
      <c r="B877" s="36" t="s">
        <v>71</v>
      </c>
      <c r="C877" s="36" t="s">
        <v>16</v>
      </c>
      <c r="D877" s="36" t="s">
        <v>259</v>
      </c>
      <c r="E877" s="37">
        <v>39609</v>
      </c>
      <c r="F877" s="36">
        <v>33.299999999999997</v>
      </c>
      <c r="G877" s="36">
        <v>0</v>
      </c>
      <c r="H877" s="36">
        <v>0</v>
      </c>
    </row>
    <row r="878" spans="1:8" x14ac:dyDescent="0.3">
      <c r="A878" s="44" t="s">
        <v>935</v>
      </c>
      <c r="B878" s="44"/>
      <c r="C878" s="44"/>
      <c r="D878" s="44"/>
      <c r="E878" s="44"/>
      <c r="F878" s="44"/>
      <c r="G878" s="44"/>
      <c r="H878" s="44"/>
    </row>
    <row r="879" spans="1:8" x14ac:dyDescent="0.3">
      <c r="A879" s="35" t="s">
        <v>936</v>
      </c>
      <c r="B879" s="36" t="s">
        <v>60</v>
      </c>
      <c r="C879" s="36" t="s">
        <v>5</v>
      </c>
      <c r="D879" s="36" t="s">
        <v>54</v>
      </c>
      <c r="E879" s="37">
        <v>39593</v>
      </c>
      <c r="F879" s="36">
        <v>106.2</v>
      </c>
      <c r="G879" s="36">
        <v>2</v>
      </c>
      <c r="H879" s="36">
        <v>0</v>
      </c>
    </row>
    <row r="880" spans="1:8" x14ac:dyDescent="0.3">
      <c r="A880" s="35" t="s">
        <v>937</v>
      </c>
      <c r="B880" s="36" t="s">
        <v>40</v>
      </c>
      <c r="C880" s="36" t="s">
        <v>5</v>
      </c>
      <c r="D880" s="36" t="s">
        <v>173</v>
      </c>
      <c r="E880" s="37">
        <v>39591</v>
      </c>
      <c r="F880" s="36">
        <v>185.1</v>
      </c>
      <c r="G880" s="36">
        <v>3</v>
      </c>
      <c r="H880" s="36">
        <v>4</v>
      </c>
    </row>
    <row r="881" spans="1:8" x14ac:dyDescent="0.3">
      <c r="A881" s="35" t="s">
        <v>515</v>
      </c>
      <c r="B881" s="36" t="s">
        <v>878</v>
      </c>
      <c r="C881" s="36" t="s">
        <v>5</v>
      </c>
      <c r="D881" s="36" t="s">
        <v>54</v>
      </c>
      <c r="E881" s="37">
        <v>39586</v>
      </c>
      <c r="F881" s="36">
        <v>60</v>
      </c>
      <c r="G881" s="36">
        <v>1</v>
      </c>
      <c r="H881" s="36">
        <v>0</v>
      </c>
    </row>
    <row r="882" spans="1:8" x14ac:dyDescent="0.3">
      <c r="A882" s="35" t="s">
        <v>938</v>
      </c>
      <c r="B882" s="36" t="s">
        <v>8</v>
      </c>
      <c r="C882" s="36" t="s">
        <v>5</v>
      </c>
      <c r="D882" s="36" t="s">
        <v>9</v>
      </c>
      <c r="E882" s="37">
        <v>39583</v>
      </c>
      <c r="F882" s="36">
        <v>194.4</v>
      </c>
      <c r="G882" s="36">
        <v>3</v>
      </c>
      <c r="H882" s="36">
        <v>2</v>
      </c>
    </row>
    <row r="883" spans="1:8" x14ac:dyDescent="0.3">
      <c r="A883" s="35" t="s">
        <v>939</v>
      </c>
      <c r="B883" s="36" t="s">
        <v>11</v>
      </c>
      <c r="C883" s="36" t="s">
        <v>5</v>
      </c>
      <c r="D883" s="36" t="s">
        <v>54</v>
      </c>
      <c r="E883" s="37">
        <v>39579</v>
      </c>
      <c r="F883" s="36">
        <v>137.5</v>
      </c>
      <c r="G883" s="36">
        <v>3</v>
      </c>
      <c r="H883" s="36">
        <v>2</v>
      </c>
    </row>
    <row r="884" spans="1:8" x14ac:dyDescent="0.3">
      <c r="A884" s="35" t="s">
        <v>323</v>
      </c>
      <c r="B884" s="36" t="s">
        <v>4</v>
      </c>
      <c r="C884" s="36" t="s">
        <v>5</v>
      </c>
      <c r="D884" s="36" t="s">
        <v>46</v>
      </c>
      <c r="E884" s="37">
        <v>39577</v>
      </c>
      <c r="F884" s="36">
        <v>62.5</v>
      </c>
      <c r="G884" s="36">
        <v>0</v>
      </c>
      <c r="H884" s="36">
        <v>0</v>
      </c>
    </row>
    <row r="885" spans="1:8" x14ac:dyDescent="0.3">
      <c r="A885" s="35" t="s">
        <v>940</v>
      </c>
      <c r="B885" s="36" t="s">
        <v>56</v>
      </c>
      <c r="C885" s="36" t="s">
        <v>5</v>
      </c>
      <c r="D885" s="36" t="s">
        <v>64</v>
      </c>
      <c r="E885" s="37">
        <v>39574</v>
      </c>
      <c r="F885" s="36">
        <v>135.19999999999999</v>
      </c>
      <c r="G885" s="36">
        <v>2</v>
      </c>
      <c r="H885" s="36">
        <v>1</v>
      </c>
    </row>
    <row r="886" spans="1:8" x14ac:dyDescent="0.3">
      <c r="A886" s="35" t="s">
        <v>941</v>
      </c>
      <c r="B886" s="36" t="s">
        <v>60</v>
      </c>
      <c r="C886" s="36" t="s">
        <v>5</v>
      </c>
      <c r="D886" s="36" t="s">
        <v>103</v>
      </c>
      <c r="E886" s="37">
        <v>39571</v>
      </c>
      <c r="F886" s="36">
        <v>135.69999999999999</v>
      </c>
      <c r="G886" s="36">
        <v>5</v>
      </c>
      <c r="H886" s="36">
        <v>3</v>
      </c>
    </row>
    <row r="887" spans="1:8" x14ac:dyDescent="0.3">
      <c r="A887" s="35" t="s">
        <v>942</v>
      </c>
      <c r="B887" s="36" t="s">
        <v>40</v>
      </c>
      <c r="C887" s="36" t="s">
        <v>5</v>
      </c>
      <c r="D887" s="36" t="s">
        <v>54</v>
      </c>
      <c r="E887" s="37">
        <v>39569</v>
      </c>
      <c r="F887" s="36">
        <v>180.9</v>
      </c>
      <c r="G887" s="36">
        <v>10</v>
      </c>
      <c r="H887" s="36">
        <v>2</v>
      </c>
    </row>
    <row r="888" spans="1:8" x14ac:dyDescent="0.3">
      <c r="A888" s="35" t="s">
        <v>199</v>
      </c>
      <c r="B888" s="36" t="s">
        <v>878</v>
      </c>
      <c r="C888" s="36" t="s">
        <v>5</v>
      </c>
      <c r="D888" s="36" t="s">
        <v>300</v>
      </c>
      <c r="E888" s="37">
        <v>39565</v>
      </c>
      <c r="F888" s="36" t="s">
        <v>199</v>
      </c>
      <c r="G888" s="36" t="s">
        <v>199</v>
      </c>
      <c r="H888" s="36" t="s">
        <v>199</v>
      </c>
    </row>
    <row r="889" spans="1:8" x14ac:dyDescent="0.3">
      <c r="A889" s="35" t="s">
        <v>943</v>
      </c>
      <c r="B889" s="36" t="s">
        <v>4</v>
      </c>
      <c r="C889" s="36" t="s">
        <v>5</v>
      </c>
      <c r="D889" s="36" t="s">
        <v>54</v>
      </c>
      <c r="E889" s="37">
        <v>39562</v>
      </c>
      <c r="F889" s="36">
        <v>120</v>
      </c>
      <c r="G889" s="36">
        <v>3</v>
      </c>
      <c r="H889" s="36">
        <v>1</v>
      </c>
    </row>
    <row r="890" spans="1:8" x14ac:dyDescent="0.3">
      <c r="A890" s="35" t="s">
        <v>944</v>
      </c>
      <c r="B890" s="36" t="s">
        <v>8</v>
      </c>
      <c r="C890" s="36" t="s">
        <v>5</v>
      </c>
      <c r="D890" s="36" t="s">
        <v>54</v>
      </c>
      <c r="E890" s="37">
        <v>39560</v>
      </c>
      <c r="F890" s="36">
        <v>183.3</v>
      </c>
      <c r="G890" s="36">
        <v>6</v>
      </c>
      <c r="H890" s="36">
        <v>4</v>
      </c>
    </row>
    <row r="891" spans="1:8" x14ac:dyDescent="0.3">
      <c r="A891" s="35" t="s">
        <v>226</v>
      </c>
      <c r="B891" s="36" t="s">
        <v>11</v>
      </c>
      <c r="C891" s="36" t="s">
        <v>5</v>
      </c>
      <c r="D891" s="36" t="s">
        <v>139</v>
      </c>
      <c r="E891" s="37">
        <v>39558</v>
      </c>
      <c r="F891" s="36">
        <v>0</v>
      </c>
      <c r="G891" s="36">
        <v>0</v>
      </c>
      <c r="H891" s="36">
        <v>0</v>
      </c>
    </row>
    <row r="892" spans="1:8" x14ac:dyDescent="0.3">
      <c r="A892" s="44" t="s">
        <v>945</v>
      </c>
      <c r="B892" s="44"/>
      <c r="C892" s="44"/>
      <c r="D892" s="44"/>
      <c r="E892" s="44"/>
      <c r="F892" s="44"/>
      <c r="G892" s="44"/>
      <c r="H892" s="44"/>
    </row>
    <row r="893" spans="1:8" x14ac:dyDescent="0.3">
      <c r="A893" s="35" t="s">
        <v>302</v>
      </c>
      <c r="B893" s="36" t="s">
        <v>32</v>
      </c>
      <c r="C893" s="36" t="s">
        <v>16</v>
      </c>
      <c r="D893" s="36" t="s">
        <v>88</v>
      </c>
      <c r="E893" s="37">
        <v>39511</v>
      </c>
      <c r="F893" s="36">
        <v>40</v>
      </c>
      <c r="G893" s="36">
        <v>0</v>
      </c>
      <c r="H893" s="36">
        <v>0</v>
      </c>
    </row>
    <row r="894" spans="1:8" x14ac:dyDescent="0.3">
      <c r="A894" s="35" t="s">
        <v>946</v>
      </c>
      <c r="B894" s="36" t="s">
        <v>32</v>
      </c>
      <c r="C894" s="36" t="s">
        <v>16</v>
      </c>
      <c r="D894" s="36" t="s">
        <v>33</v>
      </c>
      <c r="E894" s="37">
        <v>39509</v>
      </c>
      <c r="F894" s="36">
        <v>75.8</v>
      </c>
      <c r="G894" s="36">
        <v>6</v>
      </c>
      <c r="H894" s="36">
        <v>0</v>
      </c>
    </row>
    <row r="895" spans="1:8" x14ac:dyDescent="0.3">
      <c r="A895" s="35" t="s">
        <v>947</v>
      </c>
      <c r="B895" s="36" t="s">
        <v>115</v>
      </c>
      <c r="C895" s="36" t="s">
        <v>16</v>
      </c>
      <c r="D895" s="36" t="s">
        <v>948</v>
      </c>
      <c r="E895" s="37">
        <v>39504</v>
      </c>
      <c r="F895" s="36">
        <v>42.8</v>
      </c>
      <c r="G895" s="36">
        <v>0</v>
      </c>
      <c r="H895" s="36">
        <v>0</v>
      </c>
    </row>
    <row r="896" spans="1:8" x14ac:dyDescent="0.3">
      <c r="A896" s="35" t="s">
        <v>836</v>
      </c>
      <c r="B896" s="36" t="s">
        <v>32</v>
      </c>
      <c r="C896" s="36" t="s">
        <v>16</v>
      </c>
      <c r="D896" s="36" t="s">
        <v>33</v>
      </c>
      <c r="E896" s="37">
        <v>39502</v>
      </c>
      <c r="F896" s="36">
        <v>33.299999999999997</v>
      </c>
      <c r="G896" s="36">
        <v>0</v>
      </c>
      <c r="H896" s="36">
        <v>0</v>
      </c>
    </row>
    <row r="897" spans="1:8" x14ac:dyDescent="0.3">
      <c r="A897" s="35" t="s">
        <v>949</v>
      </c>
      <c r="B897" s="36" t="s">
        <v>115</v>
      </c>
      <c r="C897" s="36" t="s">
        <v>16</v>
      </c>
      <c r="D897" s="36" t="s">
        <v>35</v>
      </c>
      <c r="E897" s="37">
        <v>39497</v>
      </c>
      <c r="F897" s="36">
        <v>66.599999999999994</v>
      </c>
      <c r="G897" s="36">
        <v>1</v>
      </c>
      <c r="H897" s="36">
        <v>0</v>
      </c>
    </row>
    <row r="898" spans="1:8" x14ac:dyDescent="0.3">
      <c r="A898" s="35" t="s">
        <v>836</v>
      </c>
      <c r="B898" s="36" t="s">
        <v>32</v>
      </c>
      <c r="C898" s="36" t="s">
        <v>16</v>
      </c>
      <c r="D898" s="36" t="s">
        <v>35</v>
      </c>
      <c r="E898" s="37">
        <v>39495</v>
      </c>
      <c r="F898" s="36">
        <v>33.299999999999997</v>
      </c>
      <c r="G898" s="36">
        <v>0</v>
      </c>
      <c r="H898" s="36">
        <v>0</v>
      </c>
    </row>
    <row r="899" spans="1:8" x14ac:dyDescent="0.3">
      <c r="A899" s="35" t="s">
        <v>950</v>
      </c>
      <c r="B899" s="36" t="s">
        <v>115</v>
      </c>
      <c r="C899" s="36" t="s">
        <v>16</v>
      </c>
      <c r="D899" s="36" t="s">
        <v>635</v>
      </c>
      <c r="E899" s="37">
        <v>39490</v>
      </c>
      <c r="F899" s="36">
        <v>109.3</v>
      </c>
      <c r="G899" s="36">
        <v>6</v>
      </c>
      <c r="H899" s="36">
        <v>1</v>
      </c>
    </row>
    <row r="900" spans="1:8" x14ac:dyDescent="0.3">
      <c r="A900" s="35" t="s">
        <v>951</v>
      </c>
      <c r="B900" s="36" t="s">
        <v>32</v>
      </c>
      <c r="C900" s="36" t="s">
        <v>16</v>
      </c>
      <c r="D900" s="36" t="s">
        <v>84</v>
      </c>
      <c r="E900" s="37">
        <v>39488</v>
      </c>
      <c r="F900" s="36">
        <v>63.9</v>
      </c>
      <c r="G900" s="36">
        <v>2</v>
      </c>
      <c r="H900" s="36">
        <v>0</v>
      </c>
    </row>
    <row r="901" spans="1:8" x14ac:dyDescent="0.3">
      <c r="A901" s="35" t="s">
        <v>172</v>
      </c>
      <c r="B901" s="36" t="s">
        <v>115</v>
      </c>
      <c r="C901" s="36" t="s">
        <v>16</v>
      </c>
      <c r="D901" s="36" t="s">
        <v>88</v>
      </c>
      <c r="E901" s="37">
        <v>39483</v>
      </c>
      <c r="F901" s="36">
        <v>0</v>
      </c>
      <c r="G901" s="36">
        <v>0</v>
      </c>
      <c r="H901" s="36">
        <v>0</v>
      </c>
    </row>
    <row r="902" spans="1:8" x14ac:dyDescent="0.3">
      <c r="A902" s="35" t="s">
        <v>952</v>
      </c>
      <c r="B902" s="36" t="s">
        <v>32</v>
      </c>
      <c r="C902" s="36" t="s">
        <v>16</v>
      </c>
      <c r="D902" s="36" t="s">
        <v>88</v>
      </c>
      <c r="E902" s="37">
        <v>39481</v>
      </c>
      <c r="F902" s="36">
        <v>67.400000000000006</v>
      </c>
      <c r="G902" s="36">
        <v>5</v>
      </c>
      <c r="H902" s="36">
        <v>0</v>
      </c>
    </row>
    <row r="903" spans="1:8" x14ac:dyDescent="0.3">
      <c r="A903" s="44" t="s">
        <v>953</v>
      </c>
      <c r="B903" s="44"/>
      <c r="C903" s="44"/>
      <c r="D903" s="44"/>
      <c r="E903" s="44"/>
      <c r="F903" s="44"/>
      <c r="G903" s="44"/>
      <c r="H903" s="44"/>
    </row>
    <row r="904" spans="1:8" x14ac:dyDescent="0.3">
      <c r="A904" s="35" t="s">
        <v>143</v>
      </c>
      <c r="B904" s="36" t="s">
        <v>32</v>
      </c>
      <c r="C904" s="36" t="s">
        <v>121</v>
      </c>
      <c r="D904" s="36" t="s">
        <v>84</v>
      </c>
      <c r="E904" s="37">
        <v>39479</v>
      </c>
      <c r="F904" s="36">
        <v>100</v>
      </c>
      <c r="G904" s="36">
        <v>1</v>
      </c>
      <c r="H904" s="36">
        <v>0</v>
      </c>
    </row>
    <row r="905" spans="1:8" x14ac:dyDescent="0.3">
      <c r="A905" s="44" t="s">
        <v>954</v>
      </c>
      <c r="B905" s="44"/>
      <c r="C905" s="44"/>
      <c r="D905" s="44"/>
      <c r="E905" s="44"/>
      <c r="F905" s="44"/>
      <c r="G905" s="44"/>
      <c r="H905" s="44"/>
    </row>
    <row r="906" spans="1:8" x14ac:dyDescent="0.3">
      <c r="A906" s="35" t="s">
        <v>955</v>
      </c>
      <c r="B906" s="36" t="s">
        <v>71</v>
      </c>
      <c r="C906" s="36" t="s">
        <v>16</v>
      </c>
      <c r="D906" s="36" t="s">
        <v>46</v>
      </c>
      <c r="E906" s="37">
        <v>39404</v>
      </c>
      <c r="F906" s="36">
        <v>85.2</v>
      </c>
      <c r="G906" s="36">
        <v>3</v>
      </c>
      <c r="H906" s="36">
        <v>1</v>
      </c>
    </row>
    <row r="907" spans="1:8" x14ac:dyDescent="0.3">
      <c r="A907" s="44" t="s">
        <v>956</v>
      </c>
      <c r="B907" s="44"/>
      <c r="C907" s="44"/>
      <c r="D907" s="44"/>
      <c r="E907" s="44"/>
      <c r="F907" s="44"/>
      <c r="G907" s="44"/>
      <c r="H907" s="44"/>
    </row>
    <row r="908" spans="1:8" x14ac:dyDescent="0.3">
      <c r="A908" s="35" t="s">
        <v>199</v>
      </c>
      <c r="B908" s="36" t="s">
        <v>32</v>
      </c>
      <c r="C908" s="36" t="s">
        <v>121</v>
      </c>
      <c r="D908" s="36" t="s">
        <v>12</v>
      </c>
      <c r="E908" s="37">
        <v>39375</v>
      </c>
      <c r="F908" s="36" t="s">
        <v>199</v>
      </c>
      <c r="G908" s="36" t="s">
        <v>199</v>
      </c>
      <c r="H908" s="36" t="s">
        <v>199</v>
      </c>
    </row>
    <row r="909" spans="1:8" x14ac:dyDescent="0.3">
      <c r="A909" s="44" t="s">
        <v>957</v>
      </c>
      <c r="B909" s="44"/>
      <c r="C909" s="44"/>
      <c r="D909" s="44"/>
      <c r="E909" s="44"/>
      <c r="F909" s="44"/>
      <c r="G909" s="44"/>
      <c r="H909" s="44"/>
    </row>
    <row r="910" spans="1:8" x14ac:dyDescent="0.3">
      <c r="A910" s="35" t="s">
        <v>440</v>
      </c>
      <c r="B910" s="36" t="s">
        <v>32</v>
      </c>
      <c r="C910" s="36" t="s">
        <v>16</v>
      </c>
      <c r="D910" s="36" t="s">
        <v>54</v>
      </c>
      <c r="E910" s="37">
        <v>39360</v>
      </c>
      <c r="F910" s="36">
        <v>25</v>
      </c>
      <c r="G910" s="36">
        <v>0</v>
      </c>
      <c r="H910" s="36">
        <v>0</v>
      </c>
    </row>
    <row r="911" spans="1:8" x14ac:dyDescent="0.3">
      <c r="A911" s="44" t="s">
        <v>958</v>
      </c>
      <c r="B911" s="44"/>
      <c r="C911" s="44"/>
      <c r="D911" s="44"/>
      <c r="E911" s="44"/>
      <c r="F911" s="44"/>
      <c r="G911" s="44"/>
      <c r="H911" s="44"/>
    </row>
    <row r="912" spans="1:8" x14ac:dyDescent="0.3">
      <c r="A912" s="35" t="s">
        <v>959</v>
      </c>
      <c r="B912" s="36" t="s">
        <v>71</v>
      </c>
      <c r="C912" s="36" t="s">
        <v>121</v>
      </c>
      <c r="D912" s="36" t="s">
        <v>530</v>
      </c>
      <c r="E912" s="37">
        <v>39349</v>
      </c>
      <c r="F912" s="36">
        <v>187.5</v>
      </c>
      <c r="G912" s="36">
        <v>2</v>
      </c>
      <c r="H912" s="36">
        <v>1</v>
      </c>
    </row>
    <row r="913" spans="1:8" x14ac:dyDescent="0.3">
      <c r="A913" s="35" t="s">
        <v>960</v>
      </c>
      <c r="B913" s="36" t="s">
        <v>32</v>
      </c>
      <c r="C913" s="36" t="s">
        <v>121</v>
      </c>
      <c r="D913" s="36" t="s">
        <v>535</v>
      </c>
      <c r="E913" s="37">
        <v>39347</v>
      </c>
      <c r="F913" s="36">
        <v>160</v>
      </c>
      <c r="G913" s="36">
        <v>0</v>
      </c>
      <c r="H913" s="36">
        <v>1</v>
      </c>
    </row>
    <row r="914" spans="1:8" x14ac:dyDescent="0.3">
      <c r="A914" s="35" t="s">
        <v>961</v>
      </c>
      <c r="B914" s="36" t="s">
        <v>24</v>
      </c>
      <c r="C914" s="36" t="s">
        <v>121</v>
      </c>
      <c r="D914" s="36" t="s">
        <v>535</v>
      </c>
      <c r="E914" s="37">
        <v>39345</v>
      </c>
      <c r="F914" s="36">
        <v>125</v>
      </c>
      <c r="G914" s="36">
        <v>7</v>
      </c>
      <c r="H914" s="36">
        <v>2</v>
      </c>
    </row>
    <row r="915" spans="1:8" x14ac:dyDescent="0.3">
      <c r="A915" s="35" t="s">
        <v>199</v>
      </c>
      <c r="B915" s="36" t="s">
        <v>76</v>
      </c>
      <c r="C915" s="36" t="s">
        <v>121</v>
      </c>
      <c r="D915" s="36" t="s">
        <v>535</v>
      </c>
      <c r="E915" s="37">
        <v>39344</v>
      </c>
      <c r="F915" s="36" t="s">
        <v>199</v>
      </c>
      <c r="G915" s="36" t="s">
        <v>199</v>
      </c>
      <c r="H915" s="36" t="s">
        <v>199</v>
      </c>
    </row>
    <row r="916" spans="1:8" x14ac:dyDescent="0.3">
      <c r="A916" s="44" t="s">
        <v>962</v>
      </c>
      <c r="B916" s="44"/>
      <c r="C916" s="44"/>
      <c r="D916" s="44"/>
      <c r="E916" s="44"/>
      <c r="F916" s="44"/>
      <c r="G916" s="44"/>
      <c r="H916" s="44"/>
    </row>
    <row r="917" spans="1:8" x14ac:dyDescent="0.3">
      <c r="A917" s="35" t="s">
        <v>493</v>
      </c>
      <c r="B917" s="36" t="s">
        <v>24</v>
      </c>
      <c r="C917" s="36" t="s">
        <v>16</v>
      </c>
      <c r="D917" s="36" t="s">
        <v>963</v>
      </c>
      <c r="E917" s="37">
        <v>39259</v>
      </c>
      <c r="F917" s="36">
        <v>88.8</v>
      </c>
      <c r="G917" s="36">
        <v>0</v>
      </c>
      <c r="H917" s="36">
        <v>0</v>
      </c>
    </row>
    <row r="918" spans="1:8" x14ac:dyDescent="0.3">
      <c r="A918" s="44" t="s">
        <v>964</v>
      </c>
      <c r="B918" s="44"/>
      <c r="C918" s="44"/>
      <c r="D918" s="44"/>
      <c r="E918" s="44"/>
      <c r="F918" s="44"/>
      <c r="G918" s="44"/>
      <c r="H918" s="44"/>
    </row>
    <row r="919" spans="1:8" x14ac:dyDescent="0.3">
      <c r="A919" s="38" t="s">
        <v>199</v>
      </c>
      <c r="B919" s="39" t="s">
        <v>135</v>
      </c>
      <c r="C919" s="39" t="s">
        <v>16</v>
      </c>
      <c r="D919" s="39" t="s">
        <v>963</v>
      </c>
      <c r="E919" s="40">
        <v>39256</v>
      </c>
      <c r="F919" s="39" t="s">
        <v>199</v>
      </c>
      <c r="G919" s="39" t="s">
        <v>199</v>
      </c>
      <c r="H919" s="39" t="s">
        <v>199</v>
      </c>
    </row>
    <row r="920" spans="1:8" x14ac:dyDescent="0.3">
      <c r="A920" s="4" t="s">
        <v>199</v>
      </c>
      <c r="B920" s="4" t="s">
        <v>135</v>
      </c>
      <c r="C920" s="4" t="s">
        <v>16</v>
      </c>
      <c r="D920" s="4" t="s">
        <v>963</v>
      </c>
      <c r="E920" s="4">
        <v>39256</v>
      </c>
      <c r="F920" s="4" t="s">
        <v>199</v>
      </c>
      <c r="G920" s="4" t="s">
        <v>199</v>
      </c>
      <c r="H920" s="4" t="s">
        <v>965</v>
      </c>
    </row>
  </sheetData>
  <mergeCells count="141">
    <mergeCell ref="A916:H916"/>
    <mergeCell ref="A918:H918"/>
    <mergeCell ref="A1:H1"/>
    <mergeCell ref="A892:H892"/>
    <mergeCell ref="A903:H903"/>
    <mergeCell ref="A905:H905"/>
    <mergeCell ref="A907:H907"/>
    <mergeCell ref="A909:H909"/>
    <mergeCell ref="A911:H911"/>
    <mergeCell ref="A852:H852"/>
    <mergeCell ref="A856:H856"/>
    <mergeCell ref="A861:H861"/>
    <mergeCell ref="A867:H867"/>
    <mergeCell ref="A874:H874"/>
    <mergeCell ref="A878:H878"/>
    <mergeCell ref="A818:H818"/>
    <mergeCell ref="A822:H822"/>
    <mergeCell ref="A828:H828"/>
    <mergeCell ref="A845:H845"/>
    <mergeCell ref="A848:H848"/>
    <mergeCell ref="A850:H850"/>
    <mergeCell ref="A785:H785"/>
    <mergeCell ref="A788:H788"/>
    <mergeCell ref="A793:H793"/>
    <mergeCell ref="A797:H797"/>
    <mergeCell ref="A814:H814"/>
    <mergeCell ref="A816:H816"/>
    <mergeCell ref="A741:H741"/>
    <mergeCell ref="A748:H748"/>
    <mergeCell ref="A765:H765"/>
    <mergeCell ref="A772:H772"/>
    <mergeCell ref="A775:H775"/>
    <mergeCell ref="A780:H780"/>
    <mergeCell ref="A717:H717"/>
    <mergeCell ref="A719:H719"/>
    <mergeCell ref="A723:H723"/>
    <mergeCell ref="A729:H729"/>
    <mergeCell ref="A732:H732"/>
    <mergeCell ref="A738:H738"/>
    <mergeCell ref="A678:H678"/>
    <mergeCell ref="A682:H682"/>
    <mergeCell ref="A684:H684"/>
    <mergeCell ref="A690:H690"/>
    <mergeCell ref="A692:H692"/>
    <mergeCell ref="A699:H699"/>
    <mergeCell ref="A630:H630"/>
    <mergeCell ref="A638:H638"/>
    <mergeCell ref="A643:H643"/>
    <mergeCell ref="A649:H649"/>
    <mergeCell ref="A655:H655"/>
    <mergeCell ref="A675:H675"/>
    <mergeCell ref="A583:H583"/>
    <mergeCell ref="A599:H599"/>
    <mergeCell ref="A606:H606"/>
    <mergeCell ref="A611:H611"/>
    <mergeCell ref="A619:H619"/>
    <mergeCell ref="A624:H624"/>
    <mergeCell ref="A545:H545"/>
    <mergeCell ref="A562:H562"/>
    <mergeCell ref="A571:H571"/>
    <mergeCell ref="A573:H573"/>
    <mergeCell ref="A577:H577"/>
    <mergeCell ref="A580:H580"/>
    <mergeCell ref="A507:H507"/>
    <mergeCell ref="A513:H513"/>
    <mergeCell ref="A517:H517"/>
    <mergeCell ref="A526:H526"/>
    <mergeCell ref="A536:H536"/>
    <mergeCell ref="A540:H540"/>
    <mergeCell ref="A454:H454"/>
    <mergeCell ref="A472:H472"/>
    <mergeCell ref="A481:H481"/>
    <mergeCell ref="A484:H484"/>
    <mergeCell ref="A486:H486"/>
    <mergeCell ref="A501:H501"/>
    <mergeCell ref="A405:H405"/>
    <mergeCell ref="A417:H417"/>
    <mergeCell ref="A426:H426"/>
    <mergeCell ref="A433:H433"/>
    <mergeCell ref="A441:H441"/>
    <mergeCell ref="A448:H448"/>
    <mergeCell ref="A359:H359"/>
    <mergeCell ref="A368:H368"/>
    <mergeCell ref="A374:H374"/>
    <mergeCell ref="A381:H381"/>
    <mergeCell ref="A384:H384"/>
    <mergeCell ref="A399:H399"/>
    <mergeCell ref="A304:H304"/>
    <mergeCell ref="A309:H309"/>
    <mergeCell ref="A319:H319"/>
    <mergeCell ref="A335:H335"/>
    <mergeCell ref="A342:H342"/>
    <mergeCell ref="A351:H351"/>
    <mergeCell ref="A263:H263"/>
    <mergeCell ref="A276:H276"/>
    <mergeCell ref="A281:H281"/>
    <mergeCell ref="A285:H285"/>
    <mergeCell ref="A292:H292"/>
    <mergeCell ref="A298:H298"/>
    <mergeCell ref="A227:H227"/>
    <mergeCell ref="A234:H234"/>
    <mergeCell ref="A239:H239"/>
    <mergeCell ref="A241:H241"/>
    <mergeCell ref="A249:H249"/>
    <mergeCell ref="A260:H260"/>
    <mergeCell ref="A182:H182"/>
    <mergeCell ref="A189:H189"/>
    <mergeCell ref="A204:H204"/>
    <mergeCell ref="A210:H210"/>
    <mergeCell ref="A217:H217"/>
    <mergeCell ref="A221:H221"/>
    <mergeCell ref="A154:H154"/>
    <mergeCell ref="A157:H157"/>
    <mergeCell ref="A164:H164"/>
    <mergeCell ref="A168:H168"/>
    <mergeCell ref="A172:H172"/>
    <mergeCell ref="A177:H177"/>
    <mergeCell ref="A116:H116"/>
    <mergeCell ref="A120:H120"/>
    <mergeCell ref="A122:H122"/>
    <mergeCell ref="A139:H139"/>
    <mergeCell ref="A146:H146"/>
    <mergeCell ref="A150:H150"/>
    <mergeCell ref="A82:H82"/>
    <mergeCell ref="A88:H88"/>
    <mergeCell ref="A92:H92"/>
    <mergeCell ref="A95:H95"/>
    <mergeCell ref="A107:H107"/>
    <mergeCell ref="A109:H109"/>
    <mergeCell ref="A43:H43"/>
    <mergeCell ref="A47:H47"/>
    <mergeCell ref="A51:H51"/>
    <mergeCell ref="A54:H54"/>
    <mergeCell ref="A58:H58"/>
    <mergeCell ref="A67:H67"/>
    <mergeCell ref="A5:H5"/>
    <mergeCell ref="A9:H9"/>
    <mergeCell ref="A13:H13"/>
    <mergeCell ref="A17:H17"/>
    <mergeCell ref="A33:H33"/>
    <mergeCell ref="A39:H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F594-E9E4-4F1F-B575-0412B63ADEE3}">
  <dimension ref="A1:K760"/>
  <sheetViews>
    <sheetView zoomScale="120" zoomScaleNormal="120" workbookViewId="0">
      <selection activeCell="L1" sqref="L1:L1048576"/>
    </sheetView>
  </sheetViews>
  <sheetFormatPr defaultRowHeight="14.4" x14ac:dyDescent="0.3"/>
  <cols>
    <col min="1" max="1" width="13.6640625" bestFit="1" customWidth="1"/>
    <col min="2" max="2" width="14" bestFit="1" customWidth="1"/>
    <col min="3" max="3" width="11.44140625" bestFit="1" customWidth="1"/>
    <col min="4" max="4" width="20.77734375" bestFit="1" customWidth="1"/>
    <col min="5" max="5" width="11.21875" bestFit="1" customWidth="1"/>
    <col min="6" max="6" width="9.109375" bestFit="1" customWidth="1"/>
    <col min="7" max="7" width="14.5546875" bestFit="1" customWidth="1"/>
    <col min="8" max="8" width="10" bestFit="1" customWidth="1"/>
    <col min="9" max="9" width="9.5546875" bestFit="1" customWidth="1"/>
    <col min="10" max="10" width="9.21875" bestFit="1" customWidth="1"/>
    <col min="11" max="11" width="9.109375" bestFit="1" customWidth="1"/>
  </cols>
  <sheetData>
    <row r="1" spans="1:11" x14ac:dyDescent="0.3">
      <c r="A1" s="2" t="s">
        <v>966</v>
      </c>
      <c r="B1" s="2" t="s">
        <v>967</v>
      </c>
      <c r="C1" s="2" t="s">
        <v>0</v>
      </c>
      <c r="D1" s="2" t="s">
        <v>1</v>
      </c>
      <c r="E1" s="2" t="s">
        <v>968</v>
      </c>
      <c r="F1" s="2" t="s">
        <v>969</v>
      </c>
      <c r="G1" s="2" t="s">
        <v>970</v>
      </c>
      <c r="H1" s="2" t="s">
        <v>971</v>
      </c>
      <c r="I1" s="2" t="s">
        <v>972</v>
      </c>
      <c r="J1" s="2" t="s">
        <v>973</v>
      </c>
      <c r="K1" s="2" t="s">
        <v>974</v>
      </c>
    </row>
    <row r="2" spans="1:11" x14ac:dyDescent="0.3">
      <c r="A2" s="1" t="s">
        <v>1616</v>
      </c>
      <c r="B2" s="1" t="s">
        <v>4</v>
      </c>
      <c r="C2" s="1" t="s">
        <v>1043</v>
      </c>
      <c r="D2" s="1" t="s">
        <v>6</v>
      </c>
      <c r="E2" s="1" t="s">
        <v>1047</v>
      </c>
      <c r="F2" s="3" t="s">
        <v>1096</v>
      </c>
      <c r="G2" s="1">
        <v>83.3</v>
      </c>
      <c r="H2" s="1">
        <v>0</v>
      </c>
      <c r="I2" s="1">
        <v>0</v>
      </c>
      <c r="J2" s="1">
        <v>6</v>
      </c>
      <c r="K2" s="1">
        <v>5</v>
      </c>
    </row>
    <row r="3" spans="1:11" x14ac:dyDescent="0.3">
      <c r="A3" s="1" t="s">
        <v>1298</v>
      </c>
      <c r="B3" s="1" t="s">
        <v>8</v>
      </c>
      <c r="C3" s="1" t="s">
        <v>1043</v>
      </c>
      <c r="D3" s="1" t="s">
        <v>9</v>
      </c>
      <c r="E3" s="1" t="s">
        <v>1047</v>
      </c>
      <c r="F3" s="3" t="s">
        <v>1096</v>
      </c>
      <c r="G3" s="1">
        <v>134.6</v>
      </c>
      <c r="H3" s="1">
        <v>5</v>
      </c>
      <c r="I3" s="1">
        <v>1</v>
      </c>
      <c r="J3" s="1">
        <v>26</v>
      </c>
      <c r="K3" s="1">
        <v>35</v>
      </c>
    </row>
    <row r="4" spans="1:11" x14ac:dyDescent="0.3">
      <c r="A4" s="1" t="s">
        <v>1095</v>
      </c>
      <c r="B4" s="1" t="s">
        <v>11</v>
      </c>
      <c r="C4" s="1" t="s">
        <v>1043</v>
      </c>
      <c r="D4" s="1" t="s">
        <v>12</v>
      </c>
      <c r="E4" s="1" t="s">
        <v>1016</v>
      </c>
      <c r="F4" s="3" t="s">
        <v>1096</v>
      </c>
      <c r="G4" s="1">
        <v>205.3</v>
      </c>
      <c r="H4" s="1">
        <v>6</v>
      </c>
      <c r="I4" s="1">
        <v>6</v>
      </c>
      <c r="J4" s="1">
        <v>38</v>
      </c>
      <c r="K4" s="1">
        <v>78</v>
      </c>
    </row>
    <row r="5" spans="1:11" x14ac:dyDescent="0.3">
      <c r="A5" s="1" t="s">
        <v>1516</v>
      </c>
      <c r="B5" s="1" t="s">
        <v>15</v>
      </c>
      <c r="C5" s="1" t="s">
        <v>16</v>
      </c>
      <c r="D5" s="1" t="s">
        <v>17</v>
      </c>
      <c r="E5" s="1" t="s">
        <v>994</v>
      </c>
      <c r="F5" s="3" t="s">
        <v>1096</v>
      </c>
      <c r="G5" s="1">
        <v>84.6</v>
      </c>
      <c r="H5" s="1">
        <v>2</v>
      </c>
      <c r="I5" s="1">
        <v>0</v>
      </c>
      <c r="J5" s="1">
        <v>13</v>
      </c>
      <c r="K5" s="1">
        <v>11</v>
      </c>
    </row>
    <row r="6" spans="1:11" x14ac:dyDescent="0.3">
      <c r="A6" s="1" t="s">
        <v>1375</v>
      </c>
      <c r="B6" s="1" t="s">
        <v>15</v>
      </c>
      <c r="C6" s="1" t="s">
        <v>16</v>
      </c>
      <c r="D6" s="1" t="s">
        <v>19</v>
      </c>
      <c r="E6" s="1" t="s">
        <v>994</v>
      </c>
      <c r="F6" s="3" t="s">
        <v>1096</v>
      </c>
      <c r="G6" s="1">
        <v>63.2</v>
      </c>
      <c r="H6" s="1">
        <v>4</v>
      </c>
      <c r="I6" s="1">
        <v>0</v>
      </c>
      <c r="J6" s="1">
        <v>38</v>
      </c>
      <c r="K6" s="1">
        <v>24</v>
      </c>
    </row>
    <row r="7" spans="1:11" x14ac:dyDescent="0.3">
      <c r="A7" s="1" t="s">
        <v>1360</v>
      </c>
      <c r="B7" s="1" t="s">
        <v>15</v>
      </c>
      <c r="C7" s="1" t="s">
        <v>16</v>
      </c>
      <c r="D7" s="1" t="s">
        <v>21</v>
      </c>
      <c r="E7" s="1" t="s">
        <v>994</v>
      </c>
      <c r="F7" s="3" t="s">
        <v>1096</v>
      </c>
      <c r="G7" s="1">
        <v>89.7</v>
      </c>
      <c r="H7" s="1">
        <v>3</v>
      </c>
      <c r="I7" s="1">
        <v>2</v>
      </c>
      <c r="J7" s="1">
        <v>29</v>
      </c>
      <c r="K7" s="1">
        <v>26</v>
      </c>
    </row>
    <row r="8" spans="1:11" x14ac:dyDescent="0.3">
      <c r="A8" s="1" t="s">
        <v>1107</v>
      </c>
      <c r="B8" s="1" t="s">
        <v>24</v>
      </c>
      <c r="C8" s="1" t="s">
        <v>16</v>
      </c>
      <c r="D8" s="1" t="s">
        <v>25</v>
      </c>
      <c r="E8" s="1" t="s">
        <v>987</v>
      </c>
      <c r="F8" s="3" t="s">
        <v>1026</v>
      </c>
      <c r="G8" s="1">
        <v>102.7</v>
      </c>
      <c r="H8" s="1">
        <v>7</v>
      </c>
      <c r="I8" s="1">
        <v>3</v>
      </c>
      <c r="J8" s="1">
        <v>73</v>
      </c>
      <c r="K8" s="1">
        <v>75</v>
      </c>
    </row>
    <row r="9" spans="1:11" x14ac:dyDescent="0.3">
      <c r="A9" s="1" t="s">
        <v>1476</v>
      </c>
      <c r="B9" s="1" t="s">
        <v>24</v>
      </c>
      <c r="C9" s="1" t="s">
        <v>16</v>
      </c>
      <c r="D9" s="1" t="s">
        <v>27</v>
      </c>
      <c r="E9" s="1" t="s">
        <v>987</v>
      </c>
      <c r="F9" s="3" t="s">
        <v>1026</v>
      </c>
      <c r="G9" s="1">
        <v>175</v>
      </c>
      <c r="H9" s="1">
        <v>3</v>
      </c>
      <c r="I9" s="1">
        <v>0</v>
      </c>
      <c r="J9" s="1">
        <v>8</v>
      </c>
      <c r="K9" s="1">
        <v>14</v>
      </c>
    </row>
    <row r="10" spans="1:11" x14ac:dyDescent="0.3">
      <c r="A10" s="1" t="s">
        <v>1174</v>
      </c>
      <c r="B10" s="1" t="s">
        <v>24</v>
      </c>
      <c r="C10" s="1" t="s">
        <v>16</v>
      </c>
      <c r="D10" s="1" t="s">
        <v>29</v>
      </c>
      <c r="E10" s="1" t="s">
        <v>981</v>
      </c>
      <c r="F10" s="3" t="s">
        <v>1026</v>
      </c>
      <c r="G10" s="1">
        <v>111.8</v>
      </c>
      <c r="H10" s="1">
        <v>5</v>
      </c>
      <c r="I10" s="1">
        <v>3</v>
      </c>
      <c r="J10" s="1">
        <v>51</v>
      </c>
      <c r="K10" s="1">
        <v>57</v>
      </c>
    </row>
    <row r="11" spans="1:11" x14ac:dyDescent="0.3">
      <c r="A11" s="1" t="s">
        <v>1025</v>
      </c>
      <c r="B11" s="1" t="s">
        <v>32</v>
      </c>
      <c r="C11" s="1" t="s">
        <v>16</v>
      </c>
      <c r="D11" s="1" t="s">
        <v>33</v>
      </c>
      <c r="E11" s="1" t="s">
        <v>977</v>
      </c>
      <c r="F11" s="3" t="s">
        <v>1026</v>
      </c>
      <c r="G11" s="1">
        <v>96.8</v>
      </c>
      <c r="H11" s="1">
        <v>13</v>
      </c>
      <c r="I11" s="1">
        <v>3</v>
      </c>
      <c r="J11" s="1">
        <v>125</v>
      </c>
      <c r="K11" s="1">
        <v>121</v>
      </c>
    </row>
    <row r="12" spans="1:11" x14ac:dyDescent="0.3">
      <c r="A12" s="1" t="s">
        <v>1111</v>
      </c>
      <c r="B12" s="1" t="s">
        <v>32</v>
      </c>
      <c r="C12" s="1" t="s">
        <v>16</v>
      </c>
      <c r="D12" s="1" t="s">
        <v>35</v>
      </c>
      <c r="E12" s="1" t="s">
        <v>977</v>
      </c>
      <c r="F12" s="3" t="s">
        <v>1026</v>
      </c>
      <c r="G12" s="1">
        <v>75.3</v>
      </c>
      <c r="H12" s="1">
        <v>7</v>
      </c>
      <c r="I12" s="1">
        <v>2</v>
      </c>
      <c r="J12" s="1">
        <v>97</v>
      </c>
      <c r="K12" s="1">
        <v>73</v>
      </c>
    </row>
    <row r="13" spans="1:11" x14ac:dyDescent="0.3">
      <c r="A13" s="1" t="s">
        <v>1567</v>
      </c>
      <c r="B13" s="1" t="s">
        <v>32</v>
      </c>
      <c r="C13" s="1" t="s">
        <v>16</v>
      </c>
      <c r="D13" s="1" t="s">
        <v>37</v>
      </c>
      <c r="E13" s="1" t="s">
        <v>977</v>
      </c>
      <c r="F13" s="3" t="s">
        <v>1026</v>
      </c>
      <c r="G13" s="1">
        <v>57.1</v>
      </c>
      <c r="H13" s="1">
        <v>1</v>
      </c>
      <c r="I13" s="1">
        <v>0</v>
      </c>
      <c r="J13" s="1">
        <v>14</v>
      </c>
      <c r="K13" s="1">
        <v>8</v>
      </c>
    </row>
    <row r="14" spans="1:11" x14ac:dyDescent="0.3">
      <c r="A14" s="1" t="s">
        <v>1568</v>
      </c>
      <c r="B14" s="1" t="s">
        <v>40</v>
      </c>
      <c r="C14" s="1" t="s">
        <v>1043</v>
      </c>
      <c r="D14" s="1" t="s">
        <v>41</v>
      </c>
      <c r="E14" s="1" t="s">
        <v>1007</v>
      </c>
      <c r="F14" s="3" t="s">
        <v>1026</v>
      </c>
      <c r="G14" s="1">
        <v>114.3</v>
      </c>
      <c r="H14" s="1">
        <v>1</v>
      </c>
      <c r="I14" s="1">
        <v>0</v>
      </c>
      <c r="J14" s="1">
        <v>7</v>
      </c>
      <c r="K14" s="1">
        <v>8</v>
      </c>
    </row>
    <row r="15" spans="1:11" x14ac:dyDescent="0.3">
      <c r="A15" s="1" t="s">
        <v>1087</v>
      </c>
      <c r="B15" s="1" t="s">
        <v>43</v>
      </c>
      <c r="C15" s="1" t="s">
        <v>1043</v>
      </c>
      <c r="D15" s="1" t="s">
        <v>44</v>
      </c>
      <c r="E15" s="1" t="s">
        <v>1036</v>
      </c>
      <c r="F15" s="3" t="s">
        <v>1026</v>
      </c>
      <c r="G15" s="1">
        <v>162</v>
      </c>
      <c r="H15" s="1">
        <v>9</v>
      </c>
      <c r="I15" s="1">
        <v>4</v>
      </c>
      <c r="J15" s="1">
        <v>50</v>
      </c>
      <c r="K15" s="1">
        <v>81</v>
      </c>
    </row>
    <row r="16" spans="1:11" x14ac:dyDescent="0.3">
      <c r="A16" s="1" t="s">
        <v>1376</v>
      </c>
      <c r="B16" s="1" t="s">
        <v>40</v>
      </c>
      <c r="C16" s="1" t="s">
        <v>1043</v>
      </c>
      <c r="D16" s="1" t="s">
        <v>46</v>
      </c>
      <c r="E16" s="1" t="s">
        <v>1036</v>
      </c>
      <c r="F16" s="3" t="s">
        <v>1026</v>
      </c>
      <c r="G16" s="1">
        <v>114.3</v>
      </c>
      <c r="H16" s="1">
        <v>2</v>
      </c>
      <c r="I16" s="1">
        <v>1</v>
      </c>
      <c r="J16" s="1">
        <v>21</v>
      </c>
      <c r="K16" s="1">
        <v>24</v>
      </c>
    </row>
    <row r="17" spans="1:11" x14ac:dyDescent="0.3">
      <c r="A17" s="1" t="s">
        <v>1617</v>
      </c>
      <c r="B17" s="1" t="s">
        <v>8</v>
      </c>
      <c r="C17" s="1" t="s">
        <v>1043</v>
      </c>
      <c r="D17" s="1" t="s">
        <v>12</v>
      </c>
      <c r="E17" s="1" t="s">
        <v>1036</v>
      </c>
      <c r="F17" s="3" t="s">
        <v>1026</v>
      </c>
      <c r="G17" s="1">
        <v>100</v>
      </c>
      <c r="H17" s="1">
        <v>1</v>
      </c>
      <c r="I17" s="1">
        <v>0</v>
      </c>
      <c r="J17" s="1">
        <v>5</v>
      </c>
      <c r="K17" s="1">
        <v>5</v>
      </c>
    </row>
    <row r="18" spans="1:11" x14ac:dyDescent="0.3">
      <c r="A18" s="1" t="s">
        <v>1589</v>
      </c>
      <c r="B18" s="1" t="s">
        <v>43</v>
      </c>
      <c r="C18" s="1" t="s">
        <v>1043</v>
      </c>
      <c r="D18" s="1" t="s">
        <v>12</v>
      </c>
      <c r="E18" s="1" t="s">
        <v>1036</v>
      </c>
      <c r="F18" s="3" t="s">
        <v>1026</v>
      </c>
      <c r="G18" s="1">
        <v>87.5</v>
      </c>
      <c r="H18" s="1">
        <v>1</v>
      </c>
      <c r="I18" s="1">
        <v>0</v>
      </c>
      <c r="J18" s="1">
        <v>8</v>
      </c>
      <c r="K18" s="1">
        <v>7</v>
      </c>
    </row>
    <row r="19" spans="1:11" x14ac:dyDescent="0.3">
      <c r="A19" s="1" t="s">
        <v>1199</v>
      </c>
      <c r="B19" s="1" t="s">
        <v>4</v>
      </c>
      <c r="C19" s="1" t="s">
        <v>1043</v>
      </c>
      <c r="D19" s="1" t="s">
        <v>46</v>
      </c>
      <c r="E19" s="1" t="s">
        <v>1036</v>
      </c>
      <c r="F19" s="3" t="s">
        <v>1026</v>
      </c>
      <c r="G19" s="1">
        <v>147.19999999999999</v>
      </c>
      <c r="H19" s="1">
        <v>9</v>
      </c>
      <c r="I19" s="1">
        <v>0</v>
      </c>
      <c r="J19" s="1">
        <v>36</v>
      </c>
      <c r="K19" s="1">
        <v>53</v>
      </c>
    </row>
    <row r="20" spans="1:11" x14ac:dyDescent="0.3">
      <c r="A20" s="1" t="s">
        <v>1501</v>
      </c>
      <c r="B20" s="1" t="s">
        <v>51</v>
      </c>
      <c r="C20" s="1" t="s">
        <v>1043</v>
      </c>
      <c r="D20" s="1" t="s">
        <v>12</v>
      </c>
      <c r="E20" s="1" t="s">
        <v>1047</v>
      </c>
      <c r="F20" s="3" t="s">
        <v>1026</v>
      </c>
      <c r="G20" s="1">
        <v>240</v>
      </c>
      <c r="H20" s="1">
        <v>0</v>
      </c>
      <c r="I20" s="1">
        <v>2</v>
      </c>
      <c r="J20" s="1">
        <v>5</v>
      </c>
      <c r="K20" s="1">
        <v>12</v>
      </c>
    </row>
    <row r="21" spans="1:11" x14ac:dyDescent="0.3">
      <c r="A21" s="1" t="s">
        <v>1120</v>
      </c>
      <c r="B21" s="1" t="s">
        <v>53</v>
      </c>
      <c r="C21" s="1" t="s">
        <v>1043</v>
      </c>
      <c r="D21" s="1" t="s">
        <v>54</v>
      </c>
      <c r="E21" s="1" t="s">
        <v>1047</v>
      </c>
      <c r="F21" s="3" t="s">
        <v>1026</v>
      </c>
      <c r="G21" s="1">
        <v>152.19999999999999</v>
      </c>
      <c r="H21" s="1">
        <v>8</v>
      </c>
      <c r="I21" s="1">
        <v>3</v>
      </c>
      <c r="J21" s="1">
        <v>46</v>
      </c>
      <c r="K21" s="1">
        <v>70</v>
      </c>
    </row>
    <row r="22" spans="1:11" x14ac:dyDescent="0.3">
      <c r="A22" s="1" t="s">
        <v>1100</v>
      </c>
      <c r="B22" s="1" t="s">
        <v>56</v>
      </c>
      <c r="C22" s="1" t="s">
        <v>1043</v>
      </c>
      <c r="D22" s="1" t="s">
        <v>12</v>
      </c>
      <c r="E22" s="1" t="s">
        <v>1047</v>
      </c>
      <c r="F22" s="3" t="s">
        <v>1026</v>
      </c>
      <c r="G22" s="1">
        <v>168.9</v>
      </c>
      <c r="H22" s="1">
        <v>4</v>
      </c>
      <c r="I22" s="1">
        <v>6</v>
      </c>
      <c r="J22" s="1">
        <v>45</v>
      </c>
      <c r="K22" s="1">
        <v>76</v>
      </c>
    </row>
    <row r="23" spans="1:11" x14ac:dyDescent="0.3">
      <c r="A23" s="1" t="s">
        <v>1361</v>
      </c>
      <c r="B23" s="1" t="s">
        <v>53</v>
      </c>
      <c r="C23" s="1" t="s">
        <v>1043</v>
      </c>
      <c r="D23" s="1" t="s">
        <v>12</v>
      </c>
      <c r="E23" s="1" t="s">
        <v>1047</v>
      </c>
      <c r="F23" s="3" t="s">
        <v>1026</v>
      </c>
      <c r="G23" s="1">
        <v>162.5</v>
      </c>
      <c r="H23" s="1">
        <v>0</v>
      </c>
      <c r="I23" s="1">
        <v>3</v>
      </c>
      <c r="J23" s="1">
        <v>16</v>
      </c>
      <c r="K23" s="1">
        <v>26</v>
      </c>
    </row>
    <row r="24" spans="1:11" x14ac:dyDescent="0.3">
      <c r="A24" s="1" t="s">
        <v>1430</v>
      </c>
      <c r="B24" s="1" t="s">
        <v>8</v>
      </c>
      <c r="C24" s="1" t="s">
        <v>1043</v>
      </c>
      <c r="D24" s="1" t="s">
        <v>9</v>
      </c>
      <c r="E24" s="1" t="s">
        <v>1047</v>
      </c>
      <c r="F24" s="3" t="s">
        <v>1026</v>
      </c>
      <c r="G24" s="1">
        <v>150</v>
      </c>
      <c r="H24" s="1">
        <v>2</v>
      </c>
      <c r="I24" s="1">
        <v>1</v>
      </c>
      <c r="J24" s="1">
        <v>12</v>
      </c>
      <c r="K24" s="1">
        <v>18</v>
      </c>
    </row>
    <row r="25" spans="1:11" x14ac:dyDescent="0.3">
      <c r="A25" s="1" t="s">
        <v>1446</v>
      </c>
      <c r="B25" s="1" t="s">
        <v>60</v>
      </c>
      <c r="C25" s="1" t="s">
        <v>1043</v>
      </c>
      <c r="D25" s="1" t="s">
        <v>12</v>
      </c>
      <c r="E25" s="1" t="s">
        <v>1047</v>
      </c>
      <c r="F25" s="3" t="s">
        <v>1026</v>
      </c>
      <c r="G25" s="1">
        <v>188.9</v>
      </c>
      <c r="H25" s="1">
        <v>2</v>
      </c>
      <c r="I25" s="1">
        <v>1</v>
      </c>
      <c r="J25" s="1">
        <v>9</v>
      </c>
      <c r="K25" s="1">
        <v>17</v>
      </c>
    </row>
    <row r="26" spans="1:11" x14ac:dyDescent="0.3">
      <c r="A26" s="1" t="s">
        <v>1487</v>
      </c>
      <c r="B26" s="1" t="s">
        <v>11</v>
      </c>
      <c r="C26" s="1" t="s">
        <v>1043</v>
      </c>
      <c r="D26" s="1" t="s">
        <v>12</v>
      </c>
      <c r="E26" s="1" t="s">
        <v>1016</v>
      </c>
      <c r="F26" s="3" t="s">
        <v>1026</v>
      </c>
      <c r="G26" s="1">
        <v>108.3</v>
      </c>
      <c r="H26" s="1">
        <v>0</v>
      </c>
      <c r="I26" s="1">
        <v>1</v>
      </c>
      <c r="J26" s="1">
        <v>12</v>
      </c>
      <c r="K26" s="1">
        <v>13</v>
      </c>
    </row>
    <row r="27" spans="1:11" x14ac:dyDescent="0.3">
      <c r="A27" s="1" t="s">
        <v>1569</v>
      </c>
      <c r="B27" s="1" t="s">
        <v>43</v>
      </c>
      <c r="C27" s="1" t="s">
        <v>1043</v>
      </c>
      <c r="D27" s="1" t="s">
        <v>41</v>
      </c>
      <c r="E27" s="1" t="s">
        <v>1016</v>
      </c>
      <c r="F27" s="3" t="s">
        <v>1026</v>
      </c>
      <c r="G27" s="1">
        <v>200</v>
      </c>
      <c r="H27" s="1">
        <v>2</v>
      </c>
      <c r="I27" s="1">
        <v>0</v>
      </c>
      <c r="J27" s="1">
        <v>4</v>
      </c>
      <c r="K27" s="1">
        <v>8</v>
      </c>
    </row>
    <row r="28" spans="1:11" x14ac:dyDescent="0.3">
      <c r="A28" s="1" t="s">
        <v>1723</v>
      </c>
      <c r="B28" s="1" t="s">
        <v>56</v>
      </c>
      <c r="C28" s="1" t="s">
        <v>1043</v>
      </c>
      <c r="D28" s="1" t="s">
        <v>64</v>
      </c>
      <c r="E28" s="1" t="s">
        <v>1016</v>
      </c>
      <c r="F28" s="3" t="s">
        <v>1026</v>
      </c>
      <c r="G28" s="1">
        <v>0</v>
      </c>
      <c r="H28" s="1">
        <v>0</v>
      </c>
      <c r="I28" s="1">
        <v>0</v>
      </c>
      <c r="J28" s="1">
        <v>4</v>
      </c>
      <c r="K28" s="1">
        <v>0</v>
      </c>
    </row>
    <row r="29" spans="1:11" x14ac:dyDescent="0.3">
      <c r="A29" s="1" t="s">
        <v>1101</v>
      </c>
      <c r="B29" s="1" t="s">
        <v>15</v>
      </c>
      <c r="C29" s="1" t="s">
        <v>16</v>
      </c>
      <c r="D29" s="1" t="s">
        <v>67</v>
      </c>
      <c r="E29" s="1" t="s">
        <v>1016</v>
      </c>
      <c r="F29" s="3" t="s">
        <v>1026</v>
      </c>
      <c r="G29" s="1">
        <v>91.6</v>
      </c>
      <c r="H29" s="1">
        <v>7</v>
      </c>
      <c r="I29" s="1">
        <v>3</v>
      </c>
      <c r="J29" s="1">
        <v>83</v>
      </c>
      <c r="K29" s="1">
        <v>76</v>
      </c>
    </row>
    <row r="30" spans="1:11" x14ac:dyDescent="0.3">
      <c r="A30" s="1" t="s">
        <v>1343</v>
      </c>
      <c r="B30" s="1" t="s">
        <v>32</v>
      </c>
      <c r="C30" s="1" t="s">
        <v>16</v>
      </c>
      <c r="D30" s="1" t="s">
        <v>67</v>
      </c>
      <c r="E30" s="1" t="s">
        <v>1016</v>
      </c>
      <c r="F30" s="3" t="s">
        <v>1026</v>
      </c>
      <c r="G30" s="1">
        <v>96.6</v>
      </c>
      <c r="H30" s="1">
        <v>3</v>
      </c>
      <c r="I30" s="1">
        <v>1</v>
      </c>
      <c r="J30" s="1">
        <v>29</v>
      </c>
      <c r="K30" s="1">
        <v>28</v>
      </c>
    </row>
    <row r="31" spans="1:11" x14ac:dyDescent="0.3">
      <c r="A31" s="1" t="s">
        <v>1459</v>
      </c>
      <c r="B31" s="1" t="s">
        <v>15</v>
      </c>
      <c r="C31" s="1" t="s">
        <v>16</v>
      </c>
      <c r="D31" s="1" t="s">
        <v>67</v>
      </c>
      <c r="E31" s="1" t="s">
        <v>1016</v>
      </c>
      <c r="F31" s="3" t="s">
        <v>1026</v>
      </c>
      <c r="G31" s="1">
        <v>88.2</v>
      </c>
      <c r="H31" s="1">
        <v>1</v>
      </c>
      <c r="I31" s="1">
        <v>1</v>
      </c>
      <c r="J31" s="1">
        <v>17</v>
      </c>
      <c r="K31" s="1">
        <v>15</v>
      </c>
    </row>
    <row r="32" spans="1:11" x14ac:dyDescent="0.3">
      <c r="A32" s="1" t="s">
        <v>1412</v>
      </c>
      <c r="B32" s="1" t="s">
        <v>71</v>
      </c>
      <c r="C32" s="1" t="s">
        <v>16</v>
      </c>
      <c r="D32" s="1" t="s">
        <v>67</v>
      </c>
      <c r="E32" s="1" t="s">
        <v>990</v>
      </c>
      <c r="F32" s="3" t="s">
        <v>1026</v>
      </c>
      <c r="G32" s="1">
        <v>133.30000000000001</v>
      </c>
      <c r="H32" s="1">
        <v>3</v>
      </c>
      <c r="I32" s="1">
        <v>1</v>
      </c>
      <c r="J32" s="1">
        <v>15</v>
      </c>
      <c r="K32" s="1">
        <v>20</v>
      </c>
    </row>
    <row r="33" spans="1:11" x14ac:dyDescent="0.3">
      <c r="A33" s="1" t="s">
        <v>1268</v>
      </c>
      <c r="B33" s="1" t="s">
        <v>73</v>
      </c>
      <c r="C33" s="1" t="s">
        <v>16</v>
      </c>
      <c r="D33" s="1" t="s">
        <v>67</v>
      </c>
      <c r="E33" s="1" t="s">
        <v>990</v>
      </c>
      <c r="F33" s="3" t="s">
        <v>1026</v>
      </c>
      <c r="G33" s="1">
        <v>113.9</v>
      </c>
      <c r="H33" s="1">
        <v>7</v>
      </c>
      <c r="I33" s="1">
        <v>0</v>
      </c>
      <c r="J33" s="1">
        <v>36</v>
      </c>
      <c r="K33" s="1">
        <v>41</v>
      </c>
    </row>
    <row r="34" spans="1:11" x14ac:dyDescent="0.3">
      <c r="A34" s="1" t="s">
        <v>1703</v>
      </c>
      <c r="B34" s="1" t="s">
        <v>76</v>
      </c>
      <c r="C34" s="1" t="s">
        <v>16</v>
      </c>
      <c r="D34" s="1" t="s">
        <v>41</v>
      </c>
      <c r="E34" s="1" t="s">
        <v>990</v>
      </c>
      <c r="F34" s="3" t="s">
        <v>1026</v>
      </c>
      <c r="G34" s="1">
        <v>50</v>
      </c>
      <c r="H34" s="1">
        <v>0</v>
      </c>
      <c r="I34" s="1">
        <v>0</v>
      </c>
      <c r="J34" s="1">
        <v>2</v>
      </c>
      <c r="K34" s="1">
        <v>1</v>
      </c>
    </row>
    <row r="35" spans="1:11" x14ac:dyDescent="0.3">
      <c r="A35" s="1" t="s">
        <v>1029</v>
      </c>
      <c r="B35" s="1" t="s">
        <v>76</v>
      </c>
      <c r="C35" s="1" t="s">
        <v>16</v>
      </c>
      <c r="D35" s="1" t="s">
        <v>78</v>
      </c>
      <c r="E35" s="1" t="s">
        <v>990</v>
      </c>
      <c r="F35" s="3" t="s">
        <v>1026</v>
      </c>
      <c r="G35" s="1">
        <v>132.19999999999999</v>
      </c>
      <c r="H35" s="1">
        <v>12</v>
      </c>
      <c r="I35" s="1">
        <v>7</v>
      </c>
      <c r="J35" s="1">
        <v>90</v>
      </c>
      <c r="K35" s="1">
        <v>119</v>
      </c>
    </row>
    <row r="36" spans="1:11" x14ac:dyDescent="0.3">
      <c r="A36" s="1" t="s">
        <v>1682</v>
      </c>
      <c r="B36" s="1" t="s">
        <v>76</v>
      </c>
      <c r="C36" s="1" t="s">
        <v>16</v>
      </c>
      <c r="D36" s="1" t="s">
        <v>80</v>
      </c>
      <c r="E36" s="1" t="s">
        <v>990</v>
      </c>
      <c r="F36" s="3" t="s">
        <v>1026</v>
      </c>
      <c r="G36" s="1">
        <v>28.6</v>
      </c>
      <c r="H36" s="1">
        <v>0</v>
      </c>
      <c r="I36" s="1">
        <v>0</v>
      </c>
      <c r="J36" s="1">
        <v>7</v>
      </c>
      <c r="K36" s="1">
        <v>2</v>
      </c>
    </row>
    <row r="37" spans="1:11" x14ac:dyDescent="0.3">
      <c r="A37" s="1" t="s">
        <v>1502</v>
      </c>
      <c r="B37" s="1" t="s">
        <v>32</v>
      </c>
      <c r="C37" s="1" t="s">
        <v>83</v>
      </c>
      <c r="D37" s="1" t="s">
        <v>84</v>
      </c>
      <c r="E37" s="1" t="s">
        <v>987</v>
      </c>
      <c r="F37" s="3" t="s">
        <v>1001</v>
      </c>
      <c r="G37" s="1">
        <v>41.25</v>
      </c>
      <c r="H37" s="1">
        <v>0</v>
      </c>
      <c r="I37" s="1">
        <v>0</v>
      </c>
      <c r="J37" s="1">
        <v>22</v>
      </c>
      <c r="K37" s="1">
        <v>12</v>
      </c>
    </row>
    <row r="38" spans="1:11" x14ac:dyDescent="0.3">
      <c r="A38" s="1" t="s">
        <v>1541</v>
      </c>
      <c r="B38" s="1" t="s">
        <v>32</v>
      </c>
      <c r="C38" s="1" t="s">
        <v>83</v>
      </c>
      <c r="D38" s="1" t="s">
        <v>88</v>
      </c>
      <c r="E38" s="1" t="s">
        <v>987</v>
      </c>
      <c r="F38" s="3" t="s">
        <v>1001</v>
      </c>
      <c r="G38" s="1">
        <v>37</v>
      </c>
      <c r="H38" s="1">
        <v>2</v>
      </c>
      <c r="I38" s="1">
        <v>0</v>
      </c>
      <c r="J38" s="1">
        <v>18</v>
      </c>
      <c r="K38" s="1">
        <v>10</v>
      </c>
    </row>
    <row r="39" spans="1:11" x14ac:dyDescent="0.3">
      <c r="A39" s="1" t="s">
        <v>1552</v>
      </c>
      <c r="B39" s="1" t="s">
        <v>32</v>
      </c>
      <c r="C39" s="1" t="s">
        <v>83</v>
      </c>
      <c r="D39" s="1" t="s">
        <v>35</v>
      </c>
      <c r="E39" s="1" t="s">
        <v>987</v>
      </c>
      <c r="F39" s="3" t="s">
        <v>1001</v>
      </c>
      <c r="G39" s="1">
        <v>26.5</v>
      </c>
      <c r="H39" s="1">
        <v>1</v>
      </c>
      <c r="I39" s="1">
        <v>0</v>
      </c>
      <c r="J39" s="1">
        <v>16</v>
      </c>
      <c r="K39" s="1">
        <v>9</v>
      </c>
    </row>
    <row r="40" spans="1:11" x14ac:dyDescent="0.3">
      <c r="A40" s="1" t="s">
        <v>1335</v>
      </c>
      <c r="B40" s="1" t="s">
        <v>15</v>
      </c>
      <c r="C40" s="1" t="s">
        <v>83</v>
      </c>
      <c r="D40" s="1" t="s">
        <v>12</v>
      </c>
      <c r="E40" s="1" t="s">
        <v>981</v>
      </c>
      <c r="F40" s="3" t="s">
        <v>1001</v>
      </c>
      <c r="G40" s="1">
        <v>100</v>
      </c>
      <c r="H40" s="1">
        <v>5</v>
      </c>
      <c r="I40" s="1">
        <v>0</v>
      </c>
      <c r="J40" s="1">
        <v>52</v>
      </c>
      <c r="K40" s="1">
        <v>29</v>
      </c>
    </row>
    <row r="41" spans="1:11" x14ac:dyDescent="0.3">
      <c r="A41" s="1" t="s">
        <v>1570</v>
      </c>
      <c r="B41" s="1" t="s">
        <v>15</v>
      </c>
      <c r="C41" s="1" t="s">
        <v>83</v>
      </c>
      <c r="D41" s="1" t="s">
        <v>100</v>
      </c>
      <c r="E41" s="1" t="s">
        <v>977</v>
      </c>
      <c r="F41" s="3" t="s">
        <v>1001</v>
      </c>
      <c r="G41" s="1">
        <v>50</v>
      </c>
      <c r="H41" s="1">
        <v>1</v>
      </c>
      <c r="I41" s="1">
        <v>0</v>
      </c>
      <c r="J41" s="1">
        <v>14</v>
      </c>
      <c r="K41" s="1">
        <v>8</v>
      </c>
    </row>
    <row r="42" spans="1:11" x14ac:dyDescent="0.3">
      <c r="A42" s="1" t="s">
        <v>1197</v>
      </c>
      <c r="B42" s="1" t="s">
        <v>15</v>
      </c>
      <c r="C42" s="1" t="s">
        <v>83</v>
      </c>
      <c r="D42" s="1" t="s">
        <v>103</v>
      </c>
      <c r="E42" s="1" t="s">
        <v>977</v>
      </c>
      <c r="F42" s="3" t="s">
        <v>1001</v>
      </c>
      <c r="G42" s="1">
        <v>47.5</v>
      </c>
      <c r="H42" s="1">
        <v>8</v>
      </c>
      <c r="I42" s="1">
        <v>1</v>
      </c>
      <c r="J42" s="1">
        <v>97</v>
      </c>
      <c r="K42" s="1">
        <v>54</v>
      </c>
    </row>
    <row r="43" spans="1:11" x14ac:dyDescent="0.3">
      <c r="A43" s="1" t="s">
        <v>1321</v>
      </c>
      <c r="B43" s="1" t="s">
        <v>73</v>
      </c>
      <c r="C43" s="1" t="s">
        <v>83</v>
      </c>
      <c r="D43" s="1" t="s">
        <v>107</v>
      </c>
      <c r="E43" s="1" t="s">
        <v>1009</v>
      </c>
      <c r="F43" s="3" t="s">
        <v>1001</v>
      </c>
      <c r="G43" s="1">
        <v>161.6</v>
      </c>
      <c r="H43" s="1">
        <v>2</v>
      </c>
      <c r="I43" s="1">
        <v>3</v>
      </c>
      <c r="J43" s="1">
        <v>56</v>
      </c>
      <c r="K43" s="1">
        <v>31</v>
      </c>
    </row>
    <row r="44" spans="1:11" x14ac:dyDescent="0.3">
      <c r="A44" s="1" t="s">
        <v>1517</v>
      </c>
      <c r="B44" s="1" t="s">
        <v>73</v>
      </c>
      <c r="C44" s="1" t="s">
        <v>83</v>
      </c>
      <c r="D44" s="1" t="s">
        <v>64</v>
      </c>
      <c r="E44" s="1" t="s">
        <v>1009</v>
      </c>
      <c r="F44" s="3" t="s">
        <v>1001</v>
      </c>
      <c r="G44" s="1">
        <v>51.45000000000001</v>
      </c>
      <c r="H44" s="1">
        <v>2</v>
      </c>
      <c r="I44" s="1">
        <v>0</v>
      </c>
      <c r="J44" s="1">
        <v>20</v>
      </c>
      <c r="K44" s="1">
        <v>11</v>
      </c>
    </row>
    <row r="45" spans="1:11" x14ac:dyDescent="0.3">
      <c r="A45" s="1" t="s">
        <v>1299</v>
      </c>
      <c r="B45" s="1" t="s">
        <v>115</v>
      </c>
      <c r="C45" s="1" t="s">
        <v>16</v>
      </c>
      <c r="D45" s="1" t="s">
        <v>116</v>
      </c>
      <c r="E45" s="1" t="s">
        <v>1021</v>
      </c>
      <c r="F45" s="3" t="s">
        <v>1001</v>
      </c>
      <c r="G45" s="1">
        <v>175</v>
      </c>
      <c r="H45" s="1">
        <v>6</v>
      </c>
      <c r="I45" s="1">
        <v>1</v>
      </c>
      <c r="J45" s="1">
        <v>20</v>
      </c>
      <c r="K45" s="1">
        <v>35</v>
      </c>
    </row>
    <row r="46" spans="1:11" x14ac:dyDescent="0.3">
      <c r="A46" s="1" t="s">
        <v>1143</v>
      </c>
      <c r="B46" s="1" t="s">
        <v>115</v>
      </c>
      <c r="C46" s="1" t="s">
        <v>16</v>
      </c>
      <c r="D46" s="1" t="s">
        <v>116</v>
      </c>
      <c r="E46" s="1" t="s">
        <v>1021</v>
      </c>
      <c r="F46" s="3" t="s">
        <v>1001</v>
      </c>
      <c r="G46" s="1">
        <v>145.5</v>
      </c>
      <c r="H46" s="1">
        <v>5</v>
      </c>
      <c r="I46" s="1">
        <v>4</v>
      </c>
      <c r="J46" s="1">
        <v>44</v>
      </c>
      <c r="K46" s="1">
        <v>64</v>
      </c>
    </row>
    <row r="47" spans="1:11" x14ac:dyDescent="0.3">
      <c r="A47" s="1" t="s">
        <v>1168</v>
      </c>
      <c r="B47" s="1" t="s">
        <v>115</v>
      </c>
      <c r="C47" s="1" t="s">
        <v>16</v>
      </c>
      <c r="D47" s="1" t="s">
        <v>116</v>
      </c>
      <c r="E47" s="1" t="s">
        <v>1021</v>
      </c>
      <c r="F47" s="3" t="s">
        <v>1001</v>
      </c>
      <c r="G47" s="1">
        <v>123.4</v>
      </c>
      <c r="H47" s="1">
        <v>7</v>
      </c>
      <c r="I47" s="1">
        <v>3</v>
      </c>
      <c r="J47" s="1">
        <v>47</v>
      </c>
      <c r="K47" s="1">
        <v>58</v>
      </c>
    </row>
    <row r="48" spans="1:11" x14ac:dyDescent="0.3">
      <c r="A48" s="1" t="s">
        <v>1553</v>
      </c>
      <c r="B48" s="1" t="s">
        <v>24</v>
      </c>
      <c r="C48" s="1" t="s">
        <v>5</v>
      </c>
      <c r="D48" s="1" t="s">
        <v>122</v>
      </c>
      <c r="E48" s="1" t="s">
        <v>1007</v>
      </c>
      <c r="F48" s="3" t="s">
        <v>1001</v>
      </c>
      <c r="G48" s="1">
        <v>180</v>
      </c>
      <c r="H48" s="1">
        <v>2</v>
      </c>
      <c r="I48" s="1">
        <v>0</v>
      </c>
      <c r="J48" s="1">
        <v>5</v>
      </c>
      <c r="K48" s="1">
        <v>9</v>
      </c>
    </row>
    <row r="49" spans="1:11" x14ac:dyDescent="0.3">
      <c r="A49" s="1" t="s">
        <v>1175</v>
      </c>
      <c r="B49" s="1" t="s">
        <v>76</v>
      </c>
      <c r="C49" s="1" t="s">
        <v>5</v>
      </c>
      <c r="D49" s="1" t="s">
        <v>124</v>
      </c>
      <c r="E49" s="1" t="s">
        <v>1007</v>
      </c>
      <c r="F49" s="3" t="s">
        <v>1001</v>
      </c>
      <c r="G49" s="1">
        <v>146.19999999999999</v>
      </c>
      <c r="H49" s="1">
        <v>6</v>
      </c>
      <c r="I49" s="1">
        <v>2</v>
      </c>
      <c r="J49" s="1">
        <v>39</v>
      </c>
      <c r="K49" s="1">
        <v>57</v>
      </c>
    </row>
    <row r="50" spans="1:11" x14ac:dyDescent="0.3">
      <c r="A50" s="1" t="s">
        <v>1067</v>
      </c>
      <c r="B50" s="1" t="s">
        <v>32</v>
      </c>
      <c r="C50" s="1" t="s">
        <v>5</v>
      </c>
      <c r="D50" s="1" t="s">
        <v>126</v>
      </c>
      <c r="E50" s="1" t="s">
        <v>1007</v>
      </c>
      <c r="F50" s="3" t="s">
        <v>1001</v>
      </c>
      <c r="G50" s="1">
        <v>224.4</v>
      </c>
      <c r="H50" s="1">
        <v>7</v>
      </c>
      <c r="I50" s="1">
        <v>8</v>
      </c>
      <c r="J50" s="1">
        <v>41</v>
      </c>
      <c r="K50" s="1">
        <v>92</v>
      </c>
    </row>
    <row r="51" spans="1:11" x14ac:dyDescent="0.3">
      <c r="A51" s="1" t="s">
        <v>1390</v>
      </c>
      <c r="B51" s="1" t="s">
        <v>73</v>
      </c>
      <c r="C51" s="1" t="s">
        <v>5</v>
      </c>
      <c r="D51" s="1" t="s">
        <v>128</v>
      </c>
      <c r="E51" s="1" t="s">
        <v>1007</v>
      </c>
      <c r="F51" s="3" t="s">
        <v>1001</v>
      </c>
      <c r="G51" s="1">
        <v>209.1</v>
      </c>
      <c r="H51" s="1">
        <v>3</v>
      </c>
      <c r="I51" s="1">
        <v>1</v>
      </c>
      <c r="J51" s="1">
        <v>11</v>
      </c>
      <c r="K51" s="1">
        <v>23</v>
      </c>
    </row>
    <row r="52" spans="1:11" x14ac:dyDescent="0.3">
      <c r="A52" s="1" t="s">
        <v>1571</v>
      </c>
      <c r="B52" s="1" t="s">
        <v>130</v>
      </c>
      <c r="C52" s="1" t="s">
        <v>5</v>
      </c>
      <c r="D52" s="1" t="s">
        <v>122</v>
      </c>
      <c r="E52" s="1" t="s">
        <v>1007</v>
      </c>
      <c r="F52" s="3" t="s">
        <v>1001</v>
      </c>
      <c r="G52" s="1">
        <v>61.5</v>
      </c>
      <c r="H52" s="1">
        <v>1</v>
      </c>
      <c r="I52" s="1">
        <v>0</v>
      </c>
      <c r="J52" s="1">
        <v>13</v>
      </c>
      <c r="K52" s="1">
        <v>8</v>
      </c>
    </row>
    <row r="53" spans="1:11" x14ac:dyDescent="0.3">
      <c r="A53" s="1" t="s">
        <v>1669</v>
      </c>
      <c r="B53" s="1" t="s">
        <v>132</v>
      </c>
      <c r="C53" s="1" t="s">
        <v>5</v>
      </c>
      <c r="D53" s="1" t="s">
        <v>133</v>
      </c>
      <c r="E53" s="1" t="s">
        <v>1007</v>
      </c>
      <c r="F53" s="3" t="s">
        <v>1001</v>
      </c>
      <c r="G53" s="1">
        <v>50</v>
      </c>
      <c r="H53" s="1">
        <v>0</v>
      </c>
      <c r="I53" s="1">
        <v>0</v>
      </c>
      <c r="J53" s="1">
        <v>6</v>
      </c>
      <c r="K53" s="1">
        <v>3</v>
      </c>
    </row>
    <row r="54" spans="1:11" x14ac:dyDescent="0.3">
      <c r="A54" s="1" t="s">
        <v>1488</v>
      </c>
      <c r="B54" s="1" t="s">
        <v>71</v>
      </c>
      <c r="C54" s="1" t="s">
        <v>5</v>
      </c>
      <c r="D54" s="1" t="s">
        <v>133</v>
      </c>
      <c r="E54" s="1" t="s">
        <v>1007</v>
      </c>
      <c r="F54" s="3" t="s">
        <v>1001</v>
      </c>
      <c r="G54" s="1">
        <v>108.3</v>
      </c>
      <c r="H54" s="1">
        <v>1</v>
      </c>
      <c r="I54" s="1">
        <v>1</v>
      </c>
      <c r="J54" s="1">
        <v>12</v>
      </c>
      <c r="K54" s="1">
        <v>13</v>
      </c>
    </row>
    <row r="55" spans="1:11" x14ac:dyDescent="0.3">
      <c r="A55" s="1" t="s">
        <v>1203</v>
      </c>
      <c r="B55" s="1" t="s">
        <v>135</v>
      </c>
      <c r="C55" s="1" t="s">
        <v>5</v>
      </c>
      <c r="D55" s="1" t="s">
        <v>133</v>
      </c>
      <c r="E55" s="1" t="s">
        <v>1007</v>
      </c>
      <c r="F55" s="3" t="s">
        <v>1001</v>
      </c>
      <c r="G55" s="1">
        <v>140.5</v>
      </c>
      <c r="H55" s="1">
        <v>4</v>
      </c>
      <c r="I55" s="1">
        <v>3</v>
      </c>
      <c r="J55" s="1">
        <v>37</v>
      </c>
      <c r="K55" s="1">
        <v>52</v>
      </c>
    </row>
    <row r="56" spans="1:11" x14ac:dyDescent="0.3">
      <c r="A56" s="1" t="s">
        <v>1125</v>
      </c>
      <c r="B56" s="1" t="s">
        <v>51</v>
      </c>
      <c r="C56" s="1" t="s">
        <v>1043</v>
      </c>
      <c r="D56" s="1" t="s">
        <v>12</v>
      </c>
      <c r="E56" s="1" t="s">
        <v>1036</v>
      </c>
      <c r="F56" s="3" t="s">
        <v>1001</v>
      </c>
      <c r="G56" s="1">
        <v>178.9</v>
      </c>
      <c r="H56" s="1">
        <v>10</v>
      </c>
      <c r="I56" s="1">
        <v>3</v>
      </c>
      <c r="J56" s="1">
        <v>38</v>
      </c>
      <c r="K56" s="1">
        <v>68</v>
      </c>
    </row>
    <row r="57" spans="1:11" x14ac:dyDescent="0.3">
      <c r="A57" s="1" t="s">
        <v>1422</v>
      </c>
      <c r="B57" s="1" t="s">
        <v>11</v>
      </c>
      <c r="C57" s="1" t="s">
        <v>1043</v>
      </c>
      <c r="D57" s="1" t="s">
        <v>139</v>
      </c>
      <c r="E57" s="1" t="s">
        <v>1036</v>
      </c>
      <c r="F57" s="3" t="s">
        <v>1001</v>
      </c>
      <c r="G57" s="1">
        <v>79.2</v>
      </c>
      <c r="H57" s="1">
        <v>1</v>
      </c>
      <c r="I57" s="1">
        <v>1</v>
      </c>
      <c r="J57" s="1">
        <v>24</v>
      </c>
      <c r="K57" s="1">
        <v>19</v>
      </c>
    </row>
    <row r="58" spans="1:11" x14ac:dyDescent="0.3">
      <c r="A58" s="1" t="s">
        <v>1644</v>
      </c>
      <c r="B58" s="1" t="s">
        <v>53</v>
      </c>
      <c r="C58" s="1" t="s">
        <v>1043</v>
      </c>
      <c r="D58" s="1" t="s">
        <v>12</v>
      </c>
      <c r="E58" s="1" t="s">
        <v>1036</v>
      </c>
      <c r="F58" s="3" t="s">
        <v>1001</v>
      </c>
      <c r="G58" s="1">
        <v>80</v>
      </c>
      <c r="H58" s="1">
        <v>1</v>
      </c>
      <c r="I58" s="1">
        <v>0</v>
      </c>
      <c r="J58" s="1">
        <v>5</v>
      </c>
      <c r="K58" s="1">
        <v>4</v>
      </c>
    </row>
    <row r="59" spans="1:11" x14ac:dyDescent="0.3">
      <c r="A59" s="1" t="s">
        <v>1518</v>
      </c>
      <c r="B59" s="1" t="s">
        <v>11</v>
      </c>
      <c r="C59" s="1" t="s">
        <v>1043</v>
      </c>
      <c r="D59" s="1" t="s">
        <v>12</v>
      </c>
      <c r="E59" s="1" t="s">
        <v>1036</v>
      </c>
      <c r="F59" s="3" t="s">
        <v>1001</v>
      </c>
      <c r="G59" s="1">
        <v>91.7</v>
      </c>
      <c r="H59" s="1">
        <v>0</v>
      </c>
      <c r="I59" s="1">
        <v>1</v>
      </c>
      <c r="J59" s="1">
        <v>12</v>
      </c>
      <c r="K59" s="1">
        <v>11</v>
      </c>
    </row>
    <row r="60" spans="1:11" x14ac:dyDescent="0.3">
      <c r="A60" s="1" t="s">
        <v>1645</v>
      </c>
      <c r="B60" s="1" t="s">
        <v>51</v>
      </c>
      <c r="C60" s="1" t="s">
        <v>1043</v>
      </c>
      <c r="D60" s="1" t="s">
        <v>142</v>
      </c>
      <c r="E60" s="1" t="s">
        <v>1047</v>
      </c>
      <c r="F60" s="3" t="s">
        <v>1001</v>
      </c>
      <c r="G60" s="1">
        <v>80</v>
      </c>
      <c r="H60" s="1">
        <v>1</v>
      </c>
      <c r="I60" s="1">
        <v>0</v>
      </c>
      <c r="J60" s="1">
        <v>5</v>
      </c>
      <c r="K60" s="1">
        <v>4</v>
      </c>
    </row>
    <row r="61" spans="1:11" x14ac:dyDescent="0.3">
      <c r="A61" s="1" t="s">
        <v>1572</v>
      </c>
      <c r="B61" s="1" t="s">
        <v>8</v>
      </c>
      <c r="C61" s="1" t="s">
        <v>1043</v>
      </c>
      <c r="D61" s="1" t="s">
        <v>9</v>
      </c>
      <c r="E61" s="1" t="s">
        <v>1047</v>
      </c>
      <c r="F61" s="3" t="s">
        <v>1001</v>
      </c>
      <c r="G61" s="1">
        <v>100</v>
      </c>
      <c r="H61" s="1">
        <v>1</v>
      </c>
      <c r="I61" s="1">
        <v>0</v>
      </c>
      <c r="J61" s="1">
        <v>8</v>
      </c>
      <c r="K61" s="1">
        <v>8</v>
      </c>
    </row>
    <row r="62" spans="1:11" x14ac:dyDescent="0.3">
      <c r="A62" s="1" t="s">
        <v>1605</v>
      </c>
      <c r="B62" s="1" t="s">
        <v>4</v>
      </c>
      <c r="C62" s="1" t="s">
        <v>1043</v>
      </c>
      <c r="D62" s="1" t="s">
        <v>46</v>
      </c>
      <c r="E62" s="1" t="s">
        <v>1047</v>
      </c>
      <c r="F62" s="3" t="s">
        <v>1001</v>
      </c>
      <c r="G62" s="1">
        <v>120</v>
      </c>
      <c r="H62" s="1">
        <v>1</v>
      </c>
      <c r="I62" s="1">
        <v>0</v>
      </c>
      <c r="J62" s="1">
        <v>5</v>
      </c>
      <c r="K62" s="1">
        <v>6</v>
      </c>
    </row>
    <row r="63" spans="1:11" x14ac:dyDescent="0.3">
      <c r="A63" s="1" t="s">
        <v>1292</v>
      </c>
      <c r="B63" s="1" t="s">
        <v>40</v>
      </c>
      <c r="C63" s="1" t="s">
        <v>1043</v>
      </c>
      <c r="D63" s="1" t="s">
        <v>44</v>
      </c>
      <c r="E63" s="1" t="s">
        <v>1047</v>
      </c>
      <c r="F63" s="3" t="s">
        <v>1001</v>
      </c>
      <c r="G63" s="1">
        <v>144</v>
      </c>
      <c r="H63" s="1">
        <v>2</v>
      </c>
      <c r="I63" s="1">
        <v>3</v>
      </c>
      <c r="J63" s="1">
        <v>25</v>
      </c>
      <c r="K63" s="1">
        <v>36</v>
      </c>
    </row>
    <row r="64" spans="1:11" x14ac:dyDescent="0.3">
      <c r="A64" s="1" t="s">
        <v>1046</v>
      </c>
      <c r="B64" s="1" t="s">
        <v>56</v>
      </c>
      <c r="C64" s="1" t="s">
        <v>1043</v>
      </c>
      <c r="D64" s="1" t="s">
        <v>12</v>
      </c>
      <c r="E64" s="1" t="s">
        <v>1047</v>
      </c>
      <c r="F64" s="3" t="s">
        <v>1001</v>
      </c>
      <c r="G64" s="1">
        <v>166.7</v>
      </c>
      <c r="H64" s="1">
        <v>11</v>
      </c>
      <c r="I64" s="1">
        <v>5</v>
      </c>
      <c r="J64" s="1">
        <v>63</v>
      </c>
      <c r="K64" s="1">
        <v>105</v>
      </c>
    </row>
    <row r="65" spans="1:11" x14ac:dyDescent="0.3">
      <c r="A65" s="1" t="s">
        <v>1283</v>
      </c>
      <c r="B65" s="1" t="s">
        <v>60</v>
      </c>
      <c r="C65" s="1" t="s">
        <v>1043</v>
      </c>
      <c r="D65" s="1" t="s">
        <v>12</v>
      </c>
      <c r="E65" s="1" t="s">
        <v>1047</v>
      </c>
      <c r="F65" s="3" t="s">
        <v>1001</v>
      </c>
      <c r="G65" s="1">
        <v>158.30000000000001</v>
      </c>
      <c r="H65" s="1">
        <v>3</v>
      </c>
      <c r="I65" s="1">
        <v>3</v>
      </c>
      <c r="J65" s="1">
        <v>24</v>
      </c>
      <c r="K65" s="1">
        <v>38</v>
      </c>
    </row>
    <row r="66" spans="1:11" x14ac:dyDescent="0.3">
      <c r="A66" s="1" t="s">
        <v>1227</v>
      </c>
      <c r="B66" s="1" t="s">
        <v>8</v>
      </c>
      <c r="C66" s="1" t="s">
        <v>1043</v>
      </c>
      <c r="D66" s="1" t="s">
        <v>12</v>
      </c>
      <c r="E66" s="1" t="s">
        <v>1047</v>
      </c>
      <c r="F66" s="3" t="s">
        <v>1001</v>
      </c>
      <c r="G66" s="1">
        <v>181.5</v>
      </c>
      <c r="H66" s="1">
        <v>6</v>
      </c>
      <c r="I66" s="1">
        <v>3</v>
      </c>
      <c r="J66" s="1">
        <v>27</v>
      </c>
      <c r="K66" s="1">
        <v>49</v>
      </c>
    </row>
    <row r="67" spans="1:11" x14ac:dyDescent="0.3">
      <c r="A67" s="1" t="s">
        <v>1724</v>
      </c>
      <c r="B67" s="1" t="s">
        <v>4</v>
      </c>
      <c r="C67" s="1" t="s">
        <v>1043</v>
      </c>
      <c r="D67" s="1" t="s">
        <v>12</v>
      </c>
      <c r="E67" s="1" t="s">
        <v>1047</v>
      </c>
      <c r="F67" s="3" t="s">
        <v>1001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</row>
    <row r="68" spans="1:11" x14ac:dyDescent="0.3">
      <c r="A68" s="1" t="s">
        <v>1362</v>
      </c>
      <c r="B68" s="1" t="s">
        <v>53</v>
      </c>
      <c r="C68" s="1" t="s">
        <v>1043</v>
      </c>
      <c r="D68" s="1" t="s">
        <v>54</v>
      </c>
      <c r="E68" s="1" t="s">
        <v>1016</v>
      </c>
      <c r="F68" s="3" t="s">
        <v>1001</v>
      </c>
      <c r="G68" s="1">
        <v>216.7</v>
      </c>
      <c r="H68" s="1">
        <v>1</v>
      </c>
      <c r="I68" s="1">
        <v>3</v>
      </c>
      <c r="J68" s="1">
        <v>12</v>
      </c>
      <c r="K68" s="1">
        <v>26</v>
      </c>
    </row>
    <row r="69" spans="1:11" x14ac:dyDescent="0.3">
      <c r="A69" s="1" t="s">
        <v>1253</v>
      </c>
      <c r="B69" s="1" t="s">
        <v>43</v>
      </c>
      <c r="C69" s="1" t="s">
        <v>1043</v>
      </c>
      <c r="D69" s="1" t="s">
        <v>41</v>
      </c>
      <c r="E69" s="1" t="s">
        <v>1016</v>
      </c>
      <c r="F69" s="3" t="s">
        <v>1001</v>
      </c>
      <c r="G69" s="1">
        <v>148.30000000000001</v>
      </c>
      <c r="H69" s="1">
        <v>7</v>
      </c>
      <c r="I69" s="1">
        <v>1</v>
      </c>
      <c r="J69" s="1">
        <v>29</v>
      </c>
      <c r="K69" s="1">
        <v>43</v>
      </c>
    </row>
    <row r="70" spans="1:11" x14ac:dyDescent="0.3">
      <c r="A70" s="1" t="s">
        <v>1051</v>
      </c>
      <c r="B70" s="1" t="s">
        <v>76</v>
      </c>
      <c r="C70" s="1" t="s">
        <v>83</v>
      </c>
      <c r="D70" s="1" t="s">
        <v>154</v>
      </c>
      <c r="E70" s="1" t="s">
        <v>1016</v>
      </c>
      <c r="F70" s="3" t="s">
        <v>1001</v>
      </c>
      <c r="G70" s="1">
        <v>63.5</v>
      </c>
      <c r="H70" s="1">
        <v>13</v>
      </c>
      <c r="I70" s="1">
        <v>3</v>
      </c>
      <c r="J70" s="1">
        <v>185</v>
      </c>
      <c r="K70" s="1">
        <v>103</v>
      </c>
    </row>
    <row r="71" spans="1:11" x14ac:dyDescent="0.3">
      <c r="A71" s="1" t="s">
        <v>1176</v>
      </c>
      <c r="B71" s="1" t="s">
        <v>76</v>
      </c>
      <c r="C71" s="1" t="s">
        <v>83</v>
      </c>
      <c r="D71" s="1" t="s">
        <v>29</v>
      </c>
      <c r="E71" s="1" t="s">
        <v>990</v>
      </c>
      <c r="F71" s="3" t="s">
        <v>1001</v>
      </c>
      <c r="G71" s="1">
        <v>45.050000000000004</v>
      </c>
      <c r="H71" s="1">
        <v>5</v>
      </c>
      <c r="I71" s="1">
        <v>1</v>
      </c>
      <c r="J71" s="1">
        <v>103</v>
      </c>
      <c r="K71" s="1">
        <v>57</v>
      </c>
    </row>
    <row r="72" spans="1:11" x14ac:dyDescent="0.3">
      <c r="A72" s="1" t="s">
        <v>1000</v>
      </c>
      <c r="B72" s="1" t="s">
        <v>76</v>
      </c>
      <c r="C72" s="1" t="s">
        <v>83</v>
      </c>
      <c r="D72" s="1" t="s">
        <v>19</v>
      </c>
      <c r="E72" s="1" t="s">
        <v>990</v>
      </c>
      <c r="F72" s="3" t="s">
        <v>1001</v>
      </c>
      <c r="G72" s="1">
        <v>67.3</v>
      </c>
      <c r="H72" s="1">
        <v>17</v>
      </c>
      <c r="I72" s="1">
        <v>3</v>
      </c>
      <c r="J72" s="1">
        <v>270</v>
      </c>
      <c r="K72" s="1">
        <v>150</v>
      </c>
    </row>
    <row r="73" spans="1:11" x14ac:dyDescent="0.3">
      <c r="A73" s="1" t="s">
        <v>1351</v>
      </c>
      <c r="B73" s="1" t="s">
        <v>76</v>
      </c>
      <c r="C73" s="1" t="s">
        <v>83</v>
      </c>
      <c r="D73" s="1" t="s">
        <v>25</v>
      </c>
      <c r="E73" s="1" t="s">
        <v>990</v>
      </c>
      <c r="F73" s="3" t="s">
        <v>1001</v>
      </c>
      <c r="G73" s="1">
        <v>48</v>
      </c>
      <c r="H73" s="1">
        <v>3</v>
      </c>
      <c r="I73" s="1">
        <v>0</v>
      </c>
      <c r="J73" s="1">
        <v>49</v>
      </c>
      <c r="K73" s="1">
        <v>27</v>
      </c>
    </row>
    <row r="74" spans="1:11" x14ac:dyDescent="0.3">
      <c r="A74" s="1" t="s">
        <v>1149</v>
      </c>
      <c r="B74" s="1" t="s">
        <v>76</v>
      </c>
      <c r="C74" s="1" t="s">
        <v>83</v>
      </c>
      <c r="D74" s="1" t="s">
        <v>54</v>
      </c>
      <c r="E74" s="1" t="s">
        <v>994</v>
      </c>
      <c r="F74" s="3" t="s">
        <v>1001</v>
      </c>
      <c r="G74" s="1">
        <v>78</v>
      </c>
      <c r="H74" s="1">
        <v>10</v>
      </c>
      <c r="I74" s="1">
        <v>0</v>
      </c>
      <c r="J74" s="1">
        <v>113</v>
      </c>
      <c r="K74" s="1">
        <v>63</v>
      </c>
    </row>
    <row r="75" spans="1:11" x14ac:dyDescent="0.3">
      <c r="A75" s="1" t="s">
        <v>1027</v>
      </c>
      <c r="B75" s="1" t="s">
        <v>130</v>
      </c>
      <c r="C75" s="1" t="s">
        <v>5</v>
      </c>
      <c r="D75" s="1" t="s">
        <v>103</v>
      </c>
      <c r="E75" s="1" t="s">
        <v>994</v>
      </c>
      <c r="F75" s="3" t="s">
        <v>1001</v>
      </c>
      <c r="G75" s="1">
        <v>175.4</v>
      </c>
      <c r="H75" s="1">
        <v>11</v>
      </c>
      <c r="I75" s="1">
        <v>8</v>
      </c>
      <c r="J75" s="1">
        <v>69</v>
      </c>
      <c r="K75" s="1">
        <v>121</v>
      </c>
    </row>
    <row r="76" spans="1:11" x14ac:dyDescent="0.3">
      <c r="A76" s="1" t="s">
        <v>1725</v>
      </c>
      <c r="B76" s="1" t="s">
        <v>130</v>
      </c>
      <c r="C76" s="1" t="s">
        <v>5</v>
      </c>
      <c r="D76" s="1" t="s">
        <v>17</v>
      </c>
      <c r="E76" s="1" t="s">
        <v>994</v>
      </c>
      <c r="F76" s="3" t="s">
        <v>1001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</row>
    <row r="77" spans="1:11" x14ac:dyDescent="0.3">
      <c r="A77" s="1" t="s">
        <v>1726</v>
      </c>
      <c r="B77" s="1" t="s">
        <v>130</v>
      </c>
      <c r="C77" s="1" t="s">
        <v>5</v>
      </c>
      <c r="D77" s="1" t="s">
        <v>173</v>
      </c>
      <c r="E77" s="1" t="s">
        <v>994</v>
      </c>
      <c r="F77" s="3" t="s">
        <v>1001</v>
      </c>
      <c r="G77" s="1">
        <v>0</v>
      </c>
      <c r="H77" s="1">
        <v>0</v>
      </c>
      <c r="I77" s="1">
        <v>0</v>
      </c>
      <c r="J77" s="1">
        <v>2</v>
      </c>
      <c r="K77" s="1">
        <v>0</v>
      </c>
    </row>
    <row r="78" spans="1:11" x14ac:dyDescent="0.3">
      <c r="A78" s="1" t="s">
        <v>1193</v>
      </c>
      <c r="B78" s="1" t="s">
        <v>24</v>
      </c>
      <c r="C78" s="1" t="s">
        <v>83</v>
      </c>
      <c r="D78" s="1" t="s">
        <v>176</v>
      </c>
      <c r="E78" s="1" t="s">
        <v>994</v>
      </c>
      <c r="F78" s="3" t="s">
        <v>1001</v>
      </c>
      <c r="G78" s="1">
        <v>75.349999999999994</v>
      </c>
      <c r="H78" s="1">
        <v>9</v>
      </c>
      <c r="I78" s="1">
        <v>0</v>
      </c>
      <c r="J78" s="1">
        <v>99</v>
      </c>
      <c r="K78" s="1">
        <v>55</v>
      </c>
    </row>
    <row r="79" spans="1:11" x14ac:dyDescent="0.3">
      <c r="A79" s="1" t="s">
        <v>1618</v>
      </c>
      <c r="B79" s="1" t="s">
        <v>24</v>
      </c>
      <c r="C79" s="1" t="s">
        <v>83</v>
      </c>
      <c r="D79" s="1" t="s">
        <v>180</v>
      </c>
      <c r="E79" s="1" t="s">
        <v>987</v>
      </c>
      <c r="F79" s="3" t="s">
        <v>1013</v>
      </c>
      <c r="G79" s="1">
        <v>35.700000000000003</v>
      </c>
      <c r="H79" s="1">
        <v>1</v>
      </c>
      <c r="I79" s="1">
        <v>0</v>
      </c>
      <c r="J79" s="1">
        <v>9</v>
      </c>
      <c r="K79" s="1">
        <v>5</v>
      </c>
    </row>
    <row r="80" spans="1:11" x14ac:dyDescent="0.3">
      <c r="A80" s="1" t="s">
        <v>1240</v>
      </c>
      <c r="B80" s="1" t="s">
        <v>32</v>
      </c>
      <c r="C80" s="1" t="s">
        <v>16</v>
      </c>
      <c r="D80" s="1" t="s">
        <v>41</v>
      </c>
      <c r="E80" s="1" t="s">
        <v>981</v>
      </c>
      <c r="F80" s="3" t="s">
        <v>1013</v>
      </c>
      <c r="G80" s="1">
        <v>151.6</v>
      </c>
      <c r="H80" s="1">
        <v>4</v>
      </c>
      <c r="I80" s="1">
        <v>3</v>
      </c>
      <c r="J80" s="1">
        <v>31</v>
      </c>
      <c r="K80" s="1">
        <v>47</v>
      </c>
    </row>
    <row r="81" spans="1:11" x14ac:dyDescent="0.3">
      <c r="A81" s="1" t="s">
        <v>1241</v>
      </c>
      <c r="B81" s="1" t="s">
        <v>15</v>
      </c>
      <c r="C81" s="1" t="s">
        <v>16</v>
      </c>
      <c r="D81" s="1" t="s">
        <v>12</v>
      </c>
      <c r="E81" s="1" t="s">
        <v>981</v>
      </c>
      <c r="F81" s="3" t="s">
        <v>1013</v>
      </c>
      <c r="G81" s="1">
        <v>162.1</v>
      </c>
      <c r="H81" s="1">
        <v>4</v>
      </c>
      <c r="I81" s="1">
        <v>4</v>
      </c>
      <c r="J81" s="1">
        <v>29</v>
      </c>
      <c r="K81" s="1">
        <v>47</v>
      </c>
    </row>
    <row r="82" spans="1:11" x14ac:dyDescent="0.3">
      <c r="A82" s="1" t="s">
        <v>1160</v>
      </c>
      <c r="B82" s="1" t="s">
        <v>187</v>
      </c>
      <c r="C82" s="1" t="s">
        <v>16</v>
      </c>
      <c r="D82" s="1" t="s">
        <v>103</v>
      </c>
      <c r="E82" s="1" t="s">
        <v>981</v>
      </c>
      <c r="F82" s="3" t="s">
        <v>1013</v>
      </c>
      <c r="G82" s="1">
        <v>113</v>
      </c>
      <c r="H82" s="1">
        <v>8</v>
      </c>
      <c r="I82" s="1">
        <v>2</v>
      </c>
      <c r="J82" s="1">
        <v>54</v>
      </c>
      <c r="K82" s="1">
        <v>61</v>
      </c>
    </row>
    <row r="83" spans="1:11" x14ac:dyDescent="0.3">
      <c r="A83" s="1" t="s">
        <v>1272</v>
      </c>
      <c r="B83" s="1" t="s">
        <v>24</v>
      </c>
      <c r="C83" s="1" t="s">
        <v>16</v>
      </c>
      <c r="D83" s="1" t="s">
        <v>139</v>
      </c>
      <c r="E83" s="1" t="s">
        <v>981</v>
      </c>
      <c r="F83" s="3" t="s">
        <v>1013</v>
      </c>
      <c r="G83" s="1">
        <v>166.7</v>
      </c>
      <c r="H83" s="1">
        <v>6</v>
      </c>
      <c r="I83" s="1">
        <v>2</v>
      </c>
      <c r="J83" s="1">
        <v>24</v>
      </c>
      <c r="K83" s="1">
        <v>40</v>
      </c>
    </row>
    <row r="84" spans="1:11" x14ac:dyDescent="0.3">
      <c r="A84" s="1" t="s">
        <v>1646</v>
      </c>
      <c r="B84" s="1" t="s">
        <v>115</v>
      </c>
      <c r="C84" s="1" t="s">
        <v>16</v>
      </c>
      <c r="D84" s="1" t="s">
        <v>12</v>
      </c>
      <c r="E84" s="1" t="s">
        <v>981</v>
      </c>
      <c r="F84" s="3" t="s">
        <v>1013</v>
      </c>
      <c r="G84" s="1">
        <v>200</v>
      </c>
      <c r="H84" s="1">
        <v>1</v>
      </c>
      <c r="I84" s="1">
        <v>0</v>
      </c>
      <c r="J84" s="1">
        <v>2</v>
      </c>
      <c r="K84" s="1">
        <v>4</v>
      </c>
    </row>
    <row r="85" spans="1:11" x14ac:dyDescent="0.3">
      <c r="A85" s="1" t="s">
        <v>1074</v>
      </c>
      <c r="B85" s="1" t="s">
        <v>76</v>
      </c>
      <c r="C85" s="1" t="s">
        <v>16</v>
      </c>
      <c r="D85" s="1" t="s">
        <v>142</v>
      </c>
      <c r="E85" s="1" t="s">
        <v>977</v>
      </c>
      <c r="F85" s="3" t="s">
        <v>1013</v>
      </c>
      <c r="G85" s="1">
        <v>86.1</v>
      </c>
      <c r="H85" s="1">
        <v>10</v>
      </c>
      <c r="I85" s="1">
        <v>3</v>
      </c>
      <c r="J85" s="1">
        <v>101</v>
      </c>
      <c r="K85" s="1">
        <v>87</v>
      </c>
    </row>
    <row r="86" spans="1:11" x14ac:dyDescent="0.3">
      <c r="A86" s="1" t="s">
        <v>1243</v>
      </c>
      <c r="B86" s="1" t="s">
        <v>15</v>
      </c>
      <c r="C86" s="1" t="s">
        <v>16</v>
      </c>
      <c r="D86" s="1" t="s">
        <v>154</v>
      </c>
      <c r="E86" s="1" t="s">
        <v>977</v>
      </c>
      <c r="F86" s="3" t="s">
        <v>1013</v>
      </c>
      <c r="G86" s="1">
        <v>115</v>
      </c>
      <c r="H86" s="1">
        <v>4</v>
      </c>
      <c r="I86" s="1">
        <v>4</v>
      </c>
      <c r="J86" s="1">
        <v>40</v>
      </c>
      <c r="K86" s="1">
        <v>46</v>
      </c>
    </row>
    <row r="87" spans="1:11" x14ac:dyDescent="0.3">
      <c r="A87" s="1" t="s">
        <v>1232</v>
      </c>
      <c r="B87" s="1" t="s">
        <v>73</v>
      </c>
      <c r="C87" s="1" t="s">
        <v>16</v>
      </c>
      <c r="D87" s="1" t="s">
        <v>100</v>
      </c>
      <c r="E87" s="1" t="s">
        <v>977</v>
      </c>
      <c r="F87" s="3" t="s">
        <v>1013</v>
      </c>
      <c r="G87" s="1">
        <v>120</v>
      </c>
      <c r="H87" s="1">
        <v>7</v>
      </c>
      <c r="I87" s="1">
        <v>2</v>
      </c>
      <c r="J87" s="1">
        <v>40</v>
      </c>
      <c r="K87" s="1">
        <v>48</v>
      </c>
    </row>
    <row r="88" spans="1:11" x14ac:dyDescent="0.3">
      <c r="A88" s="1" t="s">
        <v>1077</v>
      </c>
      <c r="B88" s="1" t="s">
        <v>71</v>
      </c>
      <c r="C88" s="1" t="s">
        <v>16</v>
      </c>
      <c r="D88" s="1" t="s">
        <v>41</v>
      </c>
      <c r="E88" s="1" t="s">
        <v>977</v>
      </c>
      <c r="F88" s="3" t="s">
        <v>1013</v>
      </c>
      <c r="G88" s="1">
        <v>136.5</v>
      </c>
      <c r="H88" s="1">
        <v>6</v>
      </c>
      <c r="I88" s="1">
        <v>6</v>
      </c>
      <c r="J88" s="1">
        <v>63</v>
      </c>
      <c r="K88" s="1">
        <v>86</v>
      </c>
    </row>
    <row r="89" spans="1:11" x14ac:dyDescent="0.3">
      <c r="A89" s="1" t="s">
        <v>1018</v>
      </c>
      <c r="B89" s="1" t="s">
        <v>130</v>
      </c>
      <c r="C89" s="1" t="s">
        <v>16</v>
      </c>
      <c r="D89" s="1" t="s">
        <v>9</v>
      </c>
      <c r="E89" s="1" t="s">
        <v>977</v>
      </c>
      <c r="F89" s="3" t="s">
        <v>1013</v>
      </c>
      <c r="G89" s="1">
        <v>156</v>
      </c>
      <c r="H89" s="1">
        <v>16</v>
      </c>
      <c r="I89" s="1">
        <v>5</v>
      </c>
      <c r="J89" s="1">
        <v>84</v>
      </c>
      <c r="K89" s="1">
        <v>131</v>
      </c>
    </row>
    <row r="90" spans="1:11" x14ac:dyDescent="0.3">
      <c r="A90" s="1" t="s">
        <v>1727</v>
      </c>
      <c r="B90" s="1" t="s">
        <v>32</v>
      </c>
      <c r="C90" s="1" t="s">
        <v>16</v>
      </c>
      <c r="D90" s="1" t="s">
        <v>64</v>
      </c>
      <c r="E90" s="1" t="s">
        <v>977</v>
      </c>
      <c r="F90" s="3" t="s">
        <v>1013</v>
      </c>
      <c r="G90" s="1">
        <v>0</v>
      </c>
      <c r="H90" s="1">
        <v>0</v>
      </c>
      <c r="I90" s="1">
        <v>0</v>
      </c>
      <c r="J90" s="1">
        <v>6</v>
      </c>
      <c r="K90" s="1">
        <v>0</v>
      </c>
    </row>
    <row r="91" spans="1:11" x14ac:dyDescent="0.3">
      <c r="A91" s="1" t="s">
        <v>1088</v>
      </c>
      <c r="B91" s="1" t="s">
        <v>32</v>
      </c>
      <c r="C91" s="1" t="s">
        <v>16</v>
      </c>
      <c r="D91" s="1" t="s">
        <v>19</v>
      </c>
      <c r="E91" s="1" t="s">
        <v>1009</v>
      </c>
      <c r="F91" s="3" t="s">
        <v>1013</v>
      </c>
      <c r="G91" s="1">
        <v>142.1</v>
      </c>
      <c r="H91" s="1">
        <v>5</v>
      </c>
      <c r="I91" s="1">
        <v>6</v>
      </c>
      <c r="J91" s="1">
        <v>57</v>
      </c>
      <c r="K91" s="1">
        <v>81</v>
      </c>
    </row>
    <row r="92" spans="1:11" x14ac:dyDescent="0.3">
      <c r="A92" s="1" t="s">
        <v>1728</v>
      </c>
      <c r="B92" s="1" t="s">
        <v>73</v>
      </c>
      <c r="C92" s="1" t="s">
        <v>16</v>
      </c>
      <c r="D92" s="1" t="s">
        <v>116</v>
      </c>
      <c r="E92" s="1" t="s">
        <v>1009</v>
      </c>
      <c r="F92" s="3" t="s">
        <v>1013</v>
      </c>
      <c r="G92" s="1">
        <v>0</v>
      </c>
      <c r="H92" s="1">
        <v>0</v>
      </c>
      <c r="I92" s="1">
        <v>0</v>
      </c>
      <c r="J92" s="1">
        <v>2</v>
      </c>
      <c r="K92" s="1">
        <v>0</v>
      </c>
    </row>
    <row r="93" spans="1:11" x14ac:dyDescent="0.3">
      <c r="A93" s="1" t="s">
        <v>1200</v>
      </c>
      <c r="B93" s="1" t="s">
        <v>115</v>
      </c>
      <c r="C93" s="1" t="s">
        <v>16</v>
      </c>
      <c r="D93" s="1" t="s">
        <v>116</v>
      </c>
      <c r="E93" s="1" t="s">
        <v>1009</v>
      </c>
      <c r="F93" s="3" t="s">
        <v>1013</v>
      </c>
      <c r="G93" s="1">
        <v>110.4</v>
      </c>
      <c r="H93" s="1">
        <v>7</v>
      </c>
      <c r="I93" s="1">
        <v>2</v>
      </c>
      <c r="J93" s="1">
        <v>48</v>
      </c>
      <c r="K93" s="1">
        <v>53</v>
      </c>
    </row>
    <row r="94" spans="1:11" x14ac:dyDescent="0.3">
      <c r="A94" s="1" t="s">
        <v>1182</v>
      </c>
      <c r="B94" s="1" t="s">
        <v>71</v>
      </c>
      <c r="C94" s="1" t="s">
        <v>16</v>
      </c>
      <c r="D94" s="1" t="s">
        <v>116</v>
      </c>
      <c r="E94" s="1" t="s">
        <v>1009</v>
      </c>
      <c r="F94" s="3" t="s">
        <v>1013</v>
      </c>
      <c r="G94" s="1">
        <v>114.3</v>
      </c>
      <c r="H94" s="1">
        <v>6</v>
      </c>
      <c r="I94" s="1">
        <v>4</v>
      </c>
      <c r="J94" s="1">
        <v>49</v>
      </c>
      <c r="K94" s="1">
        <v>56</v>
      </c>
    </row>
    <row r="95" spans="1:11" x14ac:dyDescent="0.3">
      <c r="A95" s="1" t="s">
        <v>1108</v>
      </c>
      <c r="B95" s="1" t="s">
        <v>203</v>
      </c>
      <c r="C95" s="1" t="s">
        <v>16</v>
      </c>
      <c r="D95" s="1" t="s">
        <v>204</v>
      </c>
      <c r="E95" s="1" t="s">
        <v>1009</v>
      </c>
      <c r="F95" s="3" t="s">
        <v>1013</v>
      </c>
      <c r="G95" s="1">
        <v>125.4</v>
      </c>
      <c r="H95" s="1">
        <v>6</v>
      </c>
      <c r="I95" s="1">
        <v>5</v>
      </c>
      <c r="J95" s="1">
        <v>59</v>
      </c>
      <c r="K95" s="1">
        <v>74</v>
      </c>
    </row>
    <row r="96" spans="1:11" x14ac:dyDescent="0.3">
      <c r="A96" s="1" t="s">
        <v>1519</v>
      </c>
      <c r="B96" s="1" t="s">
        <v>71</v>
      </c>
      <c r="C96" s="1" t="s">
        <v>16</v>
      </c>
      <c r="D96" s="1" t="s">
        <v>204</v>
      </c>
      <c r="E96" s="1" t="s">
        <v>1009</v>
      </c>
      <c r="F96" s="3" t="s">
        <v>1013</v>
      </c>
      <c r="G96" s="1">
        <v>50</v>
      </c>
      <c r="H96" s="1">
        <v>2</v>
      </c>
      <c r="I96" s="1">
        <v>0</v>
      </c>
      <c r="J96" s="1">
        <v>22</v>
      </c>
      <c r="K96" s="1">
        <v>11</v>
      </c>
    </row>
    <row r="97" spans="1:11" x14ac:dyDescent="0.3">
      <c r="A97" s="1" t="s">
        <v>1503</v>
      </c>
      <c r="B97" s="1" t="s">
        <v>208</v>
      </c>
      <c r="C97" s="1" t="s">
        <v>16</v>
      </c>
      <c r="D97" s="1" t="s">
        <v>122</v>
      </c>
      <c r="E97" s="1" t="s">
        <v>1012</v>
      </c>
      <c r="F97" s="3" t="s">
        <v>1013</v>
      </c>
      <c r="G97" s="1">
        <v>63.2</v>
      </c>
      <c r="H97" s="1">
        <v>2</v>
      </c>
      <c r="I97" s="1">
        <v>0</v>
      </c>
      <c r="J97" s="1">
        <v>19</v>
      </c>
      <c r="K97" s="1">
        <v>12</v>
      </c>
    </row>
    <row r="98" spans="1:11" x14ac:dyDescent="0.3">
      <c r="A98" s="1" t="s">
        <v>1011</v>
      </c>
      <c r="B98" s="1" t="s">
        <v>208</v>
      </c>
      <c r="C98" s="1" t="s">
        <v>83</v>
      </c>
      <c r="D98" s="1" t="s">
        <v>210</v>
      </c>
      <c r="E98" s="1" t="s">
        <v>1012</v>
      </c>
      <c r="F98" s="3" t="s">
        <v>1013</v>
      </c>
      <c r="G98" s="1">
        <v>92.7</v>
      </c>
      <c r="H98" s="1">
        <v>14</v>
      </c>
      <c r="I98" s="1">
        <v>5</v>
      </c>
      <c r="J98" s="1">
        <v>247</v>
      </c>
      <c r="K98" s="1">
        <v>137</v>
      </c>
    </row>
    <row r="99" spans="1:11" x14ac:dyDescent="0.3">
      <c r="A99" s="1" t="s">
        <v>1052</v>
      </c>
      <c r="B99" s="1" t="s">
        <v>208</v>
      </c>
      <c r="C99" s="1" t="s">
        <v>83</v>
      </c>
      <c r="D99" s="1" t="s">
        <v>214</v>
      </c>
      <c r="E99" s="1" t="s">
        <v>1012</v>
      </c>
      <c r="F99" s="3" t="s">
        <v>1013</v>
      </c>
      <c r="G99" s="1">
        <v>46.6</v>
      </c>
      <c r="H99" s="1">
        <v>10</v>
      </c>
      <c r="I99" s="1">
        <v>2</v>
      </c>
      <c r="J99" s="1">
        <v>185</v>
      </c>
      <c r="K99" s="1">
        <v>103</v>
      </c>
    </row>
    <row r="100" spans="1:11" x14ac:dyDescent="0.3">
      <c r="A100" s="1" t="s">
        <v>1169</v>
      </c>
      <c r="B100" s="1" t="s">
        <v>32</v>
      </c>
      <c r="C100" s="1" t="s">
        <v>83</v>
      </c>
      <c r="D100" s="1" t="s">
        <v>218</v>
      </c>
      <c r="E100" s="1" t="s">
        <v>1007</v>
      </c>
      <c r="F100" s="3" t="s">
        <v>1013</v>
      </c>
      <c r="G100" s="1">
        <v>64.599999999999994</v>
      </c>
      <c r="H100" s="1">
        <v>9</v>
      </c>
      <c r="I100" s="1">
        <v>1</v>
      </c>
      <c r="J100" s="1">
        <v>104</v>
      </c>
      <c r="K100" s="1">
        <v>58</v>
      </c>
    </row>
    <row r="101" spans="1:11" x14ac:dyDescent="0.3">
      <c r="A101" s="1" t="s">
        <v>1573</v>
      </c>
      <c r="B101" s="1" t="s">
        <v>43</v>
      </c>
      <c r="C101" s="1" t="s">
        <v>1043</v>
      </c>
      <c r="D101" s="1" t="s">
        <v>41</v>
      </c>
      <c r="E101" s="1" t="s">
        <v>1036</v>
      </c>
      <c r="F101" s="3" t="s">
        <v>1013</v>
      </c>
      <c r="G101" s="1">
        <v>114.3</v>
      </c>
      <c r="H101" s="1">
        <v>1</v>
      </c>
      <c r="I101" s="1">
        <v>0</v>
      </c>
      <c r="J101" s="1">
        <v>7</v>
      </c>
      <c r="K101" s="1">
        <v>8</v>
      </c>
    </row>
    <row r="102" spans="1:11" x14ac:dyDescent="0.3">
      <c r="A102" s="1" t="s">
        <v>1520</v>
      </c>
      <c r="B102" s="1" t="s">
        <v>51</v>
      </c>
      <c r="C102" s="1" t="s">
        <v>1043</v>
      </c>
      <c r="D102" s="1" t="s">
        <v>64</v>
      </c>
      <c r="E102" s="1" t="s">
        <v>1036</v>
      </c>
      <c r="F102" s="3" t="s">
        <v>1013</v>
      </c>
      <c r="G102" s="1">
        <v>110</v>
      </c>
      <c r="H102" s="1">
        <v>1</v>
      </c>
      <c r="I102" s="1">
        <v>1</v>
      </c>
      <c r="J102" s="1">
        <v>10</v>
      </c>
      <c r="K102" s="1">
        <v>11</v>
      </c>
    </row>
    <row r="103" spans="1:11" x14ac:dyDescent="0.3">
      <c r="A103" s="1" t="s">
        <v>1183</v>
      </c>
      <c r="B103" s="1" t="s">
        <v>53</v>
      </c>
      <c r="C103" s="1" t="s">
        <v>1043</v>
      </c>
      <c r="D103" s="1" t="s">
        <v>12</v>
      </c>
      <c r="E103" s="1" t="s">
        <v>1036</v>
      </c>
      <c r="F103" s="3" t="s">
        <v>1013</v>
      </c>
      <c r="G103" s="1">
        <v>151.4</v>
      </c>
      <c r="H103" s="1">
        <v>8</v>
      </c>
      <c r="I103" s="1">
        <v>1</v>
      </c>
      <c r="J103" s="1">
        <v>37</v>
      </c>
      <c r="K103" s="1">
        <v>56</v>
      </c>
    </row>
    <row r="104" spans="1:11" x14ac:dyDescent="0.3">
      <c r="A104" s="1" t="s">
        <v>1288</v>
      </c>
      <c r="B104" s="1" t="s">
        <v>51</v>
      </c>
      <c r="C104" s="1" t="s">
        <v>1043</v>
      </c>
      <c r="D104" s="1" t="s">
        <v>142</v>
      </c>
      <c r="E104" s="1" t="s">
        <v>1036</v>
      </c>
      <c r="F104" s="3" t="s">
        <v>1013</v>
      </c>
      <c r="G104" s="1">
        <v>148</v>
      </c>
      <c r="H104" s="1">
        <v>1</v>
      </c>
      <c r="I104" s="1">
        <v>3</v>
      </c>
      <c r="J104" s="1">
        <v>25</v>
      </c>
      <c r="K104" s="1">
        <v>37</v>
      </c>
    </row>
    <row r="105" spans="1:11" x14ac:dyDescent="0.3">
      <c r="A105" s="1" t="s">
        <v>1336</v>
      </c>
      <c r="B105" s="1" t="s">
        <v>43</v>
      </c>
      <c r="C105" s="1" t="s">
        <v>1043</v>
      </c>
      <c r="D105" s="1" t="s">
        <v>12</v>
      </c>
      <c r="E105" s="1" t="s">
        <v>1036</v>
      </c>
      <c r="F105" s="3" t="s">
        <v>1013</v>
      </c>
      <c r="G105" s="1">
        <v>161.1</v>
      </c>
      <c r="H105" s="1">
        <v>3</v>
      </c>
      <c r="I105" s="1">
        <v>2</v>
      </c>
      <c r="J105" s="1">
        <v>18</v>
      </c>
      <c r="K105" s="1">
        <v>29</v>
      </c>
    </row>
    <row r="106" spans="1:11" x14ac:dyDescent="0.3">
      <c r="A106" s="1" t="s">
        <v>1590</v>
      </c>
      <c r="B106" s="1" t="s">
        <v>60</v>
      </c>
      <c r="C106" s="1" t="s">
        <v>1043</v>
      </c>
      <c r="D106" s="1" t="s">
        <v>12</v>
      </c>
      <c r="E106" s="1" t="s">
        <v>1036</v>
      </c>
      <c r="F106" s="3" t="s">
        <v>1013</v>
      </c>
      <c r="G106" s="1">
        <v>87.5</v>
      </c>
      <c r="H106" s="1">
        <v>1</v>
      </c>
      <c r="I106" s="1">
        <v>0</v>
      </c>
      <c r="J106" s="1">
        <v>8</v>
      </c>
      <c r="K106" s="1">
        <v>7</v>
      </c>
    </row>
    <row r="107" spans="1:11" x14ac:dyDescent="0.3">
      <c r="A107" s="1" t="s">
        <v>1729</v>
      </c>
      <c r="B107" s="1" t="s">
        <v>56</v>
      </c>
      <c r="C107" s="1" t="s">
        <v>1043</v>
      </c>
      <c r="D107" s="1" t="s">
        <v>64</v>
      </c>
      <c r="E107" s="1" t="s">
        <v>1036</v>
      </c>
      <c r="F107" s="3" t="s">
        <v>1013</v>
      </c>
      <c r="G107" s="1">
        <v>0</v>
      </c>
      <c r="H107" s="1">
        <v>0</v>
      </c>
      <c r="I107" s="1">
        <v>0</v>
      </c>
      <c r="J107" s="1">
        <v>3</v>
      </c>
      <c r="K107" s="1">
        <v>0</v>
      </c>
    </row>
    <row r="108" spans="1:11" x14ac:dyDescent="0.3">
      <c r="A108" s="1" t="s">
        <v>1730</v>
      </c>
      <c r="B108" s="1" t="s">
        <v>40</v>
      </c>
      <c r="C108" s="1" t="s">
        <v>1043</v>
      </c>
      <c r="D108" s="1" t="s">
        <v>173</v>
      </c>
      <c r="E108" s="1" t="s">
        <v>1036</v>
      </c>
      <c r="F108" s="3" t="s">
        <v>1013</v>
      </c>
      <c r="G108" s="1">
        <v>0</v>
      </c>
      <c r="H108" s="1">
        <v>0</v>
      </c>
      <c r="I108" s="1">
        <v>0</v>
      </c>
      <c r="J108" s="1">
        <v>3</v>
      </c>
      <c r="K108" s="1">
        <v>0</v>
      </c>
    </row>
    <row r="109" spans="1:11" x14ac:dyDescent="0.3">
      <c r="A109" s="1" t="s">
        <v>1670</v>
      </c>
      <c r="B109" s="1" t="s">
        <v>4</v>
      </c>
      <c r="C109" s="1" t="s">
        <v>1043</v>
      </c>
      <c r="D109" s="1" t="s">
        <v>12</v>
      </c>
      <c r="E109" s="1" t="s">
        <v>1047</v>
      </c>
      <c r="F109" s="3" t="s">
        <v>1013</v>
      </c>
      <c r="G109" s="1">
        <v>60</v>
      </c>
      <c r="H109" s="1">
        <v>0</v>
      </c>
      <c r="I109" s="1">
        <v>0</v>
      </c>
      <c r="J109" s="1">
        <v>5</v>
      </c>
      <c r="K109" s="1">
        <v>3</v>
      </c>
    </row>
    <row r="110" spans="1:11" x14ac:dyDescent="0.3">
      <c r="A110" s="1" t="s">
        <v>1683</v>
      </c>
      <c r="B110" s="1" t="s">
        <v>43</v>
      </c>
      <c r="C110" s="1" t="s">
        <v>1043</v>
      </c>
      <c r="D110" s="1" t="s">
        <v>41</v>
      </c>
      <c r="E110" s="1" t="s">
        <v>1047</v>
      </c>
      <c r="F110" s="3" t="s">
        <v>1013</v>
      </c>
      <c r="G110" s="1">
        <v>25</v>
      </c>
      <c r="H110" s="1">
        <v>0</v>
      </c>
      <c r="I110" s="1">
        <v>0</v>
      </c>
      <c r="J110" s="1">
        <v>8</v>
      </c>
      <c r="K110" s="1">
        <v>2</v>
      </c>
    </row>
    <row r="111" spans="1:11" x14ac:dyDescent="0.3">
      <c r="A111" s="1" t="s">
        <v>1249</v>
      </c>
      <c r="B111" s="1" t="s">
        <v>40</v>
      </c>
      <c r="C111" s="1" t="s">
        <v>1043</v>
      </c>
      <c r="D111" s="1" t="s">
        <v>12</v>
      </c>
      <c r="E111" s="1" t="s">
        <v>1047</v>
      </c>
      <c r="F111" s="3" t="s">
        <v>1013</v>
      </c>
      <c r="G111" s="1">
        <v>163</v>
      </c>
      <c r="H111" s="1">
        <v>4</v>
      </c>
      <c r="I111" s="1">
        <v>3</v>
      </c>
      <c r="J111" s="1">
        <v>27</v>
      </c>
      <c r="K111" s="1">
        <v>44</v>
      </c>
    </row>
    <row r="112" spans="1:11" x14ac:dyDescent="0.3">
      <c r="A112" s="1" t="s">
        <v>1344</v>
      </c>
      <c r="B112" s="1" t="s">
        <v>53</v>
      </c>
      <c r="C112" s="1" t="s">
        <v>1043</v>
      </c>
      <c r="D112" s="1" t="s">
        <v>54</v>
      </c>
      <c r="E112" s="1" t="s">
        <v>1047</v>
      </c>
      <c r="F112" s="3" t="s">
        <v>1013</v>
      </c>
      <c r="G112" s="1">
        <v>155.6</v>
      </c>
      <c r="H112" s="1">
        <v>6</v>
      </c>
      <c r="I112" s="1">
        <v>0</v>
      </c>
      <c r="J112" s="1">
        <v>18</v>
      </c>
      <c r="K112" s="1">
        <v>28</v>
      </c>
    </row>
    <row r="113" spans="1:11" x14ac:dyDescent="0.3">
      <c r="A113" s="1" t="s">
        <v>1413</v>
      </c>
      <c r="B113" s="1" t="s">
        <v>11</v>
      </c>
      <c r="C113" s="1" t="s">
        <v>1043</v>
      </c>
      <c r="D113" s="1" t="s">
        <v>12</v>
      </c>
      <c r="E113" s="1" t="s">
        <v>1047</v>
      </c>
      <c r="F113" s="3" t="s">
        <v>1013</v>
      </c>
      <c r="G113" s="1">
        <v>153.80000000000001</v>
      </c>
      <c r="H113" s="1">
        <v>1</v>
      </c>
      <c r="I113" s="1">
        <v>2</v>
      </c>
      <c r="J113" s="1">
        <v>13</v>
      </c>
      <c r="K113" s="1">
        <v>20</v>
      </c>
    </row>
    <row r="114" spans="1:11" x14ac:dyDescent="0.3">
      <c r="A114" s="1" t="s">
        <v>1137</v>
      </c>
      <c r="B114" s="1" t="s">
        <v>8</v>
      </c>
      <c r="C114" s="1" t="s">
        <v>1043</v>
      </c>
      <c r="D114" s="1" t="s">
        <v>9</v>
      </c>
      <c r="E114" s="1" t="s">
        <v>1047</v>
      </c>
      <c r="F114" s="3" t="s">
        <v>1013</v>
      </c>
      <c r="G114" s="1">
        <v>144.4</v>
      </c>
      <c r="H114" s="1">
        <v>6</v>
      </c>
      <c r="I114" s="1">
        <v>4</v>
      </c>
      <c r="J114" s="1">
        <v>45</v>
      </c>
      <c r="K114" s="1">
        <v>65</v>
      </c>
    </row>
    <row r="115" spans="1:11" x14ac:dyDescent="0.3">
      <c r="A115" s="1" t="s">
        <v>1401</v>
      </c>
      <c r="B115" s="1" t="s">
        <v>56</v>
      </c>
      <c r="C115" s="1" t="s">
        <v>1043</v>
      </c>
      <c r="D115" s="1" t="s">
        <v>12</v>
      </c>
      <c r="E115" s="1" t="s">
        <v>1047</v>
      </c>
      <c r="F115" s="3" t="s">
        <v>1013</v>
      </c>
      <c r="G115" s="1">
        <v>161.5</v>
      </c>
      <c r="H115" s="1">
        <v>3</v>
      </c>
      <c r="I115" s="1">
        <v>1</v>
      </c>
      <c r="J115" s="1">
        <v>13</v>
      </c>
      <c r="K115" s="1">
        <v>21</v>
      </c>
    </row>
    <row r="116" spans="1:11" x14ac:dyDescent="0.3">
      <c r="A116" s="1" t="s">
        <v>1704</v>
      </c>
      <c r="B116" s="1" t="s">
        <v>60</v>
      </c>
      <c r="C116" s="1" t="s">
        <v>1043</v>
      </c>
      <c r="D116" s="1" t="s">
        <v>103</v>
      </c>
      <c r="E116" s="1" t="s">
        <v>1047</v>
      </c>
      <c r="F116" s="3" t="s">
        <v>1013</v>
      </c>
      <c r="G116" s="1">
        <v>10</v>
      </c>
      <c r="H116" s="1">
        <v>0</v>
      </c>
      <c r="I116" s="1">
        <v>0</v>
      </c>
      <c r="J116" s="1">
        <v>10</v>
      </c>
      <c r="K116" s="1">
        <v>1</v>
      </c>
    </row>
    <row r="117" spans="1:11" x14ac:dyDescent="0.3">
      <c r="A117" s="1" t="s">
        <v>1326</v>
      </c>
      <c r="B117" s="1" t="s">
        <v>32</v>
      </c>
      <c r="C117" s="1" t="s">
        <v>16</v>
      </c>
      <c r="D117" s="1" t="s">
        <v>64</v>
      </c>
      <c r="E117" s="1" t="s">
        <v>1016</v>
      </c>
      <c r="F117" s="3" t="s">
        <v>1013</v>
      </c>
      <c r="G117" s="1">
        <v>176.5</v>
      </c>
      <c r="H117" s="1">
        <v>2</v>
      </c>
      <c r="I117" s="1">
        <v>2</v>
      </c>
      <c r="J117" s="1">
        <v>17</v>
      </c>
      <c r="K117" s="1">
        <v>30</v>
      </c>
    </row>
    <row r="118" spans="1:11" x14ac:dyDescent="0.3">
      <c r="A118" s="1" t="s">
        <v>1489</v>
      </c>
      <c r="B118" s="1" t="s">
        <v>32</v>
      </c>
      <c r="C118" s="1" t="s">
        <v>16</v>
      </c>
      <c r="D118" s="1" t="s">
        <v>25</v>
      </c>
      <c r="E118" s="1" t="s">
        <v>1016</v>
      </c>
      <c r="F118" s="3" t="s">
        <v>1013</v>
      </c>
      <c r="G118" s="1">
        <v>86.7</v>
      </c>
      <c r="H118" s="1">
        <v>2</v>
      </c>
      <c r="I118" s="1">
        <v>0</v>
      </c>
      <c r="J118" s="1">
        <v>15</v>
      </c>
      <c r="K118" s="1">
        <v>13</v>
      </c>
    </row>
    <row r="119" spans="1:11" x14ac:dyDescent="0.3">
      <c r="A119" s="1" t="s">
        <v>1300</v>
      </c>
      <c r="B119" s="1" t="s">
        <v>32</v>
      </c>
      <c r="C119" s="1" t="s">
        <v>83</v>
      </c>
      <c r="D119" s="1" t="s">
        <v>41</v>
      </c>
      <c r="E119" s="1" t="s">
        <v>1016</v>
      </c>
      <c r="F119" s="3" t="s">
        <v>1013</v>
      </c>
      <c r="G119" s="1">
        <v>60.3</v>
      </c>
      <c r="H119" s="1">
        <v>3</v>
      </c>
      <c r="I119" s="1">
        <v>1</v>
      </c>
      <c r="J119" s="1">
        <v>63</v>
      </c>
      <c r="K119" s="1">
        <v>35</v>
      </c>
    </row>
    <row r="120" spans="1:11" x14ac:dyDescent="0.3">
      <c r="A120" s="1" t="s">
        <v>1377</v>
      </c>
      <c r="B120" s="1" t="s">
        <v>32</v>
      </c>
      <c r="C120" s="1" t="s">
        <v>83</v>
      </c>
      <c r="D120" s="1" t="s">
        <v>17</v>
      </c>
      <c r="E120" s="1" t="s">
        <v>1016</v>
      </c>
      <c r="F120" s="3" t="s">
        <v>1013</v>
      </c>
      <c r="G120" s="1">
        <v>44.2</v>
      </c>
      <c r="H120" s="1">
        <v>3</v>
      </c>
      <c r="I120" s="1">
        <v>0</v>
      </c>
      <c r="J120" s="1">
        <v>43</v>
      </c>
      <c r="K120" s="1">
        <v>24</v>
      </c>
    </row>
    <row r="121" spans="1:11" x14ac:dyDescent="0.3">
      <c r="A121" s="1" t="s">
        <v>1150</v>
      </c>
      <c r="B121" s="1" t="s">
        <v>32</v>
      </c>
      <c r="C121" s="1" t="s">
        <v>83</v>
      </c>
      <c r="D121" s="1" t="s">
        <v>9</v>
      </c>
      <c r="E121" s="1" t="s">
        <v>990</v>
      </c>
      <c r="F121" s="3" t="s">
        <v>1013</v>
      </c>
      <c r="G121" s="1">
        <v>100.64999999999999</v>
      </c>
      <c r="H121" s="1">
        <v>5</v>
      </c>
      <c r="I121" s="1">
        <v>2</v>
      </c>
      <c r="J121" s="1">
        <v>113</v>
      </c>
      <c r="K121" s="1">
        <v>63</v>
      </c>
    </row>
    <row r="122" spans="1:11" x14ac:dyDescent="0.3">
      <c r="A122" s="1" t="s">
        <v>1028</v>
      </c>
      <c r="B122" s="1" t="s">
        <v>32</v>
      </c>
      <c r="C122" s="1" t="s">
        <v>83</v>
      </c>
      <c r="D122" s="1" t="s">
        <v>80</v>
      </c>
      <c r="E122" s="1" t="s">
        <v>990</v>
      </c>
      <c r="F122" s="3" t="s">
        <v>1013</v>
      </c>
      <c r="G122" s="1">
        <v>56.600000000000009</v>
      </c>
      <c r="H122" s="1">
        <v>15</v>
      </c>
      <c r="I122" s="1">
        <v>2</v>
      </c>
      <c r="J122" s="1">
        <v>216</v>
      </c>
      <c r="K122" s="1">
        <v>120</v>
      </c>
    </row>
    <row r="123" spans="1:11" x14ac:dyDescent="0.3">
      <c r="A123" s="1" t="s">
        <v>1057</v>
      </c>
      <c r="B123" s="1" t="s">
        <v>15</v>
      </c>
      <c r="C123" s="1" t="s">
        <v>16</v>
      </c>
      <c r="D123" s="1" t="s">
        <v>17</v>
      </c>
      <c r="E123" s="1" t="s">
        <v>994</v>
      </c>
      <c r="F123" s="3" t="s">
        <v>1013</v>
      </c>
      <c r="G123" s="1">
        <v>118.8</v>
      </c>
      <c r="H123" s="1">
        <v>9</v>
      </c>
      <c r="I123" s="1">
        <v>6</v>
      </c>
      <c r="J123" s="1">
        <v>85</v>
      </c>
      <c r="K123" s="1">
        <v>101</v>
      </c>
    </row>
    <row r="124" spans="1:11" x14ac:dyDescent="0.3">
      <c r="A124" s="1" t="s">
        <v>1213</v>
      </c>
      <c r="B124" s="1" t="s">
        <v>15</v>
      </c>
      <c r="C124" s="1" t="s">
        <v>16</v>
      </c>
      <c r="D124" s="1" t="s">
        <v>27</v>
      </c>
      <c r="E124" s="1" t="s">
        <v>994</v>
      </c>
      <c r="F124" s="3" t="s">
        <v>1013</v>
      </c>
      <c r="G124" s="1">
        <v>102</v>
      </c>
      <c r="H124" s="1">
        <v>7</v>
      </c>
      <c r="I124" s="1">
        <v>2</v>
      </c>
      <c r="J124" s="1">
        <v>50</v>
      </c>
      <c r="K124" s="1">
        <v>51</v>
      </c>
    </row>
    <row r="125" spans="1:11" x14ac:dyDescent="0.3">
      <c r="A125" s="1" t="s">
        <v>1305</v>
      </c>
      <c r="B125" s="1" t="s">
        <v>15</v>
      </c>
      <c r="C125" s="1" t="s">
        <v>16</v>
      </c>
      <c r="D125" s="1" t="s">
        <v>54</v>
      </c>
      <c r="E125" s="1" t="s">
        <v>994</v>
      </c>
      <c r="F125" s="3" t="s">
        <v>1013</v>
      </c>
      <c r="G125" s="1">
        <v>89.5</v>
      </c>
      <c r="H125" s="1">
        <v>4</v>
      </c>
      <c r="I125" s="1">
        <v>2</v>
      </c>
      <c r="J125" s="1">
        <v>38</v>
      </c>
      <c r="K125" s="1">
        <v>34</v>
      </c>
    </row>
    <row r="126" spans="1:11" x14ac:dyDescent="0.3">
      <c r="A126" s="1" t="s">
        <v>1262</v>
      </c>
      <c r="B126" s="1" t="s">
        <v>115</v>
      </c>
      <c r="C126" s="1" t="s">
        <v>16</v>
      </c>
      <c r="D126" s="1" t="s">
        <v>254</v>
      </c>
      <c r="E126" s="1" t="s">
        <v>994</v>
      </c>
      <c r="F126" s="3" t="s">
        <v>1013</v>
      </c>
      <c r="G126" s="1">
        <v>85.7</v>
      </c>
      <c r="H126" s="1">
        <v>2</v>
      </c>
      <c r="I126" s="1">
        <v>3</v>
      </c>
      <c r="J126" s="1">
        <v>49</v>
      </c>
      <c r="K126" s="1">
        <v>42</v>
      </c>
    </row>
    <row r="127" spans="1:11" x14ac:dyDescent="0.3">
      <c r="A127" s="1" t="s">
        <v>1447</v>
      </c>
      <c r="B127" s="1" t="s">
        <v>115</v>
      </c>
      <c r="C127" s="1" t="s">
        <v>16</v>
      </c>
      <c r="D127" s="1" t="s">
        <v>139</v>
      </c>
      <c r="E127" s="1" t="s">
        <v>994</v>
      </c>
      <c r="F127" s="3" t="s">
        <v>1013</v>
      </c>
      <c r="G127" s="1">
        <v>81</v>
      </c>
      <c r="H127" s="1">
        <v>2</v>
      </c>
      <c r="I127" s="1">
        <v>1</v>
      </c>
      <c r="J127" s="1">
        <v>21</v>
      </c>
      <c r="K127" s="1">
        <v>17</v>
      </c>
    </row>
    <row r="128" spans="1:11" x14ac:dyDescent="0.3">
      <c r="A128" s="1" t="s">
        <v>1083</v>
      </c>
      <c r="B128" s="1" t="s">
        <v>115</v>
      </c>
      <c r="C128" s="1" t="s">
        <v>16</v>
      </c>
      <c r="D128" s="1" t="s">
        <v>6</v>
      </c>
      <c r="E128" s="1" t="s">
        <v>994</v>
      </c>
      <c r="F128" s="3" t="s">
        <v>1013</v>
      </c>
      <c r="G128" s="1">
        <v>123.9</v>
      </c>
      <c r="H128" s="1">
        <v>9</v>
      </c>
      <c r="I128" s="1">
        <v>3</v>
      </c>
      <c r="J128" s="1">
        <v>67</v>
      </c>
      <c r="K128" s="1">
        <v>83</v>
      </c>
    </row>
    <row r="129" spans="1:11" x14ac:dyDescent="0.3">
      <c r="A129" s="1" t="s">
        <v>1214</v>
      </c>
      <c r="B129" s="1" t="s">
        <v>73</v>
      </c>
      <c r="C129" s="1" t="s">
        <v>16</v>
      </c>
      <c r="D129" s="1" t="s">
        <v>259</v>
      </c>
      <c r="E129" s="1" t="s">
        <v>987</v>
      </c>
      <c r="F129" s="3" t="s">
        <v>1103</v>
      </c>
      <c r="G129" s="1">
        <v>182.1</v>
      </c>
      <c r="H129" s="1">
        <v>3</v>
      </c>
      <c r="I129" s="1">
        <v>5</v>
      </c>
      <c r="J129" s="1">
        <v>28</v>
      </c>
      <c r="K129" s="1">
        <v>51</v>
      </c>
    </row>
    <row r="130" spans="1:11" x14ac:dyDescent="0.3">
      <c r="A130" s="1" t="s">
        <v>1352</v>
      </c>
      <c r="B130" s="1" t="s">
        <v>73</v>
      </c>
      <c r="C130" s="1" t="s">
        <v>16</v>
      </c>
      <c r="D130" s="1" t="s">
        <v>259</v>
      </c>
      <c r="E130" s="1" t="s">
        <v>987</v>
      </c>
      <c r="F130" s="3" t="s">
        <v>1103</v>
      </c>
      <c r="G130" s="1">
        <v>87.1</v>
      </c>
      <c r="H130" s="1">
        <v>4</v>
      </c>
      <c r="I130" s="1">
        <v>1</v>
      </c>
      <c r="J130" s="1">
        <v>31</v>
      </c>
      <c r="K130" s="1">
        <v>27</v>
      </c>
    </row>
    <row r="131" spans="1:11" x14ac:dyDescent="0.3">
      <c r="A131" s="1" t="s">
        <v>1353</v>
      </c>
      <c r="B131" s="1" t="s">
        <v>76</v>
      </c>
      <c r="C131" s="1" t="s">
        <v>5</v>
      </c>
      <c r="D131" s="1" t="s">
        <v>35</v>
      </c>
      <c r="E131" s="1" t="s">
        <v>981</v>
      </c>
      <c r="F131" s="3" t="s">
        <v>1103</v>
      </c>
      <c r="G131" s="1">
        <v>96.4</v>
      </c>
      <c r="H131" s="1">
        <v>4</v>
      </c>
      <c r="I131" s="1">
        <v>0</v>
      </c>
      <c r="J131" s="1">
        <v>28</v>
      </c>
      <c r="K131" s="1">
        <v>27</v>
      </c>
    </row>
    <row r="132" spans="1:11" x14ac:dyDescent="0.3">
      <c r="A132" s="1" t="s">
        <v>1460</v>
      </c>
      <c r="B132" s="1" t="s">
        <v>264</v>
      </c>
      <c r="C132" s="1" t="s">
        <v>5</v>
      </c>
      <c r="D132" s="1" t="s">
        <v>84</v>
      </c>
      <c r="E132" s="1" t="s">
        <v>981</v>
      </c>
      <c r="F132" s="3" t="s">
        <v>1103</v>
      </c>
      <c r="G132" s="1">
        <v>115.4</v>
      </c>
      <c r="H132" s="1">
        <v>2</v>
      </c>
      <c r="I132" s="1">
        <v>0</v>
      </c>
      <c r="J132" s="1">
        <v>13</v>
      </c>
      <c r="K132" s="1">
        <v>15</v>
      </c>
    </row>
    <row r="133" spans="1:11" x14ac:dyDescent="0.3">
      <c r="A133" s="1" t="s">
        <v>1684</v>
      </c>
      <c r="B133" s="1" t="s">
        <v>73</v>
      </c>
      <c r="C133" s="1" t="s">
        <v>5</v>
      </c>
      <c r="D133" s="1" t="s">
        <v>35</v>
      </c>
      <c r="E133" s="1" t="s">
        <v>981</v>
      </c>
      <c r="F133" s="3" t="s">
        <v>1103</v>
      </c>
      <c r="G133" s="1">
        <v>25</v>
      </c>
      <c r="H133" s="1">
        <v>0</v>
      </c>
      <c r="I133" s="1">
        <v>0</v>
      </c>
      <c r="J133" s="1">
        <v>8</v>
      </c>
      <c r="K133" s="1">
        <v>2</v>
      </c>
    </row>
    <row r="134" spans="1:11" x14ac:dyDescent="0.3">
      <c r="A134" s="1" t="s">
        <v>1461</v>
      </c>
      <c r="B134" s="1" t="s">
        <v>24</v>
      </c>
      <c r="C134" s="1" t="s">
        <v>5</v>
      </c>
      <c r="D134" s="1" t="s">
        <v>37</v>
      </c>
      <c r="E134" s="1" t="s">
        <v>977</v>
      </c>
      <c r="F134" s="3" t="s">
        <v>1103</v>
      </c>
      <c r="G134" s="1">
        <v>107.1</v>
      </c>
      <c r="H134" s="1">
        <v>1</v>
      </c>
      <c r="I134" s="1">
        <v>1</v>
      </c>
      <c r="J134" s="1">
        <v>14</v>
      </c>
      <c r="K134" s="1">
        <v>15</v>
      </c>
    </row>
    <row r="135" spans="1:11" x14ac:dyDescent="0.3">
      <c r="A135" s="1" t="s">
        <v>1201</v>
      </c>
      <c r="B135" s="1" t="s">
        <v>187</v>
      </c>
      <c r="C135" s="1" t="s">
        <v>5</v>
      </c>
      <c r="D135" s="1" t="s">
        <v>33</v>
      </c>
      <c r="E135" s="1" t="s">
        <v>977</v>
      </c>
      <c r="F135" s="3" t="s">
        <v>1103</v>
      </c>
      <c r="G135" s="1">
        <v>135.9</v>
      </c>
      <c r="H135" s="1">
        <v>4</v>
      </c>
      <c r="I135" s="1">
        <v>3</v>
      </c>
      <c r="J135" s="1">
        <v>39</v>
      </c>
      <c r="K135" s="1">
        <v>53</v>
      </c>
    </row>
    <row r="136" spans="1:11" x14ac:dyDescent="0.3">
      <c r="A136" s="1" t="s">
        <v>1647</v>
      </c>
      <c r="B136" s="1" t="s">
        <v>71</v>
      </c>
      <c r="C136" s="1" t="s">
        <v>5</v>
      </c>
      <c r="D136" s="1" t="s">
        <v>84</v>
      </c>
      <c r="E136" s="1" t="s">
        <v>977</v>
      </c>
      <c r="F136" s="3" t="s">
        <v>1103</v>
      </c>
      <c r="G136" s="1">
        <v>57.1</v>
      </c>
      <c r="H136" s="1">
        <v>0</v>
      </c>
      <c r="I136" s="1">
        <v>0</v>
      </c>
      <c r="J136" s="1">
        <v>7</v>
      </c>
      <c r="K136" s="1">
        <v>4</v>
      </c>
    </row>
    <row r="137" spans="1:11" x14ac:dyDescent="0.3">
      <c r="A137" s="1" t="s">
        <v>1731</v>
      </c>
      <c r="B137" s="1" t="s">
        <v>24</v>
      </c>
      <c r="C137" s="1" t="s">
        <v>5</v>
      </c>
      <c r="D137" s="1" t="s">
        <v>17</v>
      </c>
      <c r="E137" s="1" t="s">
        <v>977</v>
      </c>
      <c r="F137" s="3" t="s">
        <v>1103</v>
      </c>
      <c r="G137" s="1">
        <v>0</v>
      </c>
      <c r="H137" s="1">
        <v>0</v>
      </c>
      <c r="I137" s="1">
        <v>0</v>
      </c>
      <c r="J137" s="1">
        <v>2</v>
      </c>
      <c r="K137" s="1">
        <v>0</v>
      </c>
    </row>
    <row r="138" spans="1:11" x14ac:dyDescent="0.3">
      <c r="A138" s="1" t="s">
        <v>1254</v>
      </c>
      <c r="B138" s="1" t="s">
        <v>24</v>
      </c>
      <c r="C138" s="1" t="s">
        <v>5</v>
      </c>
      <c r="D138" s="1" t="s">
        <v>6</v>
      </c>
      <c r="E138" s="1" t="s">
        <v>977</v>
      </c>
      <c r="F138" s="3" t="s">
        <v>1103</v>
      </c>
      <c r="G138" s="1">
        <v>116.2</v>
      </c>
      <c r="H138" s="1">
        <v>7</v>
      </c>
      <c r="I138" s="1">
        <v>1</v>
      </c>
      <c r="J138" s="1">
        <v>37</v>
      </c>
      <c r="K138" s="1">
        <v>43</v>
      </c>
    </row>
    <row r="139" spans="1:11" x14ac:dyDescent="0.3">
      <c r="A139" s="1" t="s">
        <v>1732</v>
      </c>
      <c r="B139" s="1" t="s">
        <v>24</v>
      </c>
      <c r="C139" s="1" t="s">
        <v>5</v>
      </c>
      <c r="D139" s="1" t="s">
        <v>254</v>
      </c>
      <c r="E139" s="1" t="s">
        <v>1009</v>
      </c>
      <c r="F139" s="3" t="s">
        <v>1103</v>
      </c>
      <c r="G139" s="1">
        <v>0</v>
      </c>
      <c r="H139" s="1">
        <v>0</v>
      </c>
      <c r="I139" s="1">
        <v>0</v>
      </c>
      <c r="J139" s="1">
        <v>2</v>
      </c>
      <c r="K139" s="1">
        <v>0</v>
      </c>
    </row>
    <row r="140" spans="1:11" x14ac:dyDescent="0.3">
      <c r="A140" s="1" t="s">
        <v>1448</v>
      </c>
      <c r="B140" s="1" t="s">
        <v>32</v>
      </c>
      <c r="C140" s="1" t="s">
        <v>5</v>
      </c>
      <c r="D140" s="1" t="s">
        <v>54</v>
      </c>
      <c r="E140" s="1" t="s">
        <v>1009</v>
      </c>
      <c r="F140" s="3" t="s">
        <v>1103</v>
      </c>
      <c r="G140" s="1">
        <v>121.4</v>
      </c>
      <c r="H140" s="1">
        <v>2</v>
      </c>
      <c r="I140" s="1">
        <v>1</v>
      </c>
      <c r="J140" s="1">
        <v>14</v>
      </c>
      <c r="K140" s="1">
        <v>17</v>
      </c>
    </row>
    <row r="141" spans="1:11" x14ac:dyDescent="0.3">
      <c r="A141" s="1" t="s">
        <v>1244</v>
      </c>
      <c r="B141" s="1" t="s">
        <v>32</v>
      </c>
      <c r="C141" s="1" t="s">
        <v>5</v>
      </c>
      <c r="D141" s="1" t="s">
        <v>80</v>
      </c>
      <c r="E141" s="1" t="s">
        <v>1009</v>
      </c>
      <c r="F141" s="3" t="s">
        <v>1103</v>
      </c>
      <c r="G141" s="1">
        <v>230</v>
      </c>
      <c r="H141" s="1">
        <v>4</v>
      </c>
      <c r="I141" s="1">
        <v>4</v>
      </c>
      <c r="J141" s="1">
        <v>20</v>
      </c>
      <c r="K141" s="1">
        <v>46</v>
      </c>
    </row>
    <row r="142" spans="1:11" x14ac:dyDescent="0.3">
      <c r="A142" s="1" t="s">
        <v>1521</v>
      </c>
      <c r="B142" s="1" t="s">
        <v>32</v>
      </c>
      <c r="C142" s="1" t="s">
        <v>5</v>
      </c>
      <c r="D142" s="1" t="s">
        <v>173</v>
      </c>
      <c r="E142" s="1" t="s">
        <v>1009</v>
      </c>
      <c r="F142" s="3" t="s">
        <v>1103</v>
      </c>
      <c r="G142" s="1">
        <v>122.2</v>
      </c>
      <c r="H142" s="1">
        <v>1</v>
      </c>
      <c r="I142" s="1">
        <v>1</v>
      </c>
      <c r="J142" s="1">
        <v>9</v>
      </c>
      <c r="K142" s="1">
        <v>11</v>
      </c>
    </row>
    <row r="143" spans="1:11" x14ac:dyDescent="0.3">
      <c r="A143" s="1" t="s">
        <v>1115</v>
      </c>
      <c r="B143" s="1" t="s">
        <v>115</v>
      </c>
      <c r="C143" s="1" t="s">
        <v>5</v>
      </c>
      <c r="D143" s="1" t="s">
        <v>67</v>
      </c>
      <c r="E143" s="1" t="s">
        <v>1009</v>
      </c>
      <c r="F143" s="3" t="s">
        <v>1103</v>
      </c>
      <c r="G143" s="1">
        <v>175.6</v>
      </c>
      <c r="H143" s="1">
        <v>5</v>
      </c>
      <c r="I143" s="1">
        <v>4</v>
      </c>
      <c r="J143" s="1">
        <v>41</v>
      </c>
      <c r="K143" s="1">
        <v>72</v>
      </c>
    </row>
    <row r="144" spans="1:11" x14ac:dyDescent="0.3">
      <c r="A144" s="1" t="s">
        <v>1345</v>
      </c>
      <c r="B144" s="1" t="s">
        <v>71</v>
      </c>
      <c r="C144" s="1" t="s">
        <v>5</v>
      </c>
      <c r="D144" s="1" t="s">
        <v>67</v>
      </c>
      <c r="E144" s="1" t="s">
        <v>1009</v>
      </c>
      <c r="F144" s="3" t="s">
        <v>1103</v>
      </c>
      <c r="G144" s="1">
        <v>175</v>
      </c>
      <c r="H144" s="1">
        <v>3</v>
      </c>
      <c r="I144" s="1">
        <v>2</v>
      </c>
      <c r="J144" s="1">
        <v>16</v>
      </c>
      <c r="K144" s="1">
        <v>28</v>
      </c>
    </row>
    <row r="145" spans="1:11" x14ac:dyDescent="0.3">
      <c r="A145" s="1" t="s">
        <v>1402</v>
      </c>
      <c r="B145" s="1" t="s">
        <v>277</v>
      </c>
      <c r="C145" s="1" t="s">
        <v>5</v>
      </c>
      <c r="D145" s="1" t="s">
        <v>67</v>
      </c>
      <c r="E145" s="1" t="s">
        <v>1021</v>
      </c>
      <c r="F145" s="3" t="s">
        <v>1103</v>
      </c>
      <c r="G145" s="1">
        <v>161.5</v>
      </c>
      <c r="H145" s="1">
        <v>2</v>
      </c>
      <c r="I145" s="1">
        <v>1</v>
      </c>
      <c r="J145" s="1">
        <v>13</v>
      </c>
      <c r="K145" s="1">
        <v>21</v>
      </c>
    </row>
    <row r="146" spans="1:11" x14ac:dyDescent="0.3">
      <c r="A146" s="1" t="s">
        <v>1504</v>
      </c>
      <c r="B146" s="1" t="s">
        <v>71</v>
      </c>
      <c r="C146" s="1" t="s">
        <v>5</v>
      </c>
      <c r="D146" s="1" t="s">
        <v>67</v>
      </c>
      <c r="E146" s="1" t="s">
        <v>1021</v>
      </c>
      <c r="F146" s="3" t="s">
        <v>1103</v>
      </c>
      <c r="G146" s="1">
        <v>66.7</v>
      </c>
      <c r="H146" s="1">
        <v>0</v>
      </c>
      <c r="I146" s="1">
        <v>1</v>
      </c>
      <c r="J146" s="1">
        <v>18</v>
      </c>
      <c r="K146" s="1">
        <v>12</v>
      </c>
    </row>
    <row r="147" spans="1:11" x14ac:dyDescent="0.3">
      <c r="A147" s="1" t="s">
        <v>1309</v>
      </c>
      <c r="B147" s="1" t="s">
        <v>208</v>
      </c>
      <c r="C147" s="1" t="s">
        <v>5</v>
      </c>
      <c r="D147" s="1" t="s">
        <v>281</v>
      </c>
      <c r="E147" s="1" t="s">
        <v>1021</v>
      </c>
      <c r="F147" s="3" t="s">
        <v>1103</v>
      </c>
      <c r="G147" s="1">
        <v>206.3</v>
      </c>
      <c r="H147" s="1">
        <v>2</v>
      </c>
      <c r="I147" s="1">
        <v>3</v>
      </c>
      <c r="J147" s="1">
        <v>16</v>
      </c>
      <c r="K147" s="1">
        <v>33</v>
      </c>
    </row>
    <row r="148" spans="1:11" x14ac:dyDescent="0.3">
      <c r="A148" s="1" t="s">
        <v>1522</v>
      </c>
      <c r="B148" s="1" t="s">
        <v>208</v>
      </c>
      <c r="C148" s="1" t="s">
        <v>5</v>
      </c>
      <c r="D148" s="1" t="s">
        <v>283</v>
      </c>
      <c r="E148" s="1" t="s">
        <v>1021</v>
      </c>
      <c r="F148" s="3" t="s">
        <v>1103</v>
      </c>
      <c r="G148" s="1">
        <v>220</v>
      </c>
      <c r="H148" s="1">
        <v>1</v>
      </c>
      <c r="I148" s="1">
        <v>1</v>
      </c>
      <c r="J148" s="1">
        <v>5</v>
      </c>
      <c r="K148" s="1">
        <v>11</v>
      </c>
    </row>
    <row r="149" spans="1:11" x14ac:dyDescent="0.3">
      <c r="A149" s="1" t="s">
        <v>1733</v>
      </c>
      <c r="B149" s="1" t="s">
        <v>208</v>
      </c>
      <c r="C149" s="1" t="s">
        <v>5</v>
      </c>
      <c r="D149" s="1" t="s">
        <v>283</v>
      </c>
      <c r="E149" s="1" t="s">
        <v>1021</v>
      </c>
      <c r="F149" s="3" t="s">
        <v>1103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</row>
    <row r="150" spans="1:11" x14ac:dyDescent="0.3">
      <c r="A150" s="1" t="s">
        <v>1144</v>
      </c>
      <c r="B150" s="1" t="s">
        <v>208</v>
      </c>
      <c r="C150" s="1" t="s">
        <v>5</v>
      </c>
      <c r="D150" s="1" t="s">
        <v>284</v>
      </c>
      <c r="E150" s="1" t="s">
        <v>1012</v>
      </c>
      <c r="F150" s="3" t="s">
        <v>1103</v>
      </c>
      <c r="G150" s="1">
        <v>145.5</v>
      </c>
      <c r="H150" s="1">
        <v>7</v>
      </c>
      <c r="I150" s="1">
        <v>2</v>
      </c>
      <c r="J150" s="1">
        <v>44</v>
      </c>
      <c r="K150" s="1">
        <v>64</v>
      </c>
    </row>
    <row r="151" spans="1:11" x14ac:dyDescent="0.3">
      <c r="A151" s="1" t="s">
        <v>1449</v>
      </c>
      <c r="B151" s="1" t="s">
        <v>76</v>
      </c>
      <c r="C151" s="1" t="s">
        <v>16</v>
      </c>
      <c r="D151" s="1" t="s">
        <v>287</v>
      </c>
      <c r="E151" s="1" t="s">
        <v>1012</v>
      </c>
      <c r="F151" s="3" t="s">
        <v>1103</v>
      </c>
      <c r="G151" s="1">
        <v>100</v>
      </c>
      <c r="H151" s="1">
        <v>4</v>
      </c>
      <c r="I151" s="1">
        <v>0</v>
      </c>
      <c r="J151" s="1">
        <v>17</v>
      </c>
      <c r="K151" s="1">
        <v>17</v>
      </c>
    </row>
    <row r="152" spans="1:11" x14ac:dyDescent="0.3">
      <c r="A152" s="1" t="s">
        <v>1734</v>
      </c>
      <c r="B152" s="1" t="s">
        <v>76</v>
      </c>
      <c r="C152" s="1" t="s">
        <v>16</v>
      </c>
      <c r="D152" s="1" t="s">
        <v>218</v>
      </c>
      <c r="E152" s="1" t="s">
        <v>1012</v>
      </c>
      <c r="F152" s="3" t="s">
        <v>1103</v>
      </c>
      <c r="G152" s="1">
        <v>0</v>
      </c>
      <c r="H152" s="1">
        <v>0</v>
      </c>
      <c r="I152" s="1">
        <v>0</v>
      </c>
      <c r="J152" s="1">
        <v>10</v>
      </c>
      <c r="K152" s="1">
        <v>0</v>
      </c>
    </row>
    <row r="153" spans="1:11" x14ac:dyDescent="0.3">
      <c r="A153" s="1" t="s">
        <v>1102</v>
      </c>
      <c r="B153" s="1" t="s">
        <v>76</v>
      </c>
      <c r="C153" s="1" t="s">
        <v>16</v>
      </c>
      <c r="D153" s="1" t="s">
        <v>218</v>
      </c>
      <c r="E153" s="1" t="s">
        <v>1012</v>
      </c>
      <c r="F153" s="3" t="s">
        <v>1103</v>
      </c>
      <c r="G153" s="1">
        <v>131</v>
      </c>
      <c r="H153" s="1">
        <v>6</v>
      </c>
      <c r="I153" s="1">
        <v>5</v>
      </c>
      <c r="J153" s="1">
        <v>58</v>
      </c>
      <c r="K153" s="1">
        <v>76</v>
      </c>
    </row>
    <row r="154" spans="1:11" x14ac:dyDescent="0.3">
      <c r="A154" s="1" t="s">
        <v>1523</v>
      </c>
      <c r="B154" s="1" t="s">
        <v>76</v>
      </c>
      <c r="C154" s="1" t="s">
        <v>5</v>
      </c>
      <c r="D154" s="1" t="s">
        <v>290</v>
      </c>
      <c r="E154" s="1" t="s">
        <v>1012</v>
      </c>
      <c r="F154" s="3" t="s">
        <v>1103</v>
      </c>
      <c r="G154" s="1">
        <v>91.7</v>
      </c>
      <c r="H154" s="1">
        <v>2</v>
      </c>
      <c r="I154" s="1">
        <v>0</v>
      </c>
      <c r="J154" s="1">
        <v>12</v>
      </c>
      <c r="K154" s="1">
        <v>11</v>
      </c>
    </row>
    <row r="155" spans="1:11" x14ac:dyDescent="0.3">
      <c r="A155" s="1" t="s">
        <v>1322</v>
      </c>
      <c r="B155" s="1" t="s">
        <v>76</v>
      </c>
      <c r="C155" s="1" t="s">
        <v>5</v>
      </c>
      <c r="D155" s="1" t="s">
        <v>292</v>
      </c>
      <c r="E155" s="1" t="s">
        <v>1012</v>
      </c>
      <c r="F155" s="3" t="s">
        <v>1103</v>
      </c>
      <c r="G155" s="1">
        <v>155</v>
      </c>
      <c r="H155" s="1">
        <v>3</v>
      </c>
      <c r="I155" s="1">
        <v>2</v>
      </c>
      <c r="J155" s="1">
        <v>20</v>
      </c>
      <c r="K155" s="1">
        <v>31</v>
      </c>
    </row>
    <row r="156" spans="1:11" x14ac:dyDescent="0.3">
      <c r="A156" s="1" t="s">
        <v>1378</v>
      </c>
      <c r="B156" s="1" t="s">
        <v>76</v>
      </c>
      <c r="C156" s="1" t="s">
        <v>5</v>
      </c>
      <c r="D156" s="1" t="s">
        <v>294</v>
      </c>
      <c r="E156" s="1" t="s">
        <v>1012</v>
      </c>
      <c r="F156" s="3" t="s">
        <v>1103</v>
      </c>
      <c r="G156" s="1">
        <v>171.4</v>
      </c>
      <c r="H156" s="1">
        <v>5</v>
      </c>
      <c r="I156" s="1">
        <v>0</v>
      </c>
      <c r="J156" s="1">
        <v>14</v>
      </c>
      <c r="K156" s="1">
        <v>24</v>
      </c>
    </row>
    <row r="157" spans="1:11" x14ac:dyDescent="0.3">
      <c r="A157" s="1" t="s">
        <v>1685</v>
      </c>
      <c r="B157" s="1" t="s">
        <v>8</v>
      </c>
      <c r="C157" s="1" t="s">
        <v>1043</v>
      </c>
      <c r="D157" s="1" t="s">
        <v>12</v>
      </c>
      <c r="E157" s="1" t="s">
        <v>1036</v>
      </c>
      <c r="F157" s="3" t="s">
        <v>1103</v>
      </c>
      <c r="G157" s="1">
        <v>15.4</v>
      </c>
      <c r="H157" s="1">
        <v>0</v>
      </c>
      <c r="I157" s="1">
        <v>0</v>
      </c>
      <c r="J157" s="1">
        <v>13</v>
      </c>
      <c r="K157" s="1">
        <v>2</v>
      </c>
    </row>
    <row r="158" spans="1:11" x14ac:dyDescent="0.3">
      <c r="A158" s="1" t="s">
        <v>1233</v>
      </c>
      <c r="B158" s="1" t="s">
        <v>53</v>
      </c>
      <c r="C158" s="1" t="s">
        <v>1043</v>
      </c>
      <c r="D158" s="1" t="s">
        <v>12</v>
      </c>
      <c r="E158" s="1" t="s">
        <v>1036</v>
      </c>
      <c r="F158" s="3" t="s">
        <v>1103</v>
      </c>
      <c r="G158" s="1">
        <v>133.30000000000001</v>
      </c>
      <c r="H158" s="1">
        <v>2</v>
      </c>
      <c r="I158" s="1">
        <v>4</v>
      </c>
      <c r="J158" s="1">
        <v>36</v>
      </c>
      <c r="K158" s="1">
        <v>48</v>
      </c>
    </row>
    <row r="159" spans="1:11" x14ac:dyDescent="0.3">
      <c r="A159" s="1" t="s">
        <v>1431</v>
      </c>
      <c r="B159" s="1" t="s">
        <v>56</v>
      </c>
      <c r="C159" s="1" t="s">
        <v>1043</v>
      </c>
      <c r="D159" s="1" t="s">
        <v>12</v>
      </c>
      <c r="E159" s="1" t="s">
        <v>1036</v>
      </c>
      <c r="F159" s="3" t="s">
        <v>1103</v>
      </c>
      <c r="G159" s="1">
        <v>128.6</v>
      </c>
      <c r="H159" s="1">
        <v>4</v>
      </c>
      <c r="I159" s="1">
        <v>0</v>
      </c>
      <c r="J159" s="1">
        <v>14</v>
      </c>
      <c r="K159" s="1">
        <v>18</v>
      </c>
    </row>
    <row r="160" spans="1:11" x14ac:dyDescent="0.3">
      <c r="A160" s="1" t="s">
        <v>1686</v>
      </c>
      <c r="B160" s="1" t="s">
        <v>11</v>
      </c>
      <c r="C160" s="1" t="s">
        <v>1043</v>
      </c>
      <c r="D160" s="1" t="s">
        <v>300</v>
      </c>
      <c r="E160" s="1" t="s">
        <v>1036</v>
      </c>
      <c r="F160" s="3" t="s">
        <v>1103</v>
      </c>
      <c r="G160" s="1">
        <v>33.299999999999997</v>
      </c>
      <c r="H160" s="1">
        <v>0</v>
      </c>
      <c r="I160" s="1">
        <v>0</v>
      </c>
      <c r="J160" s="1">
        <v>6</v>
      </c>
      <c r="K160" s="1">
        <v>2</v>
      </c>
    </row>
    <row r="161" spans="1:11" x14ac:dyDescent="0.3">
      <c r="A161" s="1" t="s">
        <v>1255</v>
      </c>
      <c r="B161" s="1" t="s">
        <v>43</v>
      </c>
      <c r="C161" s="1" t="s">
        <v>1043</v>
      </c>
      <c r="D161" s="1" t="s">
        <v>12</v>
      </c>
      <c r="E161" s="1" t="s">
        <v>1036</v>
      </c>
      <c r="F161" s="3" t="s">
        <v>1103</v>
      </c>
      <c r="G161" s="1">
        <v>153.6</v>
      </c>
      <c r="H161" s="1">
        <v>5</v>
      </c>
      <c r="I161" s="1">
        <v>2</v>
      </c>
      <c r="J161" s="1">
        <v>28</v>
      </c>
      <c r="K161" s="1">
        <v>43</v>
      </c>
    </row>
    <row r="162" spans="1:11" x14ac:dyDescent="0.3">
      <c r="A162" s="1" t="s">
        <v>1687</v>
      </c>
      <c r="B162" s="1" t="s">
        <v>4</v>
      </c>
      <c r="C162" s="1" t="s">
        <v>1043</v>
      </c>
      <c r="D162" s="1" t="s">
        <v>300</v>
      </c>
      <c r="E162" s="1" t="s">
        <v>1047</v>
      </c>
      <c r="F162" s="3" t="s">
        <v>1103</v>
      </c>
      <c r="G162" s="1">
        <v>40</v>
      </c>
      <c r="H162" s="1">
        <v>0</v>
      </c>
      <c r="I162" s="1">
        <v>0</v>
      </c>
      <c r="J162" s="1">
        <v>5</v>
      </c>
      <c r="K162" s="1">
        <v>2</v>
      </c>
    </row>
    <row r="163" spans="1:11" x14ac:dyDescent="0.3">
      <c r="A163" s="1" t="s">
        <v>1276</v>
      </c>
      <c r="B163" s="1" t="s">
        <v>51</v>
      </c>
      <c r="C163" s="1" t="s">
        <v>1043</v>
      </c>
      <c r="D163" s="1" t="s">
        <v>12</v>
      </c>
      <c r="E163" s="1" t="s">
        <v>1047</v>
      </c>
      <c r="F163" s="3" t="s">
        <v>1103</v>
      </c>
      <c r="G163" s="1">
        <v>125.8</v>
      </c>
      <c r="H163" s="1">
        <v>5</v>
      </c>
      <c r="I163" s="1">
        <v>1</v>
      </c>
      <c r="J163" s="1">
        <v>31</v>
      </c>
      <c r="K163" s="1">
        <v>39</v>
      </c>
    </row>
    <row r="164" spans="1:11" x14ac:dyDescent="0.3">
      <c r="A164" s="1" t="s">
        <v>1735</v>
      </c>
      <c r="B164" s="1" t="s">
        <v>56</v>
      </c>
      <c r="C164" s="1" t="s">
        <v>1043</v>
      </c>
      <c r="D164" s="1" t="s">
        <v>300</v>
      </c>
      <c r="E164" s="1" t="s">
        <v>1047</v>
      </c>
      <c r="F164" s="3" t="s">
        <v>1103</v>
      </c>
      <c r="G164" s="1">
        <v>0</v>
      </c>
      <c r="H164" s="1">
        <v>0</v>
      </c>
      <c r="I164" s="1">
        <v>0</v>
      </c>
      <c r="J164" s="1">
        <v>2</v>
      </c>
      <c r="K164" s="1">
        <v>0</v>
      </c>
    </row>
    <row r="165" spans="1:11" x14ac:dyDescent="0.3">
      <c r="A165" s="1" t="s">
        <v>1606</v>
      </c>
      <c r="B165" s="1" t="s">
        <v>51</v>
      </c>
      <c r="C165" s="1" t="s">
        <v>1043</v>
      </c>
      <c r="D165" s="1" t="s">
        <v>12</v>
      </c>
      <c r="E165" s="1" t="s">
        <v>1047</v>
      </c>
      <c r="F165" s="3" t="s">
        <v>1103</v>
      </c>
      <c r="G165" s="1">
        <v>85.7</v>
      </c>
      <c r="H165" s="1">
        <v>1</v>
      </c>
      <c r="I165" s="1">
        <v>0</v>
      </c>
      <c r="J165" s="1">
        <v>7</v>
      </c>
      <c r="K165" s="1">
        <v>6</v>
      </c>
    </row>
    <row r="166" spans="1:11" x14ac:dyDescent="0.3">
      <c r="A166" s="1" t="s">
        <v>1346</v>
      </c>
      <c r="B166" s="1" t="s">
        <v>40</v>
      </c>
      <c r="C166" s="1" t="s">
        <v>1043</v>
      </c>
      <c r="D166" s="1" t="s">
        <v>100</v>
      </c>
      <c r="E166" s="1" t="s">
        <v>1047</v>
      </c>
      <c r="F166" s="3" t="s">
        <v>1103</v>
      </c>
      <c r="G166" s="1">
        <v>164.7</v>
      </c>
      <c r="H166" s="1">
        <v>3</v>
      </c>
      <c r="I166" s="1">
        <v>2</v>
      </c>
      <c r="J166" s="1">
        <v>17</v>
      </c>
      <c r="K166" s="1">
        <v>28</v>
      </c>
    </row>
    <row r="167" spans="1:11" x14ac:dyDescent="0.3">
      <c r="A167" s="1" t="s">
        <v>1363</v>
      </c>
      <c r="B167" s="1" t="s">
        <v>60</v>
      </c>
      <c r="C167" s="1" t="s">
        <v>1043</v>
      </c>
      <c r="D167" s="1" t="s">
        <v>100</v>
      </c>
      <c r="E167" s="1" t="s">
        <v>1047</v>
      </c>
      <c r="F167" s="3" t="s">
        <v>1103</v>
      </c>
      <c r="G167" s="1">
        <v>173.3</v>
      </c>
      <c r="H167" s="1">
        <v>4</v>
      </c>
      <c r="I167" s="1">
        <v>1</v>
      </c>
      <c r="J167" s="1">
        <v>15</v>
      </c>
      <c r="K167" s="1">
        <v>26</v>
      </c>
    </row>
    <row r="168" spans="1:11" x14ac:dyDescent="0.3">
      <c r="A168" s="1" t="s">
        <v>1671</v>
      </c>
      <c r="B168" s="1" t="s">
        <v>11</v>
      </c>
      <c r="C168" s="1" t="s">
        <v>1043</v>
      </c>
      <c r="D168" s="1" t="s">
        <v>100</v>
      </c>
      <c r="E168" s="1" t="s">
        <v>1047</v>
      </c>
      <c r="F168" s="3" t="s">
        <v>1103</v>
      </c>
      <c r="G168" s="1">
        <v>25</v>
      </c>
      <c r="H168" s="1">
        <v>0</v>
      </c>
      <c r="I168" s="1">
        <v>0</v>
      </c>
      <c r="J168" s="1">
        <v>12</v>
      </c>
      <c r="K168" s="1">
        <v>3</v>
      </c>
    </row>
    <row r="169" spans="1:11" x14ac:dyDescent="0.3">
      <c r="A169" s="1" t="s">
        <v>1542</v>
      </c>
      <c r="B169" s="1" t="s">
        <v>4</v>
      </c>
      <c r="C169" s="1" t="s">
        <v>1043</v>
      </c>
      <c r="D169" s="1" t="s">
        <v>300</v>
      </c>
      <c r="E169" s="1" t="s">
        <v>1047</v>
      </c>
      <c r="F169" s="3" t="s">
        <v>1103</v>
      </c>
      <c r="G169" s="1">
        <v>200</v>
      </c>
      <c r="H169" s="1">
        <v>0</v>
      </c>
      <c r="I169" s="1">
        <v>1</v>
      </c>
      <c r="J169" s="1">
        <v>5</v>
      </c>
      <c r="K169" s="1">
        <v>10</v>
      </c>
    </row>
    <row r="170" spans="1:11" x14ac:dyDescent="0.3">
      <c r="A170" s="1" t="s">
        <v>1269</v>
      </c>
      <c r="B170" s="1" t="s">
        <v>8</v>
      </c>
      <c r="C170" s="1" t="s">
        <v>1043</v>
      </c>
      <c r="D170" s="1" t="s">
        <v>12</v>
      </c>
      <c r="E170" s="1" t="s">
        <v>1016</v>
      </c>
      <c r="F170" s="3" t="s">
        <v>1103</v>
      </c>
      <c r="G170" s="1">
        <v>128.1</v>
      </c>
      <c r="H170" s="1">
        <v>4</v>
      </c>
      <c r="I170" s="1">
        <v>2</v>
      </c>
      <c r="J170" s="1">
        <v>32</v>
      </c>
      <c r="K170" s="1">
        <v>41</v>
      </c>
    </row>
    <row r="171" spans="1:11" x14ac:dyDescent="0.3">
      <c r="A171" s="1" t="s">
        <v>1161</v>
      </c>
      <c r="B171" s="1" t="s">
        <v>115</v>
      </c>
      <c r="C171" s="1" t="s">
        <v>83</v>
      </c>
      <c r="D171" s="1" t="s">
        <v>103</v>
      </c>
      <c r="E171" s="1" t="s">
        <v>1016</v>
      </c>
      <c r="F171" s="3" t="s">
        <v>1103</v>
      </c>
      <c r="G171" s="1">
        <v>59.099999999999994</v>
      </c>
      <c r="H171" s="1">
        <v>5</v>
      </c>
      <c r="I171" s="1">
        <v>1</v>
      </c>
      <c r="J171" s="1">
        <v>110</v>
      </c>
      <c r="K171" s="1">
        <v>61</v>
      </c>
    </row>
    <row r="172" spans="1:11" x14ac:dyDescent="0.3">
      <c r="A172" s="1" t="s">
        <v>1337</v>
      </c>
      <c r="B172" s="1" t="s">
        <v>115</v>
      </c>
      <c r="C172" s="1" t="s">
        <v>83</v>
      </c>
      <c r="D172" s="1" t="s">
        <v>173</v>
      </c>
      <c r="E172" s="1" t="s">
        <v>1016</v>
      </c>
      <c r="F172" s="3" t="s">
        <v>1103</v>
      </c>
      <c r="G172" s="1">
        <v>103.49999999999999</v>
      </c>
      <c r="H172" s="1">
        <v>6</v>
      </c>
      <c r="I172" s="1">
        <v>0</v>
      </c>
      <c r="J172" s="1">
        <v>52</v>
      </c>
      <c r="K172" s="1">
        <v>29</v>
      </c>
    </row>
    <row r="173" spans="1:11" x14ac:dyDescent="0.3">
      <c r="A173" s="1" t="s">
        <v>1619</v>
      </c>
      <c r="B173" s="1" t="s">
        <v>115</v>
      </c>
      <c r="C173" s="1" t="s">
        <v>5</v>
      </c>
      <c r="D173" s="1" t="s">
        <v>154</v>
      </c>
      <c r="E173" s="1" t="s">
        <v>990</v>
      </c>
      <c r="F173" s="3" t="s">
        <v>1103</v>
      </c>
      <c r="G173" s="1">
        <v>55.6</v>
      </c>
      <c r="H173" s="1">
        <v>1</v>
      </c>
      <c r="I173" s="1">
        <v>0</v>
      </c>
      <c r="J173" s="1">
        <v>9</v>
      </c>
      <c r="K173" s="1">
        <v>5</v>
      </c>
    </row>
    <row r="174" spans="1:11" x14ac:dyDescent="0.3">
      <c r="A174" s="1" t="s">
        <v>1705</v>
      </c>
      <c r="B174" s="1" t="s">
        <v>115</v>
      </c>
      <c r="C174" s="1" t="s">
        <v>5</v>
      </c>
      <c r="D174" s="1" t="s">
        <v>154</v>
      </c>
      <c r="E174" s="1" t="s">
        <v>990</v>
      </c>
      <c r="F174" s="3" t="s">
        <v>1103</v>
      </c>
      <c r="G174" s="1">
        <v>50</v>
      </c>
      <c r="H174" s="1">
        <v>0</v>
      </c>
      <c r="I174" s="1">
        <v>0</v>
      </c>
      <c r="J174" s="1">
        <v>2</v>
      </c>
      <c r="K174" s="1">
        <v>1</v>
      </c>
    </row>
    <row r="175" spans="1:11" x14ac:dyDescent="0.3">
      <c r="A175" s="1" t="s">
        <v>1250</v>
      </c>
      <c r="B175" s="1" t="s">
        <v>115</v>
      </c>
      <c r="C175" s="1" t="s">
        <v>5</v>
      </c>
      <c r="D175" s="1" t="s">
        <v>142</v>
      </c>
      <c r="E175" s="1" t="s">
        <v>990</v>
      </c>
      <c r="F175" s="3" t="s">
        <v>1103</v>
      </c>
      <c r="G175" s="1">
        <v>137.5</v>
      </c>
      <c r="H175" s="1">
        <v>2</v>
      </c>
      <c r="I175" s="1">
        <v>1</v>
      </c>
      <c r="J175" s="1">
        <v>32</v>
      </c>
      <c r="K175" s="1">
        <v>44</v>
      </c>
    </row>
    <row r="176" spans="1:11" x14ac:dyDescent="0.3">
      <c r="A176" s="1" t="s">
        <v>1591</v>
      </c>
      <c r="B176" s="1" t="s">
        <v>208</v>
      </c>
      <c r="C176" s="1" t="s">
        <v>5</v>
      </c>
      <c r="D176" s="1" t="s">
        <v>139</v>
      </c>
      <c r="E176" s="1" t="s">
        <v>990</v>
      </c>
      <c r="F176" s="3" t="s">
        <v>1103</v>
      </c>
      <c r="G176" s="1">
        <v>46.7</v>
      </c>
      <c r="H176" s="1">
        <v>0</v>
      </c>
      <c r="I176" s="1">
        <v>0</v>
      </c>
      <c r="J176" s="1">
        <v>15</v>
      </c>
      <c r="K176" s="1">
        <v>7</v>
      </c>
    </row>
    <row r="177" spans="1:11" x14ac:dyDescent="0.3">
      <c r="A177" s="1" t="s">
        <v>1423</v>
      </c>
      <c r="B177" s="1" t="s">
        <v>208</v>
      </c>
      <c r="C177" s="1" t="s">
        <v>5</v>
      </c>
      <c r="D177" s="1" t="s">
        <v>139</v>
      </c>
      <c r="E177" s="1" t="s">
        <v>990</v>
      </c>
      <c r="F177" s="3" t="s">
        <v>1103</v>
      </c>
      <c r="G177" s="1">
        <v>105.6</v>
      </c>
      <c r="H177" s="1">
        <v>2</v>
      </c>
      <c r="I177" s="1">
        <v>1</v>
      </c>
      <c r="J177" s="1">
        <v>18</v>
      </c>
      <c r="K177" s="1">
        <v>19</v>
      </c>
    </row>
    <row r="178" spans="1:11" x14ac:dyDescent="0.3">
      <c r="A178" s="1" t="s">
        <v>1273</v>
      </c>
      <c r="B178" s="1" t="s">
        <v>208</v>
      </c>
      <c r="C178" s="1" t="s">
        <v>5</v>
      </c>
      <c r="D178" s="1" t="s">
        <v>139</v>
      </c>
      <c r="E178" s="1" t="s">
        <v>990</v>
      </c>
      <c r="F178" s="3" t="s">
        <v>1103</v>
      </c>
      <c r="G178" s="1">
        <v>210.5</v>
      </c>
      <c r="H178" s="1">
        <v>4</v>
      </c>
      <c r="I178" s="1">
        <v>3</v>
      </c>
      <c r="J178" s="1">
        <v>19</v>
      </c>
      <c r="K178" s="1">
        <v>40</v>
      </c>
    </row>
    <row r="179" spans="1:11" x14ac:dyDescent="0.3">
      <c r="A179" s="1" t="s">
        <v>1490</v>
      </c>
      <c r="B179" s="1" t="s">
        <v>208</v>
      </c>
      <c r="C179" s="1" t="s">
        <v>16</v>
      </c>
      <c r="D179" s="1" t="s">
        <v>41</v>
      </c>
      <c r="E179" s="1" t="s">
        <v>990</v>
      </c>
      <c r="F179" s="3" t="s">
        <v>1103</v>
      </c>
      <c r="G179" s="1">
        <v>86.7</v>
      </c>
      <c r="H179" s="1">
        <v>3</v>
      </c>
      <c r="I179" s="1">
        <v>0</v>
      </c>
      <c r="J179" s="1">
        <v>15</v>
      </c>
      <c r="K179" s="1">
        <v>13</v>
      </c>
    </row>
    <row r="180" spans="1:11" x14ac:dyDescent="0.3">
      <c r="A180" s="1" t="s">
        <v>1620</v>
      </c>
      <c r="B180" s="1" t="s">
        <v>208</v>
      </c>
      <c r="C180" s="1" t="s">
        <v>16</v>
      </c>
      <c r="D180" s="1" t="s">
        <v>41</v>
      </c>
      <c r="E180" s="1" t="s">
        <v>990</v>
      </c>
      <c r="F180" s="3" t="s">
        <v>1103</v>
      </c>
      <c r="G180" s="1">
        <v>62.5</v>
      </c>
      <c r="H180" s="1">
        <v>0</v>
      </c>
      <c r="I180" s="1">
        <v>0</v>
      </c>
      <c r="J180" s="1">
        <v>8</v>
      </c>
      <c r="K180" s="1">
        <v>5</v>
      </c>
    </row>
    <row r="181" spans="1:11" x14ac:dyDescent="0.3">
      <c r="A181" s="1" t="s">
        <v>1162</v>
      </c>
      <c r="B181" s="1" t="s">
        <v>208</v>
      </c>
      <c r="C181" s="1" t="s">
        <v>16</v>
      </c>
      <c r="D181" s="1" t="s">
        <v>41</v>
      </c>
      <c r="E181" s="1" t="s">
        <v>990</v>
      </c>
      <c r="F181" s="3" t="s">
        <v>1103</v>
      </c>
      <c r="G181" s="1">
        <v>117.6</v>
      </c>
      <c r="H181" s="1">
        <v>10</v>
      </c>
      <c r="I181" s="1">
        <v>1</v>
      </c>
      <c r="J181" s="1">
        <v>51</v>
      </c>
      <c r="K181" s="1">
        <v>60</v>
      </c>
    </row>
    <row r="182" spans="1:11" x14ac:dyDescent="0.3">
      <c r="A182" s="1" t="s">
        <v>1184</v>
      </c>
      <c r="B182" s="1" t="s">
        <v>15</v>
      </c>
      <c r="C182" s="1" t="s">
        <v>5</v>
      </c>
      <c r="D182" s="1" t="s">
        <v>139</v>
      </c>
      <c r="E182" s="1" t="s">
        <v>981</v>
      </c>
      <c r="F182" s="3" t="s">
        <v>991</v>
      </c>
      <c r="G182" s="1">
        <v>180.6</v>
      </c>
      <c r="H182" s="1">
        <v>5</v>
      </c>
      <c r="I182" s="1">
        <v>3</v>
      </c>
      <c r="J182" s="1">
        <v>31</v>
      </c>
      <c r="K182" s="1">
        <v>56</v>
      </c>
    </row>
    <row r="183" spans="1:11" x14ac:dyDescent="0.3">
      <c r="A183" s="1" t="s">
        <v>1194</v>
      </c>
      <c r="B183" s="1" t="s">
        <v>15</v>
      </c>
      <c r="C183" s="1" t="s">
        <v>5</v>
      </c>
      <c r="D183" s="1" t="s">
        <v>29</v>
      </c>
      <c r="E183" s="1" t="s">
        <v>981</v>
      </c>
      <c r="F183" s="3" t="s">
        <v>991</v>
      </c>
      <c r="G183" s="1">
        <v>152.80000000000001</v>
      </c>
      <c r="H183" s="1">
        <v>1</v>
      </c>
      <c r="I183" s="1">
        <v>5</v>
      </c>
      <c r="J183" s="1">
        <v>36</v>
      </c>
      <c r="K183" s="1">
        <v>55</v>
      </c>
    </row>
    <row r="184" spans="1:11" x14ac:dyDescent="0.3">
      <c r="A184" s="1" t="s">
        <v>1234</v>
      </c>
      <c r="B184" s="1" t="s">
        <v>15</v>
      </c>
      <c r="C184" s="1" t="s">
        <v>5</v>
      </c>
      <c r="D184" s="1" t="s">
        <v>46</v>
      </c>
      <c r="E184" s="1" t="s">
        <v>981</v>
      </c>
      <c r="F184" s="3" t="s">
        <v>991</v>
      </c>
      <c r="G184" s="1">
        <v>133.30000000000001</v>
      </c>
      <c r="H184" s="1">
        <v>5</v>
      </c>
      <c r="I184" s="1">
        <v>2</v>
      </c>
      <c r="J184" s="1">
        <v>36</v>
      </c>
      <c r="K184" s="1">
        <v>48</v>
      </c>
    </row>
    <row r="185" spans="1:11" x14ac:dyDescent="0.3">
      <c r="A185" s="1" t="s">
        <v>1185</v>
      </c>
      <c r="B185" s="1" t="s">
        <v>329</v>
      </c>
      <c r="C185" s="1" t="s">
        <v>5</v>
      </c>
      <c r="D185" s="1" t="s">
        <v>67</v>
      </c>
      <c r="E185" s="1" t="s">
        <v>981</v>
      </c>
      <c r="F185" s="3" t="s">
        <v>991</v>
      </c>
      <c r="G185" s="1">
        <v>151.4</v>
      </c>
      <c r="H185" s="1">
        <v>7</v>
      </c>
      <c r="I185" s="1">
        <v>2</v>
      </c>
      <c r="J185" s="1">
        <v>37</v>
      </c>
      <c r="K185" s="1">
        <v>56</v>
      </c>
    </row>
    <row r="186" spans="1:11" x14ac:dyDescent="0.3">
      <c r="A186" s="1" t="s">
        <v>1328</v>
      </c>
      <c r="B186" s="1" t="s">
        <v>331</v>
      </c>
      <c r="C186" s="1" t="s">
        <v>5</v>
      </c>
      <c r="D186" s="1" t="s">
        <v>67</v>
      </c>
      <c r="E186" s="1" t="s">
        <v>981</v>
      </c>
      <c r="F186" s="3" t="s">
        <v>991</v>
      </c>
      <c r="G186" s="1">
        <v>187.5</v>
      </c>
      <c r="H186" s="1">
        <v>5</v>
      </c>
      <c r="I186" s="1">
        <v>1</v>
      </c>
      <c r="J186" s="1">
        <v>16</v>
      </c>
      <c r="K186" s="1">
        <v>30</v>
      </c>
    </row>
    <row r="187" spans="1:11" x14ac:dyDescent="0.3">
      <c r="A187" s="1" t="s">
        <v>1109</v>
      </c>
      <c r="B187" s="1" t="s">
        <v>130</v>
      </c>
      <c r="C187" s="1" t="s">
        <v>5</v>
      </c>
      <c r="D187" s="1" t="s">
        <v>333</v>
      </c>
      <c r="E187" s="1" t="s">
        <v>981</v>
      </c>
      <c r="F187" s="3" t="s">
        <v>991</v>
      </c>
      <c r="G187" s="1">
        <v>157.4</v>
      </c>
      <c r="H187" s="1">
        <v>8</v>
      </c>
      <c r="I187" s="1">
        <v>3</v>
      </c>
      <c r="J187" s="1">
        <v>47</v>
      </c>
      <c r="K187" s="1">
        <v>74</v>
      </c>
    </row>
    <row r="188" spans="1:11" x14ac:dyDescent="0.3">
      <c r="A188" s="1" t="s">
        <v>1477</v>
      </c>
      <c r="B188" s="1" t="s">
        <v>15</v>
      </c>
      <c r="C188" s="1" t="s">
        <v>5</v>
      </c>
      <c r="D188" s="1" t="s">
        <v>67</v>
      </c>
      <c r="E188" s="1" t="s">
        <v>977</v>
      </c>
      <c r="F188" s="3" t="s">
        <v>991</v>
      </c>
      <c r="G188" s="1">
        <v>100</v>
      </c>
      <c r="H188" s="1">
        <v>1</v>
      </c>
      <c r="I188" s="1">
        <v>1</v>
      </c>
      <c r="J188" s="1">
        <v>14</v>
      </c>
      <c r="K188" s="1">
        <v>14</v>
      </c>
    </row>
    <row r="189" spans="1:11" x14ac:dyDescent="0.3">
      <c r="A189" s="1" t="s">
        <v>1736</v>
      </c>
      <c r="B189" s="1" t="s">
        <v>71</v>
      </c>
      <c r="C189" s="1" t="s">
        <v>5</v>
      </c>
      <c r="D189" s="1" t="s">
        <v>67</v>
      </c>
      <c r="E189" s="1" t="s">
        <v>977</v>
      </c>
      <c r="F189" s="3" t="s">
        <v>991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</row>
    <row r="190" spans="1:11" x14ac:dyDescent="0.3">
      <c r="A190" s="1" t="s">
        <v>1432</v>
      </c>
      <c r="B190" s="1" t="s">
        <v>53</v>
      </c>
      <c r="C190" s="1" t="s">
        <v>1043</v>
      </c>
      <c r="D190" s="1" t="s">
        <v>333</v>
      </c>
      <c r="E190" s="1" t="s">
        <v>977</v>
      </c>
      <c r="F190" s="3" t="s">
        <v>991</v>
      </c>
      <c r="G190" s="1">
        <v>138.5</v>
      </c>
      <c r="H190" s="1">
        <v>3</v>
      </c>
      <c r="I190" s="1">
        <v>0</v>
      </c>
      <c r="J190" s="1">
        <v>13</v>
      </c>
      <c r="K190" s="1">
        <v>18</v>
      </c>
    </row>
    <row r="191" spans="1:11" x14ac:dyDescent="0.3">
      <c r="A191" s="1" t="s">
        <v>1395</v>
      </c>
      <c r="B191" s="1" t="s">
        <v>4</v>
      </c>
      <c r="C191" s="1" t="s">
        <v>1043</v>
      </c>
      <c r="D191" s="1" t="s">
        <v>338</v>
      </c>
      <c r="E191" s="1" t="s">
        <v>977</v>
      </c>
      <c r="F191" s="3" t="s">
        <v>991</v>
      </c>
      <c r="G191" s="1">
        <v>169.2</v>
      </c>
      <c r="H191" s="1">
        <v>1</v>
      </c>
      <c r="I191" s="1">
        <v>2</v>
      </c>
      <c r="J191" s="1">
        <v>13</v>
      </c>
      <c r="K191" s="1">
        <v>22</v>
      </c>
    </row>
    <row r="192" spans="1:11" x14ac:dyDescent="0.3">
      <c r="A192" s="1" t="s">
        <v>1592</v>
      </c>
      <c r="B192" s="1" t="s">
        <v>8</v>
      </c>
      <c r="C192" s="1" t="s">
        <v>1043</v>
      </c>
      <c r="D192" s="1" t="s">
        <v>338</v>
      </c>
      <c r="E192" s="1" t="s">
        <v>977</v>
      </c>
      <c r="F192" s="3" t="s">
        <v>991</v>
      </c>
      <c r="G192" s="1">
        <v>70</v>
      </c>
      <c r="H192" s="1">
        <v>1</v>
      </c>
      <c r="I192" s="1">
        <v>0</v>
      </c>
      <c r="J192" s="1">
        <v>10</v>
      </c>
      <c r="K192" s="1">
        <v>7</v>
      </c>
    </row>
    <row r="193" spans="1:11" x14ac:dyDescent="0.3">
      <c r="A193" s="1" t="s">
        <v>1574</v>
      </c>
      <c r="B193" s="1" t="s">
        <v>40</v>
      </c>
      <c r="C193" s="1" t="s">
        <v>1043</v>
      </c>
      <c r="D193" s="1" t="s">
        <v>333</v>
      </c>
      <c r="E193" s="1" t="s">
        <v>1009</v>
      </c>
      <c r="F193" s="3" t="s">
        <v>991</v>
      </c>
      <c r="G193" s="1">
        <v>80</v>
      </c>
      <c r="H193" s="1">
        <v>1</v>
      </c>
      <c r="I193" s="1">
        <v>0</v>
      </c>
      <c r="J193" s="1">
        <v>10</v>
      </c>
      <c r="K193" s="1">
        <v>8</v>
      </c>
    </row>
    <row r="194" spans="1:11" x14ac:dyDescent="0.3">
      <c r="A194" s="1" t="s">
        <v>1256</v>
      </c>
      <c r="B194" s="1" t="s">
        <v>60</v>
      </c>
      <c r="C194" s="1" t="s">
        <v>1043</v>
      </c>
      <c r="D194" s="1" t="s">
        <v>67</v>
      </c>
      <c r="E194" s="1" t="s">
        <v>1009</v>
      </c>
      <c r="F194" s="3" t="s">
        <v>991</v>
      </c>
      <c r="G194" s="1">
        <v>153.6</v>
      </c>
      <c r="H194" s="1">
        <v>5</v>
      </c>
      <c r="I194" s="1">
        <v>1</v>
      </c>
      <c r="J194" s="1">
        <v>28</v>
      </c>
      <c r="K194" s="1">
        <v>43</v>
      </c>
    </row>
    <row r="195" spans="1:11" x14ac:dyDescent="0.3">
      <c r="A195" s="1" t="s">
        <v>1310</v>
      </c>
      <c r="B195" s="1" t="s">
        <v>11</v>
      </c>
      <c r="C195" s="1" t="s">
        <v>1043</v>
      </c>
      <c r="D195" s="1" t="s">
        <v>333</v>
      </c>
      <c r="E195" s="1" t="s">
        <v>1009</v>
      </c>
      <c r="F195" s="3" t="s">
        <v>991</v>
      </c>
      <c r="G195" s="1">
        <v>110</v>
      </c>
      <c r="H195" s="1">
        <v>4</v>
      </c>
      <c r="I195" s="1">
        <v>0</v>
      </c>
      <c r="J195" s="1">
        <v>30</v>
      </c>
      <c r="K195" s="1">
        <v>33</v>
      </c>
    </row>
    <row r="196" spans="1:11" x14ac:dyDescent="0.3">
      <c r="A196" s="1" t="s">
        <v>1008</v>
      </c>
      <c r="B196" s="1" t="s">
        <v>76</v>
      </c>
      <c r="C196" s="1" t="s">
        <v>83</v>
      </c>
      <c r="D196" s="1" t="s">
        <v>218</v>
      </c>
      <c r="E196" s="1" t="s">
        <v>1009</v>
      </c>
      <c r="F196" s="3" t="s">
        <v>991</v>
      </c>
      <c r="G196" s="1">
        <v>45.150000000000006</v>
      </c>
      <c r="H196" s="1">
        <v>15</v>
      </c>
      <c r="I196" s="1">
        <v>1</v>
      </c>
      <c r="J196" s="1">
        <v>248</v>
      </c>
      <c r="K196" s="1">
        <v>138</v>
      </c>
    </row>
    <row r="197" spans="1:11" x14ac:dyDescent="0.3">
      <c r="A197" s="1" t="s">
        <v>1097</v>
      </c>
      <c r="B197" s="1" t="s">
        <v>76</v>
      </c>
      <c r="C197" s="1" t="s">
        <v>83</v>
      </c>
      <c r="D197" s="1" t="s">
        <v>347</v>
      </c>
      <c r="E197" s="1" t="s">
        <v>1021</v>
      </c>
      <c r="F197" s="3" t="s">
        <v>991</v>
      </c>
      <c r="G197" s="1">
        <v>27.949999999999996</v>
      </c>
      <c r="H197" s="1">
        <v>8</v>
      </c>
      <c r="I197" s="1">
        <v>1</v>
      </c>
      <c r="J197" s="1">
        <v>140</v>
      </c>
      <c r="K197" s="1">
        <v>78</v>
      </c>
    </row>
    <row r="198" spans="1:11" x14ac:dyDescent="0.3">
      <c r="A198" s="1" t="s">
        <v>1048</v>
      </c>
      <c r="B198" s="1" t="s">
        <v>76</v>
      </c>
      <c r="C198" s="1" t="s">
        <v>83</v>
      </c>
      <c r="D198" s="1" t="s">
        <v>218</v>
      </c>
      <c r="E198" s="1" t="s">
        <v>1021</v>
      </c>
      <c r="F198" s="3" t="s">
        <v>991</v>
      </c>
      <c r="G198" s="1">
        <v>57.75</v>
      </c>
      <c r="H198" s="1">
        <v>13</v>
      </c>
      <c r="I198" s="1">
        <v>2</v>
      </c>
      <c r="J198" s="1">
        <v>187</v>
      </c>
      <c r="K198" s="1">
        <v>104</v>
      </c>
    </row>
    <row r="199" spans="1:11" x14ac:dyDescent="0.3">
      <c r="A199" s="1" t="s">
        <v>1235</v>
      </c>
      <c r="B199" s="1" t="s">
        <v>76</v>
      </c>
      <c r="C199" s="1" t="s">
        <v>83</v>
      </c>
      <c r="D199" s="1" t="s">
        <v>290</v>
      </c>
      <c r="E199" s="1" t="s">
        <v>1021</v>
      </c>
      <c r="F199" s="3" t="s">
        <v>991</v>
      </c>
      <c r="G199" s="1">
        <v>34.400000000000006</v>
      </c>
      <c r="H199" s="1">
        <v>6</v>
      </c>
      <c r="I199" s="1">
        <v>0</v>
      </c>
      <c r="J199" s="1">
        <v>86</v>
      </c>
      <c r="K199" s="1">
        <v>48</v>
      </c>
    </row>
    <row r="200" spans="1:11" x14ac:dyDescent="0.3">
      <c r="A200" s="1" t="s">
        <v>1145</v>
      </c>
      <c r="B200" s="1" t="s">
        <v>15</v>
      </c>
      <c r="C200" s="1" t="s">
        <v>83</v>
      </c>
      <c r="D200" s="1" t="s">
        <v>294</v>
      </c>
      <c r="E200" s="1" t="s">
        <v>1007</v>
      </c>
      <c r="F200" s="3" t="s">
        <v>991</v>
      </c>
      <c r="G200" s="1">
        <v>43.5</v>
      </c>
      <c r="H200" s="1">
        <v>8</v>
      </c>
      <c r="I200" s="1">
        <v>0</v>
      </c>
      <c r="J200" s="1">
        <v>115</v>
      </c>
      <c r="K200" s="1">
        <v>64</v>
      </c>
    </row>
    <row r="201" spans="1:11" x14ac:dyDescent="0.3">
      <c r="A201" s="1" t="s">
        <v>1301</v>
      </c>
      <c r="B201" s="1" t="s">
        <v>56</v>
      </c>
      <c r="C201" s="1" t="s">
        <v>1043</v>
      </c>
      <c r="D201" s="1" t="s">
        <v>9</v>
      </c>
      <c r="E201" s="1" t="s">
        <v>1036</v>
      </c>
      <c r="F201" s="3" t="s">
        <v>991</v>
      </c>
      <c r="G201" s="1">
        <v>145.80000000000001</v>
      </c>
      <c r="H201" s="1">
        <v>4</v>
      </c>
      <c r="I201" s="1">
        <v>1</v>
      </c>
      <c r="J201" s="1">
        <v>24</v>
      </c>
      <c r="K201" s="1">
        <v>35</v>
      </c>
    </row>
    <row r="202" spans="1:11" x14ac:dyDescent="0.3">
      <c r="A202" s="1" t="s">
        <v>1478</v>
      </c>
      <c r="B202" s="1" t="s">
        <v>4</v>
      </c>
      <c r="C202" s="1" t="s">
        <v>1043</v>
      </c>
      <c r="D202" s="1" t="s">
        <v>9</v>
      </c>
      <c r="E202" s="1" t="s">
        <v>1047</v>
      </c>
      <c r="F202" s="3" t="s">
        <v>991</v>
      </c>
      <c r="G202" s="1">
        <v>82.4</v>
      </c>
      <c r="H202" s="1">
        <v>0</v>
      </c>
      <c r="I202" s="1">
        <v>1</v>
      </c>
      <c r="J202" s="1">
        <v>17</v>
      </c>
      <c r="K202" s="1">
        <v>14</v>
      </c>
    </row>
    <row r="203" spans="1:11" x14ac:dyDescent="0.3">
      <c r="A203" s="1" t="s">
        <v>1151</v>
      </c>
      <c r="B203" s="1" t="s">
        <v>40</v>
      </c>
      <c r="C203" s="1" t="s">
        <v>1043</v>
      </c>
      <c r="D203" s="1" t="s">
        <v>64</v>
      </c>
      <c r="E203" s="1" t="s">
        <v>1047</v>
      </c>
      <c r="F203" s="3" t="s">
        <v>991</v>
      </c>
      <c r="G203" s="1">
        <v>121.2</v>
      </c>
      <c r="H203" s="1">
        <v>5</v>
      </c>
      <c r="I203" s="1">
        <v>2</v>
      </c>
      <c r="J203" s="1">
        <v>52</v>
      </c>
      <c r="K203" s="1">
        <v>63</v>
      </c>
    </row>
    <row r="204" spans="1:11" x14ac:dyDescent="0.3">
      <c r="A204" s="1" t="s">
        <v>1251</v>
      </c>
      <c r="B204" s="1" t="s">
        <v>8</v>
      </c>
      <c r="C204" s="1" t="s">
        <v>1043</v>
      </c>
      <c r="D204" s="1" t="s">
        <v>64</v>
      </c>
      <c r="E204" s="1" t="s">
        <v>1047</v>
      </c>
      <c r="F204" s="3" t="s">
        <v>991</v>
      </c>
      <c r="G204" s="1">
        <v>146.69999999999999</v>
      </c>
      <c r="H204" s="1">
        <v>3</v>
      </c>
      <c r="I204" s="1">
        <v>3</v>
      </c>
      <c r="J204" s="1">
        <v>30</v>
      </c>
      <c r="K204" s="1">
        <v>44</v>
      </c>
    </row>
    <row r="205" spans="1:11" x14ac:dyDescent="0.3">
      <c r="A205" s="1" t="s">
        <v>1314</v>
      </c>
      <c r="B205" s="1" t="s">
        <v>53</v>
      </c>
      <c r="C205" s="1" t="s">
        <v>1043</v>
      </c>
      <c r="D205" s="1" t="s">
        <v>64</v>
      </c>
      <c r="E205" s="1" t="s">
        <v>1047</v>
      </c>
      <c r="F205" s="3" t="s">
        <v>991</v>
      </c>
      <c r="G205" s="1">
        <v>128</v>
      </c>
      <c r="H205" s="1">
        <v>2</v>
      </c>
      <c r="I205" s="1">
        <v>2</v>
      </c>
      <c r="J205" s="1">
        <v>25</v>
      </c>
      <c r="K205" s="1">
        <v>32</v>
      </c>
    </row>
    <row r="206" spans="1:11" x14ac:dyDescent="0.3">
      <c r="A206" s="1" t="s">
        <v>1257</v>
      </c>
      <c r="B206" s="1" t="s">
        <v>11</v>
      </c>
      <c r="C206" s="1" t="s">
        <v>1043</v>
      </c>
      <c r="D206" s="1" t="s">
        <v>64</v>
      </c>
      <c r="E206" s="1" t="s">
        <v>1047</v>
      </c>
      <c r="F206" s="3" t="s">
        <v>991</v>
      </c>
      <c r="G206" s="1">
        <v>134.4</v>
      </c>
      <c r="H206" s="1">
        <v>3</v>
      </c>
      <c r="I206" s="1">
        <v>1</v>
      </c>
      <c r="J206" s="1">
        <v>32</v>
      </c>
      <c r="K206" s="1">
        <v>43</v>
      </c>
    </row>
    <row r="207" spans="1:11" x14ac:dyDescent="0.3">
      <c r="A207" s="1" t="s">
        <v>1424</v>
      </c>
      <c r="B207" s="1" t="s">
        <v>60</v>
      </c>
      <c r="C207" s="1" t="s">
        <v>1043</v>
      </c>
      <c r="D207" s="1" t="s">
        <v>64</v>
      </c>
      <c r="E207" s="1" t="s">
        <v>1047</v>
      </c>
      <c r="F207" s="3" t="s">
        <v>991</v>
      </c>
      <c r="G207" s="1">
        <v>126.7</v>
      </c>
      <c r="H207" s="1">
        <v>1</v>
      </c>
      <c r="I207" s="1">
        <v>1</v>
      </c>
      <c r="J207" s="1">
        <v>15</v>
      </c>
      <c r="K207" s="1">
        <v>19</v>
      </c>
    </row>
    <row r="208" spans="1:11" x14ac:dyDescent="0.3">
      <c r="A208" s="1" t="s">
        <v>1289</v>
      </c>
      <c r="B208" s="1" t="s">
        <v>76</v>
      </c>
      <c r="C208" s="1" t="s">
        <v>16</v>
      </c>
      <c r="D208" s="1" t="s">
        <v>100</v>
      </c>
      <c r="E208" s="1" t="s">
        <v>1016</v>
      </c>
      <c r="F208" s="3" t="s">
        <v>991</v>
      </c>
      <c r="G208" s="1">
        <v>100</v>
      </c>
      <c r="H208" s="1">
        <v>6</v>
      </c>
      <c r="I208" s="1">
        <v>0</v>
      </c>
      <c r="J208" s="1">
        <v>37</v>
      </c>
      <c r="K208" s="1">
        <v>37</v>
      </c>
    </row>
    <row r="209" spans="1:11" x14ac:dyDescent="0.3">
      <c r="A209" s="1" t="s">
        <v>1368</v>
      </c>
      <c r="B209" s="1" t="s">
        <v>76</v>
      </c>
      <c r="C209" s="1" t="s">
        <v>16</v>
      </c>
      <c r="D209" s="1" t="s">
        <v>100</v>
      </c>
      <c r="E209" s="1" t="s">
        <v>1016</v>
      </c>
      <c r="F209" s="3" t="s">
        <v>991</v>
      </c>
      <c r="G209" s="1">
        <v>100</v>
      </c>
      <c r="H209" s="1">
        <v>5</v>
      </c>
      <c r="I209" s="1">
        <v>0</v>
      </c>
      <c r="J209" s="1">
        <v>25</v>
      </c>
      <c r="K209" s="1">
        <v>25</v>
      </c>
    </row>
    <row r="210" spans="1:11" x14ac:dyDescent="0.3">
      <c r="A210" s="1" t="s">
        <v>1347</v>
      </c>
      <c r="B210" s="1" t="s">
        <v>76</v>
      </c>
      <c r="C210" s="1" t="s">
        <v>16</v>
      </c>
      <c r="D210" s="1" t="s">
        <v>100</v>
      </c>
      <c r="E210" s="1" t="s">
        <v>1016</v>
      </c>
      <c r="F210" s="3" t="s">
        <v>991</v>
      </c>
      <c r="G210" s="1">
        <v>66.7</v>
      </c>
      <c r="H210" s="1">
        <v>4</v>
      </c>
      <c r="I210" s="1">
        <v>0</v>
      </c>
      <c r="J210" s="1">
        <v>42</v>
      </c>
      <c r="K210" s="1">
        <v>28</v>
      </c>
    </row>
    <row r="211" spans="1:11" x14ac:dyDescent="0.3">
      <c r="A211" s="1" t="s">
        <v>1146</v>
      </c>
      <c r="B211" s="1" t="s">
        <v>76</v>
      </c>
      <c r="C211" s="1" t="s">
        <v>5</v>
      </c>
      <c r="D211" s="1" t="s">
        <v>41</v>
      </c>
      <c r="E211" s="1" t="s">
        <v>1016</v>
      </c>
      <c r="F211" s="3" t="s">
        <v>991</v>
      </c>
      <c r="G211" s="1">
        <v>188.2</v>
      </c>
      <c r="H211" s="1">
        <v>4</v>
      </c>
      <c r="I211" s="1">
        <v>5</v>
      </c>
      <c r="J211" s="1">
        <v>34</v>
      </c>
      <c r="K211" s="1">
        <v>64</v>
      </c>
    </row>
    <row r="212" spans="1:11" x14ac:dyDescent="0.3">
      <c r="A212" s="1" t="s">
        <v>1505</v>
      </c>
      <c r="B212" s="1" t="s">
        <v>76</v>
      </c>
      <c r="C212" s="1" t="s">
        <v>5</v>
      </c>
      <c r="D212" s="1" t="s">
        <v>41</v>
      </c>
      <c r="E212" s="1" t="s">
        <v>1016</v>
      </c>
      <c r="F212" s="3" t="s">
        <v>991</v>
      </c>
      <c r="G212" s="1">
        <v>100</v>
      </c>
      <c r="H212" s="1">
        <v>1</v>
      </c>
      <c r="I212" s="1">
        <v>1</v>
      </c>
      <c r="J212" s="1">
        <v>12</v>
      </c>
      <c r="K212" s="1">
        <v>12</v>
      </c>
    </row>
    <row r="213" spans="1:11" x14ac:dyDescent="0.3">
      <c r="A213" s="1" t="s">
        <v>1462</v>
      </c>
      <c r="B213" s="1" t="s">
        <v>76</v>
      </c>
      <c r="C213" s="1" t="s">
        <v>5</v>
      </c>
      <c r="D213" s="1" t="s">
        <v>41</v>
      </c>
      <c r="E213" s="1" t="s">
        <v>1016</v>
      </c>
      <c r="F213" s="3" t="s">
        <v>991</v>
      </c>
      <c r="G213" s="1">
        <v>88.2</v>
      </c>
      <c r="H213" s="1">
        <v>2</v>
      </c>
      <c r="I213" s="1">
        <v>0</v>
      </c>
      <c r="J213" s="1">
        <v>17</v>
      </c>
      <c r="K213" s="1">
        <v>15</v>
      </c>
    </row>
    <row r="214" spans="1:11" x14ac:dyDescent="0.3">
      <c r="A214" s="1" t="s">
        <v>1228</v>
      </c>
      <c r="B214" s="1" t="s">
        <v>76</v>
      </c>
      <c r="C214" s="1" t="s">
        <v>83</v>
      </c>
      <c r="D214" s="1" t="s">
        <v>41</v>
      </c>
      <c r="E214" s="1" t="s">
        <v>1016</v>
      </c>
      <c r="F214" s="3" t="s">
        <v>991</v>
      </c>
      <c r="G214" s="1">
        <v>34</v>
      </c>
      <c r="H214" s="1">
        <v>7</v>
      </c>
      <c r="I214" s="1">
        <v>0</v>
      </c>
      <c r="J214" s="1">
        <v>88</v>
      </c>
      <c r="K214" s="1">
        <v>49</v>
      </c>
    </row>
    <row r="215" spans="1:11" x14ac:dyDescent="0.3">
      <c r="A215" s="1" t="s">
        <v>1069</v>
      </c>
      <c r="B215" s="1" t="s">
        <v>76</v>
      </c>
      <c r="C215" s="1" t="s">
        <v>83</v>
      </c>
      <c r="D215" s="1" t="s">
        <v>41</v>
      </c>
      <c r="E215" s="1" t="s">
        <v>990</v>
      </c>
      <c r="F215" s="3" t="s">
        <v>991</v>
      </c>
      <c r="G215" s="1">
        <v>84.35</v>
      </c>
      <c r="H215" s="1">
        <v>14</v>
      </c>
      <c r="I215" s="1">
        <v>1</v>
      </c>
      <c r="J215" s="1">
        <v>164</v>
      </c>
      <c r="K215" s="1">
        <v>91</v>
      </c>
    </row>
    <row r="216" spans="1:11" x14ac:dyDescent="0.3">
      <c r="A216" s="1" t="s">
        <v>989</v>
      </c>
      <c r="B216" s="1" t="s">
        <v>76</v>
      </c>
      <c r="C216" s="1" t="s">
        <v>83</v>
      </c>
      <c r="D216" s="1" t="s">
        <v>64</v>
      </c>
      <c r="E216" s="1" t="s">
        <v>990</v>
      </c>
      <c r="F216" s="3" t="s">
        <v>991</v>
      </c>
      <c r="G216" s="1">
        <v>53.400000000000006</v>
      </c>
      <c r="H216" s="1">
        <v>20</v>
      </c>
      <c r="I216" s="1">
        <v>3</v>
      </c>
      <c r="J216" s="1">
        <v>337</v>
      </c>
      <c r="K216" s="1">
        <v>187</v>
      </c>
    </row>
    <row r="217" spans="1:11" x14ac:dyDescent="0.3">
      <c r="A217" s="1" t="s">
        <v>1433</v>
      </c>
      <c r="B217" s="1" t="s">
        <v>76</v>
      </c>
      <c r="C217" s="1" t="s">
        <v>83</v>
      </c>
      <c r="D217" s="1" t="s">
        <v>64</v>
      </c>
      <c r="E217" s="1" t="s">
        <v>990</v>
      </c>
      <c r="F217" s="3" t="s">
        <v>991</v>
      </c>
      <c r="G217" s="1">
        <v>63.3</v>
      </c>
      <c r="H217" s="1">
        <v>2</v>
      </c>
      <c r="I217" s="1">
        <v>1</v>
      </c>
      <c r="J217" s="1">
        <v>32</v>
      </c>
      <c r="K217" s="1">
        <v>18</v>
      </c>
    </row>
    <row r="218" spans="1:11" x14ac:dyDescent="0.3">
      <c r="A218" s="1" t="s">
        <v>1215</v>
      </c>
      <c r="B218" s="1" t="s">
        <v>32</v>
      </c>
      <c r="C218" s="1" t="s">
        <v>83</v>
      </c>
      <c r="D218" s="1" t="s">
        <v>88</v>
      </c>
      <c r="E218" s="1" t="s">
        <v>994</v>
      </c>
      <c r="F218" s="3" t="s">
        <v>991</v>
      </c>
      <c r="G218" s="1">
        <v>46.349999999999994</v>
      </c>
      <c r="H218" s="1">
        <v>7</v>
      </c>
      <c r="I218" s="1">
        <v>0</v>
      </c>
      <c r="J218" s="1">
        <v>92</v>
      </c>
      <c r="K218" s="1">
        <v>51</v>
      </c>
    </row>
    <row r="219" spans="1:11" x14ac:dyDescent="0.3">
      <c r="A219" s="1" t="s">
        <v>1098</v>
      </c>
      <c r="B219" s="1" t="s">
        <v>32</v>
      </c>
      <c r="C219" s="1" t="s">
        <v>83</v>
      </c>
      <c r="D219" s="1" t="s">
        <v>33</v>
      </c>
      <c r="E219" s="1" t="s">
        <v>994</v>
      </c>
      <c r="F219" s="3" t="s">
        <v>991</v>
      </c>
      <c r="G219" s="1">
        <v>43.35</v>
      </c>
      <c r="H219" s="1">
        <v>8</v>
      </c>
      <c r="I219" s="1">
        <v>2</v>
      </c>
      <c r="J219" s="1">
        <v>140</v>
      </c>
      <c r="K219" s="1">
        <v>78</v>
      </c>
    </row>
    <row r="220" spans="1:11" x14ac:dyDescent="0.3">
      <c r="A220" s="1" t="s">
        <v>1126</v>
      </c>
      <c r="B220" s="1" t="s">
        <v>8</v>
      </c>
      <c r="C220" s="1" t="s">
        <v>1043</v>
      </c>
      <c r="D220" s="1" t="s">
        <v>67</v>
      </c>
      <c r="E220" s="1" t="s">
        <v>981</v>
      </c>
      <c r="F220" s="3" t="s">
        <v>1031</v>
      </c>
      <c r="G220" s="1">
        <v>133.30000000000001</v>
      </c>
      <c r="H220" s="1">
        <v>5</v>
      </c>
      <c r="I220" s="1">
        <v>4</v>
      </c>
      <c r="J220" s="1">
        <v>51</v>
      </c>
      <c r="K220" s="1">
        <v>68</v>
      </c>
    </row>
    <row r="221" spans="1:11" x14ac:dyDescent="0.3">
      <c r="A221" s="1" t="s">
        <v>1737</v>
      </c>
      <c r="B221" s="1" t="s">
        <v>8</v>
      </c>
      <c r="C221" s="1" t="s">
        <v>1043</v>
      </c>
      <c r="D221" s="1" t="s">
        <v>67</v>
      </c>
      <c r="E221" s="1" t="s">
        <v>981</v>
      </c>
      <c r="F221" s="3" t="s">
        <v>1031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</row>
    <row r="222" spans="1:11" x14ac:dyDescent="0.3">
      <c r="A222" s="1" t="s">
        <v>1648</v>
      </c>
      <c r="B222" s="1" t="s">
        <v>53</v>
      </c>
      <c r="C222" s="1" t="s">
        <v>1043</v>
      </c>
      <c r="D222" s="1" t="s">
        <v>338</v>
      </c>
      <c r="E222" s="1" t="s">
        <v>981</v>
      </c>
      <c r="F222" s="3" t="s">
        <v>1031</v>
      </c>
      <c r="G222" s="1">
        <v>57.1</v>
      </c>
      <c r="H222" s="1">
        <v>0</v>
      </c>
      <c r="I222" s="1">
        <v>0</v>
      </c>
      <c r="J222" s="1">
        <v>7</v>
      </c>
      <c r="K222" s="1">
        <v>4</v>
      </c>
    </row>
    <row r="223" spans="1:11" x14ac:dyDescent="0.3">
      <c r="A223" s="1" t="s">
        <v>1554</v>
      </c>
      <c r="B223" s="1" t="s">
        <v>40</v>
      </c>
      <c r="C223" s="1" t="s">
        <v>1043</v>
      </c>
      <c r="D223" s="1" t="s">
        <v>67</v>
      </c>
      <c r="E223" s="1" t="s">
        <v>977</v>
      </c>
      <c r="F223" s="3" t="s">
        <v>1031</v>
      </c>
      <c r="G223" s="1">
        <v>112.5</v>
      </c>
      <c r="H223" s="1">
        <v>2</v>
      </c>
      <c r="I223" s="1">
        <v>0</v>
      </c>
      <c r="J223" s="1">
        <v>8</v>
      </c>
      <c r="K223" s="1">
        <v>9</v>
      </c>
    </row>
    <row r="224" spans="1:11" x14ac:dyDescent="0.3">
      <c r="A224" s="1" t="s">
        <v>1302</v>
      </c>
      <c r="B224" s="1" t="s">
        <v>11</v>
      </c>
      <c r="C224" s="1" t="s">
        <v>1043</v>
      </c>
      <c r="D224" s="1" t="s">
        <v>333</v>
      </c>
      <c r="E224" s="1" t="s">
        <v>977</v>
      </c>
      <c r="F224" s="3" t="s">
        <v>1031</v>
      </c>
      <c r="G224" s="1">
        <v>97.2</v>
      </c>
      <c r="H224" s="1">
        <v>5</v>
      </c>
      <c r="I224" s="1">
        <v>1</v>
      </c>
      <c r="J224" s="1">
        <v>36</v>
      </c>
      <c r="K224" s="1">
        <v>35</v>
      </c>
    </row>
    <row r="225" spans="1:11" x14ac:dyDescent="0.3">
      <c r="A225" s="1" t="s">
        <v>1621</v>
      </c>
      <c r="B225" s="1" t="s">
        <v>8</v>
      </c>
      <c r="C225" s="1" t="s">
        <v>1043</v>
      </c>
      <c r="D225" s="1" t="s">
        <v>333</v>
      </c>
      <c r="E225" s="1" t="s">
        <v>977</v>
      </c>
      <c r="F225" s="3" t="s">
        <v>1031</v>
      </c>
      <c r="G225" s="1">
        <v>41.7</v>
      </c>
      <c r="H225" s="1">
        <v>0</v>
      </c>
      <c r="I225" s="1">
        <v>0</v>
      </c>
      <c r="J225" s="1">
        <v>12</v>
      </c>
      <c r="K225" s="1">
        <v>5</v>
      </c>
    </row>
    <row r="226" spans="1:11" x14ac:dyDescent="0.3">
      <c r="A226" s="1" t="s">
        <v>1303</v>
      </c>
      <c r="B226" s="1" t="s">
        <v>4</v>
      </c>
      <c r="C226" s="1" t="s">
        <v>1043</v>
      </c>
      <c r="D226" s="1" t="s">
        <v>333</v>
      </c>
      <c r="E226" s="1" t="s">
        <v>977</v>
      </c>
      <c r="F226" s="3" t="s">
        <v>1031</v>
      </c>
      <c r="G226" s="1">
        <v>152.19999999999999</v>
      </c>
      <c r="H226" s="1">
        <v>2</v>
      </c>
      <c r="I226" s="1">
        <v>3</v>
      </c>
      <c r="J226" s="1">
        <v>23</v>
      </c>
      <c r="K226" s="1">
        <v>35</v>
      </c>
    </row>
    <row r="227" spans="1:11" x14ac:dyDescent="0.3">
      <c r="A227" s="1" t="s">
        <v>1607</v>
      </c>
      <c r="B227" s="1" t="s">
        <v>53</v>
      </c>
      <c r="C227" s="1" t="s">
        <v>1043</v>
      </c>
      <c r="D227" s="1" t="s">
        <v>338</v>
      </c>
      <c r="E227" s="1" t="s">
        <v>977</v>
      </c>
      <c r="F227" s="3" t="s">
        <v>1031</v>
      </c>
      <c r="G227" s="1">
        <v>120</v>
      </c>
      <c r="H227" s="1">
        <v>0</v>
      </c>
      <c r="I227" s="1">
        <v>1</v>
      </c>
      <c r="J227" s="1">
        <v>5</v>
      </c>
      <c r="K227" s="1">
        <v>6</v>
      </c>
    </row>
    <row r="228" spans="1:11" x14ac:dyDescent="0.3">
      <c r="A228" s="1" t="s">
        <v>1121</v>
      </c>
      <c r="B228" s="1" t="s">
        <v>40</v>
      </c>
      <c r="C228" s="1" t="s">
        <v>1043</v>
      </c>
      <c r="D228" s="1" t="s">
        <v>333</v>
      </c>
      <c r="E228" s="1" t="s">
        <v>977</v>
      </c>
      <c r="F228" s="3" t="s">
        <v>1031</v>
      </c>
      <c r="G228" s="1">
        <v>155.6</v>
      </c>
      <c r="H228" s="1">
        <v>8</v>
      </c>
      <c r="I228" s="1">
        <v>3</v>
      </c>
      <c r="J228" s="1">
        <v>45</v>
      </c>
      <c r="K228" s="1">
        <v>70</v>
      </c>
    </row>
    <row r="229" spans="1:11" x14ac:dyDescent="0.3">
      <c r="A229" s="1" t="s">
        <v>1575</v>
      </c>
      <c r="B229" s="1" t="s">
        <v>60</v>
      </c>
      <c r="C229" s="1" t="s">
        <v>1043</v>
      </c>
      <c r="D229" s="1" t="s">
        <v>67</v>
      </c>
      <c r="E229" s="1" t="s">
        <v>1009</v>
      </c>
      <c r="F229" s="3" t="s">
        <v>1031</v>
      </c>
      <c r="G229" s="1">
        <v>100</v>
      </c>
      <c r="H229" s="1">
        <v>0</v>
      </c>
      <c r="I229" s="1">
        <v>1</v>
      </c>
      <c r="J229" s="1">
        <v>8</v>
      </c>
      <c r="K229" s="1">
        <v>8</v>
      </c>
    </row>
    <row r="230" spans="1:11" x14ac:dyDescent="0.3">
      <c r="A230" s="1" t="s">
        <v>1089</v>
      </c>
      <c r="B230" s="1" t="s">
        <v>11</v>
      </c>
      <c r="C230" s="1" t="s">
        <v>1043</v>
      </c>
      <c r="D230" s="1" t="s">
        <v>333</v>
      </c>
      <c r="E230" s="1" t="s">
        <v>1009</v>
      </c>
      <c r="F230" s="3" t="s">
        <v>1031</v>
      </c>
      <c r="G230" s="1">
        <v>148.1</v>
      </c>
      <c r="H230" s="1">
        <v>3</v>
      </c>
      <c r="I230" s="1">
        <v>6</v>
      </c>
      <c r="J230" s="1">
        <v>54</v>
      </c>
      <c r="K230" s="1">
        <v>80</v>
      </c>
    </row>
    <row r="231" spans="1:11" x14ac:dyDescent="0.3">
      <c r="A231" s="1" t="s">
        <v>1506</v>
      </c>
      <c r="B231" s="1" t="s">
        <v>56</v>
      </c>
      <c r="C231" s="1" t="s">
        <v>1043</v>
      </c>
      <c r="D231" s="1" t="s">
        <v>333</v>
      </c>
      <c r="E231" s="1" t="s">
        <v>1009</v>
      </c>
      <c r="F231" s="3" t="s">
        <v>1031</v>
      </c>
      <c r="G231" s="1">
        <v>120</v>
      </c>
      <c r="H231" s="1">
        <v>2</v>
      </c>
      <c r="I231" s="1">
        <v>0</v>
      </c>
      <c r="J231" s="1">
        <v>10</v>
      </c>
      <c r="K231" s="1">
        <v>12</v>
      </c>
    </row>
    <row r="232" spans="1:11" x14ac:dyDescent="0.3">
      <c r="A232" s="1" t="s">
        <v>1163</v>
      </c>
      <c r="B232" s="1" t="s">
        <v>15</v>
      </c>
      <c r="C232" s="1" t="s">
        <v>5</v>
      </c>
      <c r="D232" s="1" t="s">
        <v>403</v>
      </c>
      <c r="E232" s="1" t="s">
        <v>990</v>
      </c>
      <c r="F232" s="3" t="s">
        <v>1031</v>
      </c>
      <c r="G232" s="1">
        <v>146.30000000000001</v>
      </c>
      <c r="H232" s="1">
        <v>3</v>
      </c>
      <c r="I232" s="1">
        <v>3</v>
      </c>
      <c r="J232" s="1">
        <v>41</v>
      </c>
      <c r="K232" s="1">
        <v>60</v>
      </c>
    </row>
    <row r="233" spans="1:11" x14ac:dyDescent="0.3">
      <c r="A233" s="1" t="s">
        <v>1138</v>
      </c>
      <c r="B233" s="1" t="s">
        <v>15</v>
      </c>
      <c r="C233" s="1" t="s">
        <v>5</v>
      </c>
      <c r="D233" s="1" t="s">
        <v>405</v>
      </c>
      <c r="E233" s="1" t="s">
        <v>994</v>
      </c>
      <c r="F233" s="3" t="s">
        <v>1031</v>
      </c>
      <c r="G233" s="1">
        <v>162.5</v>
      </c>
      <c r="H233" s="1">
        <v>6</v>
      </c>
      <c r="I233" s="1">
        <v>3</v>
      </c>
      <c r="J233" s="1">
        <v>40</v>
      </c>
      <c r="K233" s="1">
        <v>65</v>
      </c>
    </row>
    <row r="234" spans="1:11" x14ac:dyDescent="0.3">
      <c r="A234" s="1" t="s">
        <v>1576</v>
      </c>
      <c r="B234" s="1" t="s">
        <v>15</v>
      </c>
      <c r="C234" s="1" t="s">
        <v>5</v>
      </c>
      <c r="D234" s="1" t="s">
        <v>407</v>
      </c>
      <c r="E234" s="1" t="s">
        <v>994</v>
      </c>
      <c r="F234" s="3" t="s">
        <v>1031</v>
      </c>
      <c r="G234" s="1">
        <v>133.30000000000001</v>
      </c>
      <c r="H234" s="1">
        <v>2</v>
      </c>
      <c r="I234" s="1">
        <v>0</v>
      </c>
      <c r="J234" s="1">
        <v>6</v>
      </c>
      <c r="K234" s="1">
        <v>8</v>
      </c>
    </row>
    <row r="235" spans="1:11" x14ac:dyDescent="0.3">
      <c r="A235" s="1" t="s">
        <v>1593</v>
      </c>
      <c r="B235" s="1" t="s">
        <v>15</v>
      </c>
      <c r="C235" s="1" t="s">
        <v>5</v>
      </c>
      <c r="D235" s="1" t="s">
        <v>407</v>
      </c>
      <c r="E235" s="1" t="s">
        <v>994</v>
      </c>
      <c r="F235" s="3" t="s">
        <v>1031</v>
      </c>
      <c r="G235" s="1">
        <v>116.7</v>
      </c>
      <c r="H235" s="1">
        <v>0</v>
      </c>
      <c r="I235" s="1">
        <v>1</v>
      </c>
      <c r="J235" s="1">
        <v>6</v>
      </c>
      <c r="K235" s="1">
        <v>7</v>
      </c>
    </row>
    <row r="236" spans="1:11" x14ac:dyDescent="0.3">
      <c r="A236" s="1" t="s">
        <v>1030</v>
      </c>
      <c r="B236" s="1" t="s">
        <v>32</v>
      </c>
      <c r="C236" s="1" t="s">
        <v>16</v>
      </c>
      <c r="D236" s="1" t="s">
        <v>103</v>
      </c>
      <c r="E236" s="1" t="s">
        <v>994</v>
      </c>
      <c r="F236" s="3" t="s">
        <v>1031</v>
      </c>
      <c r="G236" s="1">
        <v>93</v>
      </c>
      <c r="H236" s="1">
        <v>8</v>
      </c>
      <c r="I236" s="1">
        <v>6</v>
      </c>
      <c r="J236" s="1">
        <v>128</v>
      </c>
      <c r="K236" s="1">
        <v>119</v>
      </c>
    </row>
    <row r="237" spans="1:11" x14ac:dyDescent="0.3">
      <c r="A237" s="1" t="s">
        <v>1263</v>
      </c>
      <c r="B237" s="1" t="s">
        <v>32</v>
      </c>
      <c r="C237" s="1" t="s">
        <v>16</v>
      </c>
      <c r="D237" s="1" t="s">
        <v>19</v>
      </c>
      <c r="E237" s="1" t="s">
        <v>994</v>
      </c>
      <c r="F237" s="3" t="s">
        <v>1031</v>
      </c>
      <c r="G237" s="1">
        <v>95.5</v>
      </c>
      <c r="H237" s="1">
        <v>6</v>
      </c>
      <c r="I237" s="1">
        <v>0</v>
      </c>
      <c r="J237" s="1">
        <v>44</v>
      </c>
      <c r="K237" s="1">
        <v>42</v>
      </c>
    </row>
    <row r="238" spans="1:11" x14ac:dyDescent="0.3">
      <c r="A238" s="1" t="s">
        <v>1543</v>
      </c>
      <c r="B238" s="1" t="s">
        <v>32</v>
      </c>
      <c r="C238" s="1" t="s">
        <v>16</v>
      </c>
      <c r="D238" s="1" t="s">
        <v>12</v>
      </c>
      <c r="E238" s="1" t="s">
        <v>994</v>
      </c>
      <c r="F238" s="3" t="s">
        <v>1031</v>
      </c>
      <c r="G238" s="1">
        <v>66.7</v>
      </c>
      <c r="H238" s="1">
        <v>2</v>
      </c>
      <c r="I238" s="1">
        <v>0</v>
      </c>
      <c r="J238" s="1">
        <v>15</v>
      </c>
      <c r="K238" s="1">
        <v>10</v>
      </c>
    </row>
    <row r="239" spans="1:11" x14ac:dyDescent="0.3">
      <c r="A239" s="1" t="s">
        <v>1152</v>
      </c>
      <c r="B239" s="1" t="s">
        <v>208</v>
      </c>
      <c r="C239" s="1" t="s">
        <v>16</v>
      </c>
      <c r="D239" s="1" t="s">
        <v>78</v>
      </c>
      <c r="E239" s="1" t="s">
        <v>987</v>
      </c>
      <c r="F239" s="3" t="s">
        <v>978</v>
      </c>
      <c r="G239" s="1">
        <v>100</v>
      </c>
      <c r="H239" s="1">
        <v>8</v>
      </c>
      <c r="I239" s="1">
        <v>1</v>
      </c>
      <c r="J239" s="1">
        <v>63</v>
      </c>
      <c r="K239" s="1">
        <v>63</v>
      </c>
    </row>
    <row r="240" spans="1:11" x14ac:dyDescent="0.3">
      <c r="A240" s="1" t="s">
        <v>998</v>
      </c>
      <c r="B240" s="1" t="s">
        <v>208</v>
      </c>
      <c r="C240" s="1" t="s">
        <v>16</v>
      </c>
      <c r="D240" s="1" t="s">
        <v>25</v>
      </c>
      <c r="E240" s="1" t="s">
        <v>987</v>
      </c>
      <c r="F240" s="3" t="s">
        <v>978</v>
      </c>
      <c r="G240" s="1">
        <v>115.2</v>
      </c>
      <c r="H240" s="1">
        <v>17</v>
      </c>
      <c r="I240" s="1">
        <v>5</v>
      </c>
      <c r="J240" s="1">
        <v>138</v>
      </c>
      <c r="K240" s="1">
        <v>159</v>
      </c>
    </row>
    <row r="241" spans="1:11" x14ac:dyDescent="0.3">
      <c r="A241" s="1" t="s">
        <v>1293</v>
      </c>
      <c r="B241" s="1" t="s">
        <v>208</v>
      </c>
      <c r="C241" s="1" t="s">
        <v>16</v>
      </c>
      <c r="D241" s="1" t="s">
        <v>64</v>
      </c>
      <c r="E241" s="1" t="s">
        <v>987</v>
      </c>
      <c r="F241" s="3" t="s">
        <v>978</v>
      </c>
      <c r="G241" s="1">
        <v>64.3</v>
      </c>
      <c r="H241" s="1">
        <v>6</v>
      </c>
      <c r="I241" s="1">
        <v>0</v>
      </c>
      <c r="J241" s="1">
        <v>56</v>
      </c>
      <c r="K241" s="1">
        <v>36</v>
      </c>
    </row>
    <row r="242" spans="1:11" x14ac:dyDescent="0.3">
      <c r="A242" s="1" t="s">
        <v>1118</v>
      </c>
      <c r="B242" s="1" t="s">
        <v>208</v>
      </c>
      <c r="C242" s="1" t="s">
        <v>5</v>
      </c>
      <c r="D242" s="1" t="s">
        <v>12</v>
      </c>
      <c r="E242" s="1" t="s">
        <v>987</v>
      </c>
      <c r="F242" s="3" t="s">
        <v>978</v>
      </c>
      <c r="G242" s="1">
        <v>208.8</v>
      </c>
      <c r="H242" s="1">
        <v>6</v>
      </c>
      <c r="I242" s="1">
        <v>5</v>
      </c>
      <c r="J242" s="1">
        <v>34</v>
      </c>
      <c r="K242" s="1">
        <v>71</v>
      </c>
    </row>
    <row r="243" spans="1:11" x14ac:dyDescent="0.3">
      <c r="A243" s="1" t="s">
        <v>1463</v>
      </c>
      <c r="B243" s="1" t="s">
        <v>208</v>
      </c>
      <c r="C243" s="1" t="s">
        <v>5</v>
      </c>
      <c r="D243" s="1" t="s">
        <v>254</v>
      </c>
      <c r="E243" s="1" t="s">
        <v>987</v>
      </c>
      <c r="F243" s="3" t="s">
        <v>978</v>
      </c>
      <c r="G243" s="1">
        <v>83.3</v>
      </c>
      <c r="H243" s="1">
        <v>2</v>
      </c>
      <c r="I243" s="1">
        <v>0</v>
      </c>
      <c r="J243" s="1">
        <v>18</v>
      </c>
      <c r="K243" s="1">
        <v>15</v>
      </c>
    </row>
    <row r="244" spans="1:11" x14ac:dyDescent="0.3">
      <c r="A244" s="1" t="s">
        <v>1577</v>
      </c>
      <c r="B244" s="1" t="s">
        <v>208</v>
      </c>
      <c r="C244" s="1" t="s">
        <v>5</v>
      </c>
      <c r="D244" s="1" t="s">
        <v>54</v>
      </c>
      <c r="E244" s="1" t="s">
        <v>987</v>
      </c>
      <c r="F244" s="3" t="s">
        <v>978</v>
      </c>
      <c r="G244" s="1">
        <v>80</v>
      </c>
      <c r="H244" s="1">
        <v>1</v>
      </c>
      <c r="I244" s="1">
        <v>0</v>
      </c>
      <c r="J244" s="1">
        <v>10</v>
      </c>
      <c r="K244" s="1">
        <v>8</v>
      </c>
    </row>
    <row r="245" spans="1:11" x14ac:dyDescent="0.3">
      <c r="A245" s="1" t="s">
        <v>1403</v>
      </c>
      <c r="B245" s="1" t="s">
        <v>73</v>
      </c>
      <c r="C245" s="1" t="s">
        <v>83</v>
      </c>
      <c r="D245" s="1" t="s">
        <v>139</v>
      </c>
      <c r="E245" s="1" t="s">
        <v>981</v>
      </c>
      <c r="F245" s="3" t="s">
        <v>978</v>
      </c>
      <c r="G245" s="1">
        <v>60</v>
      </c>
      <c r="H245" s="1">
        <v>2</v>
      </c>
      <c r="I245" s="1">
        <v>1</v>
      </c>
      <c r="J245" s="1">
        <v>38</v>
      </c>
      <c r="K245" s="1">
        <v>21</v>
      </c>
    </row>
    <row r="246" spans="1:11" x14ac:dyDescent="0.3">
      <c r="A246" s="1" t="s">
        <v>1608</v>
      </c>
      <c r="B246" s="1" t="s">
        <v>73</v>
      </c>
      <c r="C246" s="1" t="s">
        <v>83</v>
      </c>
      <c r="D246" s="1" t="s">
        <v>17</v>
      </c>
      <c r="E246" s="1" t="s">
        <v>981</v>
      </c>
      <c r="F246" s="3" t="s">
        <v>978</v>
      </c>
      <c r="G246" s="1">
        <v>42.8</v>
      </c>
      <c r="H246" s="1">
        <v>1</v>
      </c>
      <c r="I246" s="1">
        <v>0</v>
      </c>
      <c r="J246" s="1">
        <v>11</v>
      </c>
      <c r="K246" s="1">
        <v>6</v>
      </c>
    </row>
    <row r="247" spans="1:11" x14ac:dyDescent="0.3">
      <c r="A247" s="1" t="s">
        <v>1688</v>
      </c>
      <c r="B247" s="1" t="s">
        <v>73</v>
      </c>
      <c r="C247" s="1" t="s">
        <v>5</v>
      </c>
      <c r="D247" s="1" t="s">
        <v>80</v>
      </c>
      <c r="E247" s="1" t="s">
        <v>981</v>
      </c>
      <c r="F247" s="3" t="s">
        <v>978</v>
      </c>
      <c r="G247" s="1">
        <v>33.299999999999997</v>
      </c>
      <c r="H247" s="1">
        <v>0</v>
      </c>
      <c r="I247" s="1">
        <v>0</v>
      </c>
      <c r="J247" s="1">
        <v>6</v>
      </c>
      <c r="K247" s="1">
        <v>2</v>
      </c>
    </row>
    <row r="248" spans="1:11" x14ac:dyDescent="0.3">
      <c r="A248" s="1" t="s">
        <v>1079</v>
      </c>
      <c r="B248" s="1" t="s">
        <v>73</v>
      </c>
      <c r="C248" s="1" t="s">
        <v>5</v>
      </c>
      <c r="D248" s="1" t="s">
        <v>19</v>
      </c>
      <c r="E248" s="1" t="s">
        <v>981</v>
      </c>
      <c r="F248" s="3" t="s">
        <v>978</v>
      </c>
      <c r="G248" s="1">
        <v>197.7</v>
      </c>
      <c r="H248" s="1">
        <v>6</v>
      </c>
      <c r="I248" s="1">
        <v>6</v>
      </c>
      <c r="J248" s="1">
        <v>43</v>
      </c>
      <c r="K248" s="1">
        <v>85</v>
      </c>
    </row>
    <row r="249" spans="1:11" x14ac:dyDescent="0.3">
      <c r="A249" s="1" t="s">
        <v>1555</v>
      </c>
      <c r="B249" s="1" t="s">
        <v>73</v>
      </c>
      <c r="C249" s="1" t="s">
        <v>5</v>
      </c>
      <c r="D249" s="1" t="s">
        <v>9</v>
      </c>
      <c r="E249" s="1" t="s">
        <v>981</v>
      </c>
      <c r="F249" s="3" t="s">
        <v>978</v>
      </c>
      <c r="G249" s="1">
        <v>180</v>
      </c>
      <c r="H249" s="1">
        <v>2</v>
      </c>
      <c r="I249" s="1">
        <v>0</v>
      </c>
      <c r="J249" s="1">
        <v>5</v>
      </c>
      <c r="K249" s="1">
        <v>9</v>
      </c>
    </row>
    <row r="250" spans="1:11" x14ac:dyDescent="0.3">
      <c r="A250" s="1" t="s">
        <v>983</v>
      </c>
      <c r="B250" s="1" t="s">
        <v>24</v>
      </c>
      <c r="C250" s="1" t="s">
        <v>83</v>
      </c>
      <c r="D250" s="1" t="s">
        <v>29</v>
      </c>
      <c r="E250" s="1" t="s">
        <v>977</v>
      </c>
      <c r="F250" s="3" t="s">
        <v>978</v>
      </c>
      <c r="G250" s="1">
        <v>83.1</v>
      </c>
      <c r="H250" s="1">
        <v>28</v>
      </c>
      <c r="I250" s="1">
        <v>6</v>
      </c>
      <c r="J250" s="1">
        <v>382</v>
      </c>
      <c r="K250" s="1">
        <v>212</v>
      </c>
    </row>
    <row r="251" spans="1:11" x14ac:dyDescent="0.3">
      <c r="A251" s="1" t="s">
        <v>1479</v>
      </c>
      <c r="B251" s="1" t="s">
        <v>24</v>
      </c>
      <c r="C251" s="1" t="s">
        <v>83</v>
      </c>
      <c r="D251" s="1" t="s">
        <v>100</v>
      </c>
      <c r="E251" s="1" t="s">
        <v>977</v>
      </c>
      <c r="F251" s="3" t="s">
        <v>978</v>
      </c>
      <c r="G251" s="1">
        <v>40</v>
      </c>
      <c r="H251" s="1">
        <v>1</v>
      </c>
      <c r="I251" s="1">
        <v>0</v>
      </c>
      <c r="J251" s="1">
        <v>25</v>
      </c>
      <c r="K251" s="1">
        <v>14</v>
      </c>
    </row>
    <row r="252" spans="1:11" x14ac:dyDescent="0.3">
      <c r="A252" s="1" t="s">
        <v>976</v>
      </c>
      <c r="B252" s="1" t="s">
        <v>24</v>
      </c>
      <c r="C252" s="1" t="s">
        <v>83</v>
      </c>
      <c r="D252" s="1" t="s">
        <v>25</v>
      </c>
      <c r="E252" s="1" t="s">
        <v>977</v>
      </c>
      <c r="F252" s="3" t="s">
        <v>978</v>
      </c>
      <c r="G252" s="1">
        <v>78.650000000000006</v>
      </c>
      <c r="H252" s="1">
        <v>33</v>
      </c>
      <c r="I252" s="1">
        <v>13</v>
      </c>
      <c r="J252" s="1">
        <v>545</v>
      </c>
      <c r="K252" s="1">
        <v>303</v>
      </c>
    </row>
    <row r="253" spans="1:11" x14ac:dyDescent="0.3">
      <c r="A253" s="1" t="s">
        <v>1556</v>
      </c>
      <c r="B253" s="1" t="s">
        <v>24</v>
      </c>
      <c r="C253" s="1" t="s">
        <v>5</v>
      </c>
      <c r="D253" s="1" t="s">
        <v>103</v>
      </c>
      <c r="E253" s="1" t="s">
        <v>1009</v>
      </c>
      <c r="F253" s="3" t="s">
        <v>978</v>
      </c>
      <c r="G253" s="1">
        <v>112.5</v>
      </c>
      <c r="H253" s="1">
        <v>2</v>
      </c>
      <c r="I253" s="1">
        <v>0</v>
      </c>
      <c r="J253" s="1">
        <v>8</v>
      </c>
      <c r="K253" s="1">
        <v>9</v>
      </c>
    </row>
    <row r="254" spans="1:11" x14ac:dyDescent="0.3">
      <c r="A254" s="1" t="s">
        <v>1507</v>
      </c>
      <c r="B254" s="1" t="s">
        <v>24</v>
      </c>
      <c r="C254" s="1" t="s">
        <v>5</v>
      </c>
      <c r="D254" s="1" t="s">
        <v>173</v>
      </c>
      <c r="E254" s="1" t="s">
        <v>1009</v>
      </c>
      <c r="F254" s="3" t="s">
        <v>978</v>
      </c>
      <c r="G254" s="1">
        <v>100</v>
      </c>
      <c r="H254" s="1">
        <v>0</v>
      </c>
      <c r="I254" s="1">
        <v>2</v>
      </c>
      <c r="J254" s="1">
        <v>12</v>
      </c>
      <c r="K254" s="1">
        <v>12</v>
      </c>
    </row>
    <row r="255" spans="1:11" x14ac:dyDescent="0.3">
      <c r="A255" s="1" t="s">
        <v>1544</v>
      </c>
      <c r="B255" s="1" t="s">
        <v>208</v>
      </c>
      <c r="C255" s="1" t="s">
        <v>16</v>
      </c>
      <c r="D255" s="1" t="s">
        <v>210</v>
      </c>
      <c r="E255" s="1" t="s">
        <v>1021</v>
      </c>
      <c r="F255" s="3" t="s">
        <v>978</v>
      </c>
      <c r="G255" s="1">
        <v>166.7</v>
      </c>
      <c r="H255" s="1">
        <v>2</v>
      </c>
      <c r="I255" s="1">
        <v>0</v>
      </c>
      <c r="J255" s="1">
        <v>6</v>
      </c>
      <c r="K255" s="1">
        <v>10</v>
      </c>
    </row>
    <row r="256" spans="1:11" x14ac:dyDescent="0.3">
      <c r="A256" s="1" t="s">
        <v>1434</v>
      </c>
      <c r="B256" s="1" t="s">
        <v>208</v>
      </c>
      <c r="C256" s="1" t="s">
        <v>16</v>
      </c>
      <c r="D256" s="1" t="s">
        <v>210</v>
      </c>
      <c r="E256" s="1" t="s">
        <v>1021</v>
      </c>
      <c r="F256" s="3" t="s">
        <v>978</v>
      </c>
      <c r="G256" s="1">
        <v>52.9</v>
      </c>
      <c r="H256" s="1">
        <v>2</v>
      </c>
      <c r="I256" s="1">
        <v>0</v>
      </c>
      <c r="J256" s="1">
        <v>34</v>
      </c>
      <c r="K256" s="1">
        <v>18</v>
      </c>
    </row>
    <row r="257" spans="1:11" x14ac:dyDescent="0.3">
      <c r="A257" s="1" t="s">
        <v>1132</v>
      </c>
      <c r="B257" s="1" t="s">
        <v>208</v>
      </c>
      <c r="C257" s="1" t="s">
        <v>5</v>
      </c>
      <c r="D257" s="1" t="s">
        <v>281</v>
      </c>
      <c r="E257" s="1" t="s">
        <v>1021</v>
      </c>
      <c r="F257" s="3" t="s">
        <v>978</v>
      </c>
      <c r="G257" s="1">
        <v>131.4</v>
      </c>
      <c r="H257" s="1">
        <v>6</v>
      </c>
      <c r="I257" s="1">
        <v>3</v>
      </c>
      <c r="J257" s="1">
        <v>51</v>
      </c>
      <c r="K257" s="1">
        <v>67</v>
      </c>
    </row>
    <row r="258" spans="1:11" x14ac:dyDescent="0.3">
      <c r="A258" s="1" t="s">
        <v>1379</v>
      </c>
      <c r="B258" s="1" t="s">
        <v>208</v>
      </c>
      <c r="C258" s="1" t="s">
        <v>5</v>
      </c>
      <c r="D258" s="1" t="s">
        <v>281</v>
      </c>
      <c r="E258" s="1" t="s">
        <v>1021</v>
      </c>
      <c r="F258" s="3" t="s">
        <v>978</v>
      </c>
      <c r="G258" s="1">
        <v>96</v>
      </c>
      <c r="H258" s="1">
        <v>2</v>
      </c>
      <c r="I258" s="1">
        <v>2</v>
      </c>
      <c r="J258" s="1">
        <v>25</v>
      </c>
      <c r="K258" s="1">
        <v>24</v>
      </c>
    </row>
    <row r="259" spans="1:11" x14ac:dyDescent="0.3">
      <c r="A259" s="1" t="s">
        <v>1706</v>
      </c>
      <c r="B259" s="1" t="s">
        <v>15</v>
      </c>
      <c r="C259" s="1" t="s">
        <v>16</v>
      </c>
      <c r="D259" s="1" t="s">
        <v>287</v>
      </c>
      <c r="E259" s="1" t="s">
        <v>1012</v>
      </c>
      <c r="F259" s="3" t="s">
        <v>978</v>
      </c>
      <c r="G259" s="1">
        <v>25</v>
      </c>
      <c r="H259" s="1">
        <v>0</v>
      </c>
      <c r="I259" s="1">
        <v>0</v>
      </c>
      <c r="J259" s="1">
        <v>4</v>
      </c>
      <c r="K259" s="1">
        <v>1</v>
      </c>
    </row>
    <row r="260" spans="1:11" x14ac:dyDescent="0.3">
      <c r="A260" s="1" t="s">
        <v>1053</v>
      </c>
      <c r="B260" s="1" t="s">
        <v>115</v>
      </c>
      <c r="C260" s="1" t="s">
        <v>16</v>
      </c>
      <c r="D260" s="1" t="s">
        <v>347</v>
      </c>
      <c r="E260" s="1" t="s">
        <v>1012</v>
      </c>
      <c r="F260" s="3" t="s">
        <v>978</v>
      </c>
      <c r="G260" s="1">
        <v>109.6</v>
      </c>
      <c r="H260" s="1">
        <v>14</v>
      </c>
      <c r="I260" s="1">
        <v>2</v>
      </c>
      <c r="J260" s="1">
        <v>94</v>
      </c>
      <c r="K260" s="1">
        <v>103</v>
      </c>
    </row>
    <row r="261" spans="1:11" x14ac:dyDescent="0.3">
      <c r="A261" s="1" t="s">
        <v>1049</v>
      </c>
      <c r="B261" s="1" t="s">
        <v>73</v>
      </c>
      <c r="C261" s="1" t="s">
        <v>16</v>
      </c>
      <c r="D261" s="1" t="s">
        <v>292</v>
      </c>
      <c r="E261" s="1" t="s">
        <v>1012</v>
      </c>
      <c r="F261" s="3" t="s">
        <v>978</v>
      </c>
      <c r="G261" s="1">
        <v>113</v>
      </c>
      <c r="H261" s="1">
        <v>7</v>
      </c>
      <c r="I261" s="1">
        <v>5</v>
      </c>
      <c r="J261" s="1">
        <v>92</v>
      </c>
      <c r="K261" s="1">
        <v>104</v>
      </c>
    </row>
    <row r="262" spans="1:11" x14ac:dyDescent="0.3">
      <c r="A262" s="1" t="s">
        <v>1055</v>
      </c>
      <c r="B262" s="1" t="s">
        <v>76</v>
      </c>
      <c r="C262" s="1" t="s">
        <v>16</v>
      </c>
      <c r="D262" s="1" t="s">
        <v>292</v>
      </c>
      <c r="E262" s="1" t="s">
        <v>1007</v>
      </c>
      <c r="F262" s="3" t="s">
        <v>978</v>
      </c>
      <c r="G262" s="1">
        <v>93.6</v>
      </c>
      <c r="H262" s="1">
        <v>15</v>
      </c>
      <c r="I262" s="1">
        <v>0</v>
      </c>
      <c r="J262" s="1">
        <v>109</v>
      </c>
      <c r="K262" s="1">
        <v>102</v>
      </c>
    </row>
    <row r="263" spans="1:11" x14ac:dyDescent="0.3">
      <c r="A263" s="1" t="s">
        <v>1435</v>
      </c>
      <c r="B263" s="1" t="s">
        <v>208</v>
      </c>
      <c r="C263" s="1" t="s">
        <v>16</v>
      </c>
      <c r="D263" s="1" t="s">
        <v>287</v>
      </c>
      <c r="E263" s="1" t="s">
        <v>1007</v>
      </c>
      <c r="F263" s="3" t="s">
        <v>978</v>
      </c>
      <c r="G263" s="1">
        <v>78.3</v>
      </c>
      <c r="H263" s="1">
        <v>1</v>
      </c>
      <c r="I263" s="1">
        <v>1</v>
      </c>
      <c r="J263" s="1">
        <v>23</v>
      </c>
      <c r="K263" s="1">
        <v>18</v>
      </c>
    </row>
    <row r="264" spans="1:11" x14ac:dyDescent="0.3">
      <c r="A264" s="1" t="s">
        <v>1707</v>
      </c>
      <c r="B264" s="1" t="s">
        <v>130</v>
      </c>
      <c r="C264" s="1" t="s">
        <v>16</v>
      </c>
      <c r="D264" s="1" t="s">
        <v>294</v>
      </c>
      <c r="E264" s="1" t="s">
        <v>1007</v>
      </c>
      <c r="F264" s="3" t="s">
        <v>978</v>
      </c>
      <c r="G264" s="1">
        <v>10</v>
      </c>
      <c r="H264" s="1">
        <v>0</v>
      </c>
      <c r="I264" s="1">
        <v>0</v>
      </c>
      <c r="J264" s="1">
        <v>10</v>
      </c>
      <c r="K264" s="1">
        <v>1</v>
      </c>
    </row>
    <row r="265" spans="1:11" x14ac:dyDescent="0.3">
      <c r="A265" s="1" t="s">
        <v>1006</v>
      </c>
      <c r="B265" s="1" t="s">
        <v>71</v>
      </c>
      <c r="C265" s="1" t="s">
        <v>16</v>
      </c>
      <c r="D265" s="1" t="s">
        <v>287</v>
      </c>
      <c r="E265" s="1" t="s">
        <v>1007</v>
      </c>
      <c r="F265" s="3" t="s">
        <v>978</v>
      </c>
      <c r="G265" s="1">
        <v>123.9</v>
      </c>
      <c r="H265" s="1">
        <v>14</v>
      </c>
      <c r="I265" s="1">
        <v>3</v>
      </c>
      <c r="J265" s="1">
        <v>113</v>
      </c>
      <c r="K265" s="1">
        <v>140</v>
      </c>
    </row>
    <row r="266" spans="1:11" x14ac:dyDescent="0.3">
      <c r="A266" s="1" t="s">
        <v>1177</v>
      </c>
      <c r="B266" s="1" t="s">
        <v>32</v>
      </c>
      <c r="C266" s="1" t="s">
        <v>16</v>
      </c>
      <c r="D266" s="1" t="s">
        <v>218</v>
      </c>
      <c r="E266" s="1" t="s">
        <v>1007</v>
      </c>
      <c r="F266" s="3" t="s">
        <v>978</v>
      </c>
      <c r="G266" s="1">
        <v>81.400000000000006</v>
      </c>
      <c r="H266" s="1">
        <v>3</v>
      </c>
      <c r="I266" s="1">
        <v>1</v>
      </c>
      <c r="J266" s="1">
        <v>70</v>
      </c>
      <c r="K266" s="1">
        <v>57</v>
      </c>
    </row>
    <row r="267" spans="1:11" x14ac:dyDescent="0.3">
      <c r="A267" s="1" t="s">
        <v>1024</v>
      </c>
      <c r="B267" s="1" t="s">
        <v>24</v>
      </c>
      <c r="C267" s="1" t="s">
        <v>16</v>
      </c>
      <c r="D267" s="1" t="s">
        <v>294</v>
      </c>
      <c r="E267" s="1" t="s">
        <v>1007</v>
      </c>
      <c r="F267" s="3" t="s">
        <v>978</v>
      </c>
      <c r="G267" s="1">
        <v>84.7</v>
      </c>
      <c r="H267" s="1">
        <v>13</v>
      </c>
      <c r="I267" s="1">
        <v>2</v>
      </c>
      <c r="J267" s="1">
        <v>144</v>
      </c>
      <c r="K267" s="1">
        <v>122</v>
      </c>
    </row>
    <row r="268" spans="1:11" x14ac:dyDescent="0.3">
      <c r="A268" s="1" t="s">
        <v>1464</v>
      </c>
      <c r="B268" s="1" t="s">
        <v>56</v>
      </c>
      <c r="C268" s="1" t="s">
        <v>1043</v>
      </c>
      <c r="D268" s="1" t="s">
        <v>54</v>
      </c>
      <c r="E268" s="1" t="s">
        <v>1036</v>
      </c>
      <c r="F268" s="3" t="s">
        <v>978</v>
      </c>
      <c r="G268" s="1">
        <v>107.1</v>
      </c>
      <c r="H268" s="1">
        <v>1</v>
      </c>
      <c r="I268" s="1">
        <v>1</v>
      </c>
      <c r="J268" s="1">
        <v>14</v>
      </c>
      <c r="K268" s="1">
        <v>15</v>
      </c>
    </row>
    <row r="269" spans="1:11" x14ac:dyDescent="0.3">
      <c r="A269" s="1" t="s">
        <v>1649</v>
      </c>
      <c r="B269" s="1" t="s">
        <v>56</v>
      </c>
      <c r="C269" s="1" t="s">
        <v>1043</v>
      </c>
      <c r="D269" s="1" t="s">
        <v>64</v>
      </c>
      <c r="E269" s="1" t="s">
        <v>1036</v>
      </c>
      <c r="F269" s="3" t="s">
        <v>978</v>
      </c>
      <c r="G269" s="1">
        <v>200</v>
      </c>
      <c r="H269" s="1">
        <v>1</v>
      </c>
      <c r="I269" s="1">
        <v>0</v>
      </c>
      <c r="J269" s="1">
        <v>2</v>
      </c>
      <c r="K269" s="1">
        <v>4</v>
      </c>
    </row>
    <row r="270" spans="1:11" x14ac:dyDescent="0.3">
      <c r="A270" s="1" t="s">
        <v>1195</v>
      </c>
      <c r="B270" s="1" t="s">
        <v>11</v>
      </c>
      <c r="C270" s="1" t="s">
        <v>1043</v>
      </c>
      <c r="D270" s="1" t="s">
        <v>12</v>
      </c>
      <c r="E270" s="1" t="s">
        <v>1036</v>
      </c>
      <c r="F270" s="3" t="s">
        <v>978</v>
      </c>
      <c r="G270" s="1">
        <v>114.6</v>
      </c>
      <c r="H270" s="1">
        <v>8</v>
      </c>
      <c r="I270" s="1">
        <v>0</v>
      </c>
      <c r="J270" s="1">
        <v>48</v>
      </c>
      <c r="K270" s="1">
        <v>55</v>
      </c>
    </row>
    <row r="271" spans="1:11" x14ac:dyDescent="0.3">
      <c r="A271" s="1" t="s">
        <v>1380</v>
      </c>
      <c r="B271" s="1" t="s">
        <v>53</v>
      </c>
      <c r="C271" s="1" t="s">
        <v>1043</v>
      </c>
      <c r="D271" s="1" t="s">
        <v>12</v>
      </c>
      <c r="E271" s="1" t="s">
        <v>1036</v>
      </c>
      <c r="F271" s="3" t="s">
        <v>978</v>
      </c>
      <c r="G271" s="1">
        <v>133.30000000000001</v>
      </c>
      <c r="H271" s="1">
        <v>5</v>
      </c>
      <c r="I271" s="1">
        <v>0</v>
      </c>
      <c r="J271" s="1">
        <v>18</v>
      </c>
      <c r="K271" s="1">
        <v>24</v>
      </c>
    </row>
    <row r="272" spans="1:11" x14ac:dyDescent="0.3">
      <c r="A272" s="1" t="s">
        <v>1508</v>
      </c>
      <c r="B272" s="1" t="s">
        <v>11</v>
      </c>
      <c r="C272" s="1" t="s">
        <v>1043</v>
      </c>
      <c r="D272" s="1" t="s">
        <v>139</v>
      </c>
      <c r="E272" s="1" t="s">
        <v>1047</v>
      </c>
      <c r="F272" s="3" t="s">
        <v>978</v>
      </c>
      <c r="G272" s="1">
        <v>133.30000000000001</v>
      </c>
      <c r="H272" s="1">
        <v>3</v>
      </c>
      <c r="I272" s="1">
        <v>0</v>
      </c>
      <c r="J272" s="1">
        <v>9</v>
      </c>
      <c r="K272" s="1">
        <v>12</v>
      </c>
    </row>
    <row r="273" spans="1:11" x14ac:dyDescent="0.3">
      <c r="A273" s="1" t="s">
        <v>1133</v>
      </c>
      <c r="B273" s="1" t="s">
        <v>56</v>
      </c>
      <c r="C273" s="1" t="s">
        <v>1043</v>
      </c>
      <c r="D273" s="1" t="s">
        <v>64</v>
      </c>
      <c r="E273" s="1" t="s">
        <v>1047</v>
      </c>
      <c r="F273" s="3" t="s">
        <v>978</v>
      </c>
      <c r="G273" s="1">
        <v>139.6</v>
      </c>
      <c r="H273" s="1">
        <v>6</v>
      </c>
      <c r="I273" s="1">
        <v>3</v>
      </c>
      <c r="J273" s="1">
        <v>48</v>
      </c>
      <c r="K273" s="1">
        <v>67</v>
      </c>
    </row>
    <row r="274" spans="1:11" x14ac:dyDescent="0.3">
      <c r="A274" s="1" t="s">
        <v>1622</v>
      </c>
      <c r="B274" s="1" t="s">
        <v>4</v>
      </c>
      <c r="C274" s="1" t="s">
        <v>1043</v>
      </c>
      <c r="D274" s="1" t="s">
        <v>46</v>
      </c>
      <c r="E274" s="1" t="s">
        <v>1047</v>
      </c>
      <c r="F274" s="3" t="s">
        <v>978</v>
      </c>
      <c r="G274" s="1">
        <v>71.400000000000006</v>
      </c>
      <c r="H274" s="1">
        <v>1</v>
      </c>
      <c r="I274" s="1">
        <v>0</v>
      </c>
      <c r="J274" s="1">
        <v>7</v>
      </c>
      <c r="K274" s="1">
        <v>5</v>
      </c>
    </row>
    <row r="275" spans="1:11" x14ac:dyDescent="0.3">
      <c r="A275" s="1" t="s">
        <v>1329</v>
      </c>
      <c r="B275" s="1" t="s">
        <v>8</v>
      </c>
      <c r="C275" s="1" t="s">
        <v>1043</v>
      </c>
      <c r="D275" s="1" t="s">
        <v>9</v>
      </c>
      <c r="E275" s="1" t="s">
        <v>1047</v>
      </c>
      <c r="F275" s="3" t="s">
        <v>978</v>
      </c>
      <c r="G275" s="1">
        <v>136.4</v>
      </c>
      <c r="H275" s="1">
        <v>3</v>
      </c>
      <c r="I275" s="1">
        <v>1</v>
      </c>
      <c r="J275" s="1">
        <v>22</v>
      </c>
      <c r="K275" s="1">
        <v>30</v>
      </c>
    </row>
    <row r="276" spans="1:11" x14ac:dyDescent="0.3">
      <c r="A276" s="1" t="s">
        <v>1348</v>
      </c>
      <c r="B276" s="1" t="s">
        <v>60</v>
      </c>
      <c r="C276" s="1" t="s">
        <v>1043</v>
      </c>
      <c r="D276" s="1" t="s">
        <v>12</v>
      </c>
      <c r="E276" s="1" t="s">
        <v>1047</v>
      </c>
      <c r="F276" s="3" t="s">
        <v>978</v>
      </c>
      <c r="G276" s="1">
        <v>147.4</v>
      </c>
      <c r="H276" s="1">
        <v>2</v>
      </c>
      <c r="I276" s="1">
        <v>2</v>
      </c>
      <c r="J276" s="1">
        <v>19</v>
      </c>
      <c r="K276" s="1">
        <v>28</v>
      </c>
    </row>
    <row r="277" spans="1:11" x14ac:dyDescent="0.3">
      <c r="A277" s="1" t="s">
        <v>1242</v>
      </c>
      <c r="B277" s="1" t="s">
        <v>4</v>
      </c>
      <c r="C277" s="1" t="s">
        <v>1043</v>
      </c>
      <c r="D277" s="1" t="s">
        <v>12</v>
      </c>
      <c r="E277" s="1" t="s">
        <v>1047</v>
      </c>
      <c r="F277" s="3" t="s">
        <v>978</v>
      </c>
      <c r="G277" s="1">
        <v>146.9</v>
      </c>
      <c r="H277" s="1">
        <v>6</v>
      </c>
      <c r="I277" s="1">
        <v>1</v>
      </c>
      <c r="J277" s="1">
        <v>32</v>
      </c>
      <c r="K277" s="1">
        <v>47</v>
      </c>
    </row>
    <row r="278" spans="1:11" x14ac:dyDescent="0.3">
      <c r="A278" s="1" t="s">
        <v>1524</v>
      </c>
      <c r="B278" s="1" t="s">
        <v>53</v>
      </c>
      <c r="C278" s="1" t="s">
        <v>1043</v>
      </c>
      <c r="D278" s="1" t="s">
        <v>54</v>
      </c>
      <c r="E278" s="1" t="s">
        <v>1047</v>
      </c>
      <c r="F278" s="3" t="s">
        <v>978</v>
      </c>
      <c r="G278" s="1">
        <v>78.599999999999994</v>
      </c>
      <c r="H278" s="1">
        <v>0</v>
      </c>
      <c r="I278" s="1">
        <v>1</v>
      </c>
      <c r="J278" s="1">
        <v>14</v>
      </c>
      <c r="K278" s="1">
        <v>11</v>
      </c>
    </row>
    <row r="279" spans="1:11" x14ac:dyDescent="0.3">
      <c r="A279" s="1" t="s">
        <v>1491</v>
      </c>
      <c r="B279" s="1" t="s">
        <v>56</v>
      </c>
      <c r="C279" s="1" t="s">
        <v>1043</v>
      </c>
      <c r="D279" s="1" t="s">
        <v>12</v>
      </c>
      <c r="E279" s="1" t="s">
        <v>1047</v>
      </c>
      <c r="F279" s="3" t="s">
        <v>978</v>
      </c>
      <c r="G279" s="1">
        <v>72.2</v>
      </c>
      <c r="H279" s="1">
        <v>1</v>
      </c>
      <c r="I279" s="1">
        <v>0</v>
      </c>
      <c r="J279" s="1">
        <v>18</v>
      </c>
      <c r="K279" s="1">
        <v>13</v>
      </c>
    </row>
    <row r="280" spans="1:11" x14ac:dyDescent="0.3">
      <c r="A280" s="1" t="s">
        <v>1315</v>
      </c>
      <c r="B280" s="1" t="s">
        <v>40</v>
      </c>
      <c r="C280" s="1" t="s">
        <v>1043</v>
      </c>
      <c r="D280" s="1" t="s">
        <v>173</v>
      </c>
      <c r="E280" s="1" t="s">
        <v>1016</v>
      </c>
      <c r="F280" s="3" t="s">
        <v>978</v>
      </c>
      <c r="G280" s="1">
        <v>177.8</v>
      </c>
      <c r="H280" s="1">
        <v>5</v>
      </c>
      <c r="I280" s="1">
        <v>0</v>
      </c>
      <c r="J280" s="1">
        <v>18</v>
      </c>
      <c r="K280" s="1">
        <v>32</v>
      </c>
    </row>
    <row r="281" spans="1:11" x14ac:dyDescent="0.3">
      <c r="A281" s="1" t="s">
        <v>1236</v>
      </c>
      <c r="B281" s="1" t="s">
        <v>60</v>
      </c>
      <c r="C281" s="1" t="s">
        <v>1043</v>
      </c>
      <c r="D281" s="1" t="s">
        <v>103</v>
      </c>
      <c r="E281" s="1" t="s">
        <v>1016</v>
      </c>
      <c r="F281" s="3" t="s">
        <v>978</v>
      </c>
      <c r="G281" s="1">
        <v>145.5</v>
      </c>
      <c r="H281" s="1">
        <v>8</v>
      </c>
      <c r="I281" s="1">
        <v>1</v>
      </c>
      <c r="J281" s="1">
        <v>33</v>
      </c>
      <c r="K281" s="1">
        <v>48</v>
      </c>
    </row>
    <row r="282" spans="1:11" x14ac:dyDescent="0.3">
      <c r="A282" s="1" t="s">
        <v>1480</v>
      </c>
      <c r="B282" s="1" t="s">
        <v>8</v>
      </c>
      <c r="C282" s="1" t="s">
        <v>1043</v>
      </c>
      <c r="D282" s="1" t="s">
        <v>12</v>
      </c>
      <c r="E282" s="1" t="s">
        <v>1016</v>
      </c>
      <c r="F282" s="3" t="s">
        <v>978</v>
      </c>
      <c r="G282" s="1">
        <v>107.7</v>
      </c>
      <c r="H282" s="1">
        <v>2</v>
      </c>
      <c r="I282" s="1">
        <v>0</v>
      </c>
      <c r="J282" s="1">
        <v>13</v>
      </c>
      <c r="K282" s="1">
        <v>14</v>
      </c>
    </row>
    <row r="283" spans="1:11" x14ac:dyDescent="0.3">
      <c r="A283" s="1" t="s">
        <v>1186</v>
      </c>
      <c r="B283" s="1" t="s">
        <v>32</v>
      </c>
      <c r="C283" s="1" t="s">
        <v>16</v>
      </c>
      <c r="D283" s="1" t="s">
        <v>9</v>
      </c>
      <c r="E283" s="1" t="s">
        <v>1016</v>
      </c>
      <c r="F283" s="3" t="s">
        <v>978</v>
      </c>
      <c r="G283" s="1">
        <v>62.9</v>
      </c>
      <c r="H283" s="1">
        <v>4</v>
      </c>
      <c r="I283" s="1">
        <v>0</v>
      </c>
      <c r="J283" s="1">
        <v>89</v>
      </c>
      <c r="K283" s="1">
        <v>56</v>
      </c>
    </row>
    <row r="284" spans="1:11" x14ac:dyDescent="0.3">
      <c r="A284" s="1" t="s">
        <v>1063</v>
      </c>
      <c r="B284" s="1" t="s">
        <v>32</v>
      </c>
      <c r="C284" s="1" t="s">
        <v>16</v>
      </c>
      <c r="D284" s="1" t="s">
        <v>173</v>
      </c>
      <c r="E284" s="1" t="s">
        <v>1016</v>
      </c>
      <c r="F284" s="3" t="s">
        <v>978</v>
      </c>
      <c r="G284" s="1">
        <v>103.3</v>
      </c>
      <c r="H284" s="1">
        <v>7</v>
      </c>
      <c r="I284" s="1">
        <v>2</v>
      </c>
      <c r="J284" s="1">
        <v>92</v>
      </c>
      <c r="K284" s="1">
        <v>95</v>
      </c>
    </row>
    <row r="285" spans="1:11" x14ac:dyDescent="0.3">
      <c r="A285" s="1" t="s">
        <v>1481</v>
      </c>
      <c r="B285" s="1" t="s">
        <v>32</v>
      </c>
      <c r="C285" s="1" t="s">
        <v>16</v>
      </c>
      <c r="D285" s="1" t="s">
        <v>29</v>
      </c>
      <c r="E285" s="1" t="s">
        <v>1016</v>
      </c>
      <c r="F285" s="3" t="s">
        <v>978</v>
      </c>
      <c r="G285" s="1">
        <v>100</v>
      </c>
      <c r="H285" s="1">
        <v>2</v>
      </c>
      <c r="I285" s="1">
        <v>1</v>
      </c>
      <c r="J285" s="1">
        <v>14</v>
      </c>
      <c r="K285" s="1">
        <v>14</v>
      </c>
    </row>
    <row r="286" spans="1:11" x14ac:dyDescent="0.3">
      <c r="A286" s="1" t="s">
        <v>1738</v>
      </c>
      <c r="B286" s="1" t="s">
        <v>32</v>
      </c>
      <c r="C286" s="1" t="s">
        <v>16</v>
      </c>
      <c r="D286" s="1" t="s">
        <v>80</v>
      </c>
      <c r="E286" s="1" t="s">
        <v>1016</v>
      </c>
      <c r="F286" s="3" t="s">
        <v>978</v>
      </c>
      <c r="G286" s="1">
        <v>0</v>
      </c>
      <c r="H286" s="1">
        <v>0</v>
      </c>
      <c r="I286" s="1">
        <v>0</v>
      </c>
      <c r="J286" s="1">
        <v>6</v>
      </c>
      <c r="K286" s="1">
        <v>0</v>
      </c>
    </row>
    <row r="287" spans="1:11" x14ac:dyDescent="0.3">
      <c r="A287" s="1" t="s">
        <v>1290</v>
      </c>
      <c r="B287" s="1" t="s">
        <v>32</v>
      </c>
      <c r="C287" s="1" t="s">
        <v>16</v>
      </c>
      <c r="D287" s="1" t="s">
        <v>54</v>
      </c>
      <c r="E287" s="1" t="s">
        <v>1016</v>
      </c>
      <c r="F287" s="3" t="s">
        <v>978</v>
      </c>
      <c r="G287" s="1">
        <v>56.1</v>
      </c>
      <c r="H287" s="1">
        <v>5</v>
      </c>
      <c r="I287" s="1">
        <v>0</v>
      </c>
      <c r="J287" s="1">
        <v>66</v>
      </c>
      <c r="K287" s="1">
        <v>37</v>
      </c>
    </row>
    <row r="288" spans="1:11" x14ac:dyDescent="0.3">
      <c r="A288" s="1" t="s">
        <v>1623</v>
      </c>
      <c r="B288" s="1" t="s">
        <v>32</v>
      </c>
      <c r="C288" s="1" t="s">
        <v>5</v>
      </c>
      <c r="D288" s="1" t="s">
        <v>25</v>
      </c>
      <c r="E288" s="1" t="s">
        <v>990</v>
      </c>
      <c r="F288" s="3" t="s">
        <v>978</v>
      </c>
      <c r="G288" s="1">
        <v>62.5</v>
      </c>
      <c r="H288" s="1">
        <v>0</v>
      </c>
      <c r="I288" s="1">
        <v>0</v>
      </c>
      <c r="J288" s="1">
        <v>8</v>
      </c>
      <c r="K288" s="1">
        <v>5</v>
      </c>
    </row>
    <row r="289" spans="1:11" x14ac:dyDescent="0.3">
      <c r="A289" s="1" t="s">
        <v>1284</v>
      </c>
      <c r="B289" s="1" t="s">
        <v>15</v>
      </c>
      <c r="C289" s="1" t="s">
        <v>5</v>
      </c>
      <c r="D289" s="1" t="s">
        <v>405</v>
      </c>
      <c r="E289" s="1" t="s">
        <v>990</v>
      </c>
      <c r="F289" s="3" t="s">
        <v>978</v>
      </c>
      <c r="G289" s="1">
        <v>118.8</v>
      </c>
      <c r="H289" s="1">
        <v>3</v>
      </c>
      <c r="I289" s="1">
        <v>0</v>
      </c>
      <c r="J289" s="1">
        <v>32</v>
      </c>
      <c r="K289" s="1">
        <v>38</v>
      </c>
    </row>
    <row r="290" spans="1:11" x14ac:dyDescent="0.3">
      <c r="A290" s="1" t="s">
        <v>1219</v>
      </c>
      <c r="B290" s="1" t="s">
        <v>15</v>
      </c>
      <c r="C290" s="1" t="s">
        <v>5</v>
      </c>
      <c r="D290" s="1" t="s">
        <v>407</v>
      </c>
      <c r="E290" s="1" t="s">
        <v>990</v>
      </c>
      <c r="F290" s="3" t="s">
        <v>978</v>
      </c>
      <c r="G290" s="1">
        <v>172.4</v>
      </c>
      <c r="H290" s="1">
        <v>3</v>
      </c>
      <c r="I290" s="1">
        <v>4</v>
      </c>
      <c r="J290" s="1">
        <v>29</v>
      </c>
      <c r="K290" s="1">
        <v>50</v>
      </c>
    </row>
    <row r="291" spans="1:11" x14ac:dyDescent="0.3">
      <c r="A291" s="1" t="s">
        <v>1708</v>
      </c>
      <c r="B291" s="1" t="s">
        <v>15</v>
      </c>
      <c r="C291" s="1" t="s">
        <v>5</v>
      </c>
      <c r="D291" s="1" t="s">
        <v>470</v>
      </c>
      <c r="E291" s="1" t="s">
        <v>990</v>
      </c>
      <c r="F291" s="3" t="s">
        <v>978</v>
      </c>
      <c r="G291" s="1">
        <v>20</v>
      </c>
      <c r="H291" s="1">
        <v>0</v>
      </c>
      <c r="I291" s="1">
        <v>0</v>
      </c>
      <c r="J291" s="1">
        <v>5</v>
      </c>
      <c r="K291" s="1">
        <v>1</v>
      </c>
    </row>
    <row r="292" spans="1:11" x14ac:dyDescent="0.3">
      <c r="A292" s="1" t="s">
        <v>1689</v>
      </c>
      <c r="B292" s="1" t="s">
        <v>15</v>
      </c>
      <c r="C292" s="1" t="s">
        <v>16</v>
      </c>
      <c r="D292" s="1" t="s">
        <v>470</v>
      </c>
      <c r="E292" s="1" t="s">
        <v>990</v>
      </c>
      <c r="F292" s="3" t="s">
        <v>978</v>
      </c>
      <c r="G292" s="1">
        <v>12.5</v>
      </c>
      <c r="H292" s="1">
        <v>0</v>
      </c>
      <c r="I292" s="1">
        <v>0</v>
      </c>
      <c r="J292" s="1">
        <v>16</v>
      </c>
      <c r="K292" s="1">
        <v>2</v>
      </c>
    </row>
    <row r="293" spans="1:11" x14ac:dyDescent="0.3">
      <c r="A293" s="1" t="s">
        <v>1594</v>
      </c>
      <c r="B293" s="1" t="s">
        <v>15</v>
      </c>
      <c r="C293" s="1" t="s">
        <v>16</v>
      </c>
      <c r="D293" s="1" t="s">
        <v>405</v>
      </c>
      <c r="E293" s="1" t="s">
        <v>994</v>
      </c>
      <c r="F293" s="3" t="s">
        <v>978</v>
      </c>
      <c r="G293" s="1">
        <v>30.4</v>
      </c>
      <c r="H293" s="1">
        <v>0</v>
      </c>
      <c r="I293" s="1">
        <v>0</v>
      </c>
      <c r="J293" s="1">
        <v>23</v>
      </c>
      <c r="K293" s="1">
        <v>7</v>
      </c>
    </row>
    <row r="294" spans="1:11" x14ac:dyDescent="0.3">
      <c r="A294" s="1" t="s">
        <v>1155</v>
      </c>
      <c r="B294" s="1" t="s">
        <v>15</v>
      </c>
      <c r="C294" s="1" t="s">
        <v>16</v>
      </c>
      <c r="D294" s="1" t="s">
        <v>403</v>
      </c>
      <c r="E294" s="1" t="s">
        <v>994</v>
      </c>
      <c r="F294" s="3" t="s">
        <v>978</v>
      </c>
      <c r="G294" s="1">
        <v>80.5</v>
      </c>
      <c r="H294" s="1">
        <v>3</v>
      </c>
      <c r="I294" s="1">
        <v>2</v>
      </c>
      <c r="J294" s="1">
        <v>77</v>
      </c>
      <c r="K294" s="1">
        <v>62</v>
      </c>
    </row>
    <row r="295" spans="1:11" x14ac:dyDescent="0.3">
      <c r="A295" s="1" t="s">
        <v>1075</v>
      </c>
      <c r="B295" s="1" t="s">
        <v>15</v>
      </c>
      <c r="C295" s="1" t="s">
        <v>16</v>
      </c>
      <c r="D295" s="1" t="s">
        <v>403</v>
      </c>
      <c r="E295" s="1" t="s">
        <v>994</v>
      </c>
      <c r="F295" s="3" t="s">
        <v>978</v>
      </c>
      <c r="G295" s="1">
        <v>90.6</v>
      </c>
      <c r="H295" s="1">
        <v>9</v>
      </c>
      <c r="I295" s="1">
        <v>3</v>
      </c>
      <c r="J295" s="1">
        <v>96</v>
      </c>
      <c r="K295" s="1">
        <v>87</v>
      </c>
    </row>
    <row r="296" spans="1:11" x14ac:dyDescent="0.3">
      <c r="A296" s="1" t="s">
        <v>1525</v>
      </c>
      <c r="B296" s="1" t="s">
        <v>15</v>
      </c>
      <c r="C296" s="1" t="s">
        <v>16</v>
      </c>
      <c r="D296" s="1" t="s">
        <v>476</v>
      </c>
      <c r="E296" s="1" t="s">
        <v>994</v>
      </c>
      <c r="F296" s="3" t="s">
        <v>978</v>
      </c>
      <c r="G296" s="1">
        <v>45.8</v>
      </c>
      <c r="H296" s="1">
        <v>1</v>
      </c>
      <c r="I296" s="1">
        <v>0</v>
      </c>
      <c r="J296" s="1">
        <v>24</v>
      </c>
      <c r="K296" s="1">
        <v>11</v>
      </c>
    </row>
    <row r="297" spans="1:11" x14ac:dyDescent="0.3">
      <c r="A297" s="1" t="s">
        <v>1557</v>
      </c>
      <c r="B297" s="1" t="s">
        <v>32</v>
      </c>
      <c r="C297" s="1" t="s">
        <v>16</v>
      </c>
      <c r="D297" s="1" t="s">
        <v>84</v>
      </c>
      <c r="E297" s="1" t="s">
        <v>994</v>
      </c>
      <c r="F297" s="3" t="s">
        <v>978</v>
      </c>
      <c r="G297" s="1">
        <v>52.9</v>
      </c>
      <c r="H297" s="1">
        <v>1</v>
      </c>
      <c r="I297" s="1">
        <v>0</v>
      </c>
      <c r="J297" s="1">
        <v>17</v>
      </c>
      <c r="K297" s="1">
        <v>9</v>
      </c>
    </row>
    <row r="298" spans="1:11" x14ac:dyDescent="0.3">
      <c r="A298" s="1" t="s">
        <v>1258</v>
      </c>
      <c r="B298" s="1" t="s">
        <v>32</v>
      </c>
      <c r="C298" s="1" t="s">
        <v>16</v>
      </c>
      <c r="D298" s="1" t="s">
        <v>35</v>
      </c>
      <c r="E298" s="1" t="s">
        <v>994</v>
      </c>
      <c r="F298" s="3" t="s">
        <v>978</v>
      </c>
      <c r="G298" s="1">
        <v>82.7</v>
      </c>
      <c r="H298" s="1">
        <v>2</v>
      </c>
      <c r="I298" s="1">
        <v>2</v>
      </c>
      <c r="J298" s="1">
        <v>52</v>
      </c>
      <c r="K298" s="1">
        <v>43</v>
      </c>
    </row>
    <row r="299" spans="1:11" x14ac:dyDescent="0.3">
      <c r="A299" s="1" t="s">
        <v>1017</v>
      </c>
      <c r="B299" s="1" t="s">
        <v>32</v>
      </c>
      <c r="C299" s="1" t="s">
        <v>16</v>
      </c>
      <c r="D299" s="1" t="s">
        <v>33</v>
      </c>
      <c r="E299" s="1" t="s">
        <v>994</v>
      </c>
      <c r="F299" s="3" t="s">
        <v>978</v>
      </c>
      <c r="G299" s="1">
        <v>103.1</v>
      </c>
      <c r="H299" s="1">
        <v>10</v>
      </c>
      <c r="I299" s="1">
        <v>6</v>
      </c>
      <c r="J299" s="1">
        <v>129</v>
      </c>
      <c r="K299" s="1">
        <v>133</v>
      </c>
    </row>
    <row r="300" spans="1:11" x14ac:dyDescent="0.3">
      <c r="A300" s="1" t="s">
        <v>1127</v>
      </c>
      <c r="B300" s="1" t="s">
        <v>32</v>
      </c>
      <c r="C300" s="1" t="s">
        <v>83</v>
      </c>
      <c r="D300" s="1" t="s">
        <v>84</v>
      </c>
      <c r="E300" s="1" t="s">
        <v>987</v>
      </c>
      <c r="F300" s="3" t="s">
        <v>997</v>
      </c>
      <c r="G300" s="1">
        <v>41.45</v>
      </c>
      <c r="H300" s="1">
        <v>5</v>
      </c>
      <c r="I300" s="1">
        <v>0</v>
      </c>
      <c r="J300" s="1">
        <v>122</v>
      </c>
      <c r="K300" s="1">
        <v>68</v>
      </c>
    </row>
    <row r="301" spans="1:11" x14ac:dyDescent="0.3">
      <c r="A301" s="1" t="s">
        <v>1285</v>
      </c>
      <c r="B301" s="1" t="s">
        <v>32</v>
      </c>
      <c r="C301" s="1" t="s">
        <v>83</v>
      </c>
      <c r="D301" s="1" t="s">
        <v>35</v>
      </c>
      <c r="E301" s="1" t="s">
        <v>987</v>
      </c>
      <c r="F301" s="3" t="s">
        <v>997</v>
      </c>
      <c r="G301" s="1">
        <v>38.6</v>
      </c>
      <c r="H301" s="1">
        <v>2</v>
      </c>
      <c r="I301" s="1">
        <v>3</v>
      </c>
      <c r="J301" s="1">
        <v>68</v>
      </c>
      <c r="K301" s="1">
        <v>38</v>
      </c>
    </row>
    <row r="302" spans="1:11" x14ac:dyDescent="0.3">
      <c r="A302" s="1" t="s">
        <v>1391</v>
      </c>
      <c r="B302" s="1" t="s">
        <v>32</v>
      </c>
      <c r="C302" s="1" t="s">
        <v>5</v>
      </c>
      <c r="D302" s="1" t="s">
        <v>33</v>
      </c>
      <c r="E302" s="1" t="s">
        <v>981</v>
      </c>
      <c r="F302" s="3" t="s">
        <v>997</v>
      </c>
      <c r="G302" s="1">
        <v>143.80000000000001</v>
      </c>
      <c r="H302" s="1">
        <v>1</v>
      </c>
      <c r="I302" s="1">
        <v>2</v>
      </c>
      <c r="J302" s="1">
        <v>16</v>
      </c>
      <c r="K302" s="1">
        <v>23</v>
      </c>
    </row>
    <row r="303" spans="1:11" x14ac:dyDescent="0.3">
      <c r="A303" s="1" t="s">
        <v>1595</v>
      </c>
      <c r="B303" s="1" t="s">
        <v>32</v>
      </c>
      <c r="C303" s="1" t="s">
        <v>5</v>
      </c>
      <c r="D303" s="1" t="s">
        <v>88</v>
      </c>
      <c r="E303" s="1" t="s">
        <v>981</v>
      </c>
      <c r="F303" s="3" t="s">
        <v>997</v>
      </c>
      <c r="G303" s="1">
        <v>87.5</v>
      </c>
      <c r="H303" s="1">
        <v>0</v>
      </c>
      <c r="I303" s="1">
        <v>0</v>
      </c>
      <c r="J303" s="1">
        <v>8</v>
      </c>
      <c r="K303" s="1">
        <v>7</v>
      </c>
    </row>
    <row r="304" spans="1:11" x14ac:dyDescent="0.3">
      <c r="A304" s="1" t="s">
        <v>1650</v>
      </c>
      <c r="B304" s="1" t="s">
        <v>208</v>
      </c>
      <c r="C304" s="1" t="s">
        <v>5</v>
      </c>
      <c r="D304" s="1" t="s">
        <v>64</v>
      </c>
      <c r="E304" s="1" t="s">
        <v>981</v>
      </c>
      <c r="F304" s="3" t="s">
        <v>997</v>
      </c>
      <c r="G304" s="1">
        <v>66.7</v>
      </c>
      <c r="H304" s="1">
        <v>1</v>
      </c>
      <c r="I304" s="1">
        <v>0</v>
      </c>
      <c r="J304" s="1">
        <v>6</v>
      </c>
      <c r="K304" s="1">
        <v>4</v>
      </c>
    </row>
    <row r="305" spans="1:11" x14ac:dyDescent="0.3">
      <c r="A305" s="1" t="s">
        <v>1039</v>
      </c>
      <c r="B305" s="1" t="s">
        <v>208</v>
      </c>
      <c r="C305" s="1" t="s">
        <v>5</v>
      </c>
      <c r="D305" s="1" t="s">
        <v>142</v>
      </c>
      <c r="E305" s="1" t="s">
        <v>981</v>
      </c>
      <c r="F305" s="3" t="s">
        <v>997</v>
      </c>
      <c r="G305" s="1">
        <v>182</v>
      </c>
      <c r="H305" s="1">
        <v>8</v>
      </c>
      <c r="I305" s="1">
        <v>7</v>
      </c>
      <c r="J305" s="1">
        <v>61</v>
      </c>
      <c r="K305" s="1">
        <v>111</v>
      </c>
    </row>
    <row r="306" spans="1:11" x14ac:dyDescent="0.3">
      <c r="A306" s="1" t="s">
        <v>1609</v>
      </c>
      <c r="B306" s="1" t="s">
        <v>208</v>
      </c>
      <c r="C306" s="1" t="s">
        <v>5</v>
      </c>
      <c r="D306" s="1" t="s">
        <v>139</v>
      </c>
      <c r="E306" s="1" t="s">
        <v>981</v>
      </c>
      <c r="F306" s="3" t="s">
        <v>997</v>
      </c>
      <c r="G306" s="1">
        <v>100</v>
      </c>
      <c r="H306" s="1">
        <v>1</v>
      </c>
      <c r="I306" s="1">
        <v>0</v>
      </c>
      <c r="J306" s="1">
        <v>6</v>
      </c>
      <c r="K306" s="1">
        <v>6</v>
      </c>
    </row>
    <row r="307" spans="1:11" x14ac:dyDescent="0.3">
      <c r="A307" s="1" t="s">
        <v>1153</v>
      </c>
      <c r="B307" s="1" t="s">
        <v>208</v>
      </c>
      <c r="C307" s="1" t="s">
        <v>16</v>
      </c>
      <c r="D307" s="1" t="s">
        <v>254</v>
      </c>
      <c r="E307" s="1" t="s">
        <v>981</v>
      </c>
      <c r="F307" s="3" t="s">
        <v>997</v>
      </c>
      <c r="G307" s="1">
        <v>112.5</v>
      </c>
      <c r="H307" s="1">
        <v>5</v>
      </c>
      <c r="I307" s="1">
        <v>4</v>
      </c>
      <c r="J307" s="1">
        <v>56</v>
      </c>
      <c r="K307" s="1">
        <v>63</v>
      </c>
    </row>
    <row r="308" spans="1:11" x14ac:dyDescent="0.3">
      <c r="A308" s="1" t="s">
        <v>996</v>
      </c>
      <c r="B308" s="1" t="s">
        <v>208</v>
      </c>
      <c r="C308" s="1" t="s">
        <v>16</v>
      </c>
      <c r="D308" s="1" t="s">
        <v>12</v>
      </c>
      <c r="E308" s="1" t="s">
        <v>977</v>
      </c>
      <c r="F308" s="3" t="s">
        <v>997</v>
      </c>
      <c r="G308" s="1">
        <v>118.2</v>
      </c>
      <c r="H308" s="1">
        <v>20</v>
      </c>
      <c r="I308" s="1">
        <v>4</v>
      </c>
      <c r="J308" s="1">
        <v>137</v>
      </c>
      <c r="K308" s="1">
        <v>162</v>
      </c>
    </row>
    <row r="309" spans="1:11" x14ac:dyDescent="0.3">
      <c r="A309" s="1" t="s">
        <v>1578</v>
      </c>
      <c r="B309" s="1" t="s">
        <v>208</v>
      </c>
      <c r="C309" s="1" t="s">
        <v>16</v>
      </c>
      <c r="D309" s="1" t="s">
        <v>100</v>
      </c>
      <c r="E309" s="1" t="s">
        <v>977</v>
      </c>
      <c r="F309" s="3" t="s">
        <v>997</v>
      </c>
      <c r="G309" s="1">
        <v>88.9</v>
      </c>
      <c r="H309" s="1">
        <v>2</v>
      </c>
      <c r="I309" s="1">
        <v>0</v>
      </c>
      <c r="J309" s="1">
        <v>9</v>
      </c>
      <c r="K309" s="1">
        <v>8</v>
      </c>
    </row>
    <row r="310" spans="1:11" x14ac:dyDescent="0.3">
      <c r="A310" s="1" t="s">
        <v>1651</v>
      </c>
      <c r="B310" s="1" t="s">
        <v>208</v>
      </c>
      <c r="C310" s="1" t="s">
        <v>16</v>
      </c>
      <c r="D310" s="1" t="s">
        <v>25</v>
      </c>
      <c r="E310" s="1" t="s">
        <v>977</v>
      </c>
      <c r="F310" s="3" t="s">
        <v>997</v>
      </c>
      <c r="G310" s="1">
        <v>50</v>
      </c>
      <c r="H310" s="1">
        <v>1</v>
      </c>
      <c r="I310" s="1">
        <v>0</v>
      </c>
      <c r="J310" s="1">
        <v>8</v>
      </c>
      <c r="K310" s="1">
        <v>4</v>
      </c>
    </row>
    <row r="311" spans="1:11" x14ac:dyDescent="0.3">
      <c r="A311" s="1" t="s">
        <v>999</v>
      </c>
      <c r="B311" s="1" t="s">
        <v>208</v>
      </c>
      <c r="C311" s="1" t="s">
        <v>16</v>
      </c>
      <c r="D311" s="1" t="s">
        <v>6</v>
      </c>
      <c r="E311" s="1" t="s">
        <v>977</v>
      </c>
      <c r="F311" s="3" t="s">
        <v>997</v>
      </c>
      <c r="G311" s="1">
        <v>129.9</v>
      </c>
      <c r="H311" s="1">
        <v>15</v>
      </c>
      <c r="I311" s="1">
        <v>8</v>
      </c>
      <c r="J311" s="1">
        <v>117</v>
      </c>
      <c r="K311" s="1">
        <v>152</v>
      </c>
    </row>
    <row r="312" spans="1:11" x14ac:dyDescent="0.3">
      <c r="A312" s="1" t="s">
        <v>1237</v>
      </c>
      <c r="B312" s="1" t="s">
        <v>73</v>
      </c>
      <c r="C312" s="1" t="s">
        <v>16</v>
      </c>
      <c r="D312" s="1" t="s">
        <v>67</v>
      </c>
      <c r="E312" s="1" t="s">
        <v>1009</v>
      </c>
      <c r="F312" s="3" t="s">
        <v>997</v>
      </c>
      <c r="G312" s="1">
        <v>87.3</v>
      </c>
      <c r="H312" s="1">
        <v>3</v>
      </c>
      <c r="I312" s="1">
        <v>3</v>
      </c>
      <c r="J312" s="1">
        <v>55</v>
      </c>
      <c r="K312" s="1">
        <v>48</v>
      </c>
    </row>
    <row r="313" spans="1:11" x14ac:dyDescent="0.3">
      <c r="A313" s="1" t="s">
        <v>1040</v>
      </c>
      <c r="B313" s="1" t="s">
        <v>71</v>
      </c>
      <c r="C313" s="1" t="s">
        <v>16</v>
      </c>
      <c r="D313" s="1" t="s">
        <v>67</v>
      </c>
      <c r="E313" s="1" t="s">
        <v>1009</v>
      </c>
      <c r="F313" s="3" t="s">
        <v>997</v>
      </c>
      <c r="G313" s="1">
        <v>93.3</v>
      </c>
      <c r="H313" s="1">
        <v>7</v>
      </c>
      <c r="I313" s="1">
        <v>4</v>
      </c>
      <c r="J313" s="1">
        <v>119</v>
      </c>
      <c r="K313" s="1">
        <v>111</v>
      </c>
    </row>
    <row r="314" spans="1:11" x14ac:dyDescent="0.3">
      <c r="A314" s="1" t="s">
        <v>1084</v>
      </c>
      <c r="B314" s="1" t="s">
        <v>73</v>
      </c>
      <c r="C314" s="1" t="s">
        <v>16</v>
      </c>
      <c r="D314" s="1" t="s">
        <v>67</v>
      </c>
      <c r="E314" s="1" t="s">
        <v>1009</v>
      </c>
      <c r="F314" s="3" t="s">
        <v>997</v>
      </c>
      <c r="G314" s="1">
        <v>79.8</v>
      </c>
      <c r="H314" s="1">
        <v>5</v>
      </c>
      <c r="I314" s="1">
        <v>3</v>
      </c>
      <c r="J314" s="1">
        <v>104</v>
      </c>
      <c r="K314" s="1">
        <v>83</v>
      </c>
    </row>
    <row r="315" spans="1:11" x14ac:dyDescent="0.3">
      <c r="A315" s="1" t="s">
        <v>1204</v>
      </c>
      <c r="B315" s="1" t="s">
        <v>71</v>
      </c>
      <c r="C315" s="1" t="s">
        <v>16</v>
      </c>
      <c r="D315" s="1" t="s">
        <v>67</v>
      </c>
      <c r="E315" s="1" t="s">
        <v>1009</v>
      </c>
      <c r="F315" s="3" t="s">
        <v>997</v>
      </c>
      <c r="G315" s="1">
        <v>133.30000000000001</v>
      </c>
      <c r="H315" s="1">
        <v>6</v>
      </c>
      <c r="I315" s="1">
        <v>3</v>
      </c>
      <c r="J315" s="1">
        <v>39</v>
      </c>
      <c r="K315" s="1">
        <v>52</v>
      </c>
    </row>
    <row r="316" spans="1:11" x14ac:dyDescent="0.3">
      <c r="A316" s="1" t="s">
        <v>1392</v>
      </c>
      <c r="B316" s="1" t="s">
        <v>277</v>
      </c>
      <c r="C316" s="1" t="s">
        <v>16</v>
      </c>
      <c r="D316" s="1" t="s">
        <v>67</v>
      </c>
      <c r="E316" s="1" t="s">
        <v>1009</v>
      </c>
      <c r="F316" s="3" t="s">
        <v>997</v>
      </c>
      <c r="G316" s="1">
        <v>104.5</v>
      </c>
      <c r="H316" s="1">
        <v>4</v>
      </c>
      <c r="I316" s="1">
        <v>0</v>
      </c>
      <c r="J316" s="1">
        <v>22</v>
      </c>
      <c r="K316" s="1">
        <v>23</v>
      </c>
    </row>
    <row r="317" spans="1:11" x14ac:dyDescent="0.3">
      <c r="A317" s="1" t="s">
        <v>1690</v>
      </c>
      <c r="B317" s="1" t="s">
        <v>76</v>
      </c>
      <c r="C317" s="1" t="s">
        <v>16</v>
      </c>
      <c r="D317" s="1" t="s">
        <v>347</v>
      </c>
      <c r="E317" s="1" t="s">
        <v>1012</v>
      </c>
      <c r="F317" s="3" t="s">
        <v>997</v>
      </c>
      <c r="G317" s="1">
        <v>11.1</v>
      </c>
      <c r="H317" s="1">
        <v>0</v>
      </c>
      <c r="I317" s="1">
        <v>0</v>
      </c>
      <c r="J317" s="1">
        <v>18</v>
      </c>
      <c r="K317" s="1">
        <v>2</v>
      </c>
    </row>
    <row r="318" spans="1:11" x14ac:dyDescent="0.3">
      <c r="A318" s="1" t="s">
        <v>1465</v>
      </c>
      <c r="B318" s="1" t="s">
        <v>76</v>
      </c>
      <c r="C318" s="1" t="s">
        <v>16</v>
      </c>
      <c r="D318" s="1" t="s">
        <v>218</v>
      </c>
      <c r="E318" s="1" t="s">
        <v>1012</v>
      </c>
      <c r="F318" s="3" t="s">
        <v>997</v>
      </c>
      <c r="G318" s="1">
        <v>57.7</v>
      </c>
      <c r="H318" s="1">
        <v>2</v>
      </c>
      <c r="I318" s="1">
        <v>0</v>
      </c>
      <c r="J318" s="1">
        <v>26</v>
      </c>
      <c r="K318" s="1">
        <v>15</v>
      </c>
    </row>
    <row r="319" spans="1:11" x14ac:dyDescent="0.3">
      <c r="A319" s="1" t="s">
        <v>1014</v>
      </c>
      <c r="B319" s="1" t="s">
        <v>76</v>
      </c>
      <c r="C319" s="1" t="s">
        <v>16</v>
      </c>
      <c r="D319" s="1" t="s">
        <v>290</v>
      </c>
      <c r="E319" s="1" t="s">
        <v>1012</v>
      </c>
      <c r="F319" s="3" t="s">
        <v>997</v>
      </c>
      <c r="G319" s="1">
        <v>120.2</v>
      </c>
      <c r="H319" s="1">
        <v>15</v>
      </c>
      <c r="I319" s="1">
        <v>4</v>
      </c>
      <c r="J319" s="1">
        <v>114</v>
      </c>
      <c r="K319" s="1">
        <v>137</v>
      </c>
    </row>
    <row r="320" spans="1:11" x14ac:dyDescent="0.3">
      <c r="A320" s="1" t="s">
        <v>1059</v>
      </c>
      <c r="B320" s="1" t="s">
        <v>76</v>
      </c>
      <c r="C320" s="1" t="s">
        <v>5</v>
      </c>
      <c r="D320" s="1" t="s">
        <v>507</v>
      </c>
      <c r="E320" s="1" t="s">
        <v>1012</v>
      </c>
      <c r="F320" s="3" t="s">
        <v>997</v>
      </c>
      <c r="G320" s="1">
        <v>178.6</v>
      </c>
      <c r="H320" s="1">
        <v>11</v>
      </c>
      <c r="I320" s="1">
        <v>5</v>
      </c>
      <c r="J320" s="1">
        <v>56</v>
      </c>
      <c r="K320" s="1">
        <v>100</v>
      </c>
    </row>
    <row r="321" spans="1:11" x14ac:dyDescent="0.3">
      <c r="A321" s="1" t="s">
        <v>1624</v>
      </c>
      <c r="B321" s="1" t="s">
        <v>76</v>
      </c>
      <c r="C321" s="1" t="s">
        <v>5</v>
      </c>
      <c r="D321" s="1" t="s">
        <v>508</v>
      </c>
      <c r="E321" s="1" t="s">
        <v>1012</v>
      </c>
      <c r="F321" s="3" t="s">
        <v>997</v>
      </c>
      <c r="G321" s="1">
        <v>55.6</v>
      </c>
      <c r="H321" s="1">
        <v>1</v>
      </c>
      <c r="I321" s="1">
        <v>0</v>
      </c>
      <c r="J321" s="1">
        <v>9</v>
      </c>
      <c r="K321" s="1">
        <v>5</v>
      </c>
    </row>
    <row r="322" spans="1:11" x14ac:dyDescent="0.3">
      <c r="A322" s="1" t="s">
        <v>1316</v>
      </c>
      <c r="B322" s="1" t="s">
        <v>76</v>
      </c>
      <c r="C322" s="1" t="s">
        <v>5</v>
      </c>
      <c r="D322" s="1" t="s">
        <v>287</v>
      </c>
      <c r="E322" s="1" t="s">
        <v>1012</v>
      </c>
      <c r="F322" s="3" t="s">
        <v>997</v>
      </c>
      <c r="G322" s="1">
        <v>106.7</v>
      </c>
      <c r="H322" s="1">
        <v>3</v>
      </c>
      <c r="I322" s="1">
        <v>1</v>
      </c>
      <c r="J322" s="1">
        <v>30</v>
      </c>
      <c r="K322" s="1">
        <v>32</v>
      </c>
    </row>
    <row r="323" spans="1:11" x14ac:dyDescent="0.3">
      <c r="A323" s="1" t="s">
        <v>1739</v>
      </c>
      <c r="B323" s="1" t="s">
        <v>135</v>
      </c>
      <c r="C323" s="1" t="s">
        <v>5</v>
      </c>
      <c r="D323" s="1" t="s">
        <v>511</v>
      </c>
      <c r="E323" s="1" t="s">
        <v>1007</v>
      </c>
      <c r="F323" s="3" t="s">
        <v>997</v>
      </c>
      <c r="G323" s="1">
        <v>0</v>
      </c>
      <c r="H323" s="1">
        <v>0</v>
      </c>
      <c r="I323" s="1">
        <v>0</v>
      </c>
      <c r="J323" s="1">
        <v>2</v>
      </c>
      <c r="K323" s="1">
        <v>0</v>
      </c>
    </row>
    <row r="324" spans="1:11" x14ac:dyDescent="0.3">
      <c r="A324" s="1" t="s">
        <v>1062</v>
      </c>
      <c r="B324" s="1" t="s">
        <v>135</v>
      </c>
      <c r="C324" s="1" t="s">
        <v>5</v>
      </c>
      <c r="D324" s="1" t="s">
        <v>511</v>
      </c>
      <c r="E324" s="1" t="s">
        <v>1007</v>
      </c>
      <c r="F324" s="3" t="s">
        <v>997</v>
      </c>
      <c r="G324" s="1">
        <v>159</v>
      </c>
      <c r="H324" s="1">
        <v>8</v>
      </c>
      <c r="I324" s="1">
        <v>5</v>
      </c>
      <c r="J324" s="1">
        <v>61</v>
      </c>
      <c r="K324" s="1">
        <v>97</v>
      </c>
    </row>
    <row r="325" spans="1:11" x14ac:dyDescent="0.3">
      <c r="A325" s="1" t="s">
        <v>1492</v>
      </c>
      <c r="B325" s="1" t="s">
        <v>8</v>
      </c>
      <c r="C325" s="1" t="s">
        <v>1043</v>
      </c>
      <c r="D325" s="1" t="s">
        <v>9</v>
      </c>
      <c r="E325" s="1" t="s">
        <v>1036</v>
      </c>
      <c r="F325" s="3" t="s">
        <v>997</v>
      </c>
      <c r="G325" s="1">
        <v>118.2</v>
      </c>
      <c r="H325" s="1">
        <v>1</v>
      </c>
      <c r="I325" s="1">
        <v>0</v>
      </c>
      <c r="J325" s="1">
        <v>11</v>
      </c>
      <c r="K325" s="1">
        <v>13</v>
      </c>
    </row>
    <row r="326" spans="1:11" x14ac:dyDescent="0.3">
      <c r="A326" s="1" t="s">
        <v>1610</v>
      </c>
      <c r="B326" s="1" t="s">
        <v>40</v>
      </c>
      <c r="C326" s="1" t="s">
        <v>1043</v>
      </c>
      <c r="D326" s="1" t="s">
        <v>12</v>
      </c>
      <c r="E326" s="1" t="s">
        <v>1036</v>
      </c>
      <c r="F326" s="3" t="s">
        <v>997</v>
      </c>
      <c r="G326" s="1">
        <v>60</v>
      </c>
      <c r="H326" s="1">
        <v>0</v>
      </c>
      <c r="I326" s="1">
        <v>0</v>
      </c>
      <c r="J326" s="1">
        <v>10</v>
      </c>
      <c r="K326" s="1">
        <v>6</v>
      </c>
    </row>
    <row r="327" spans="1:11" x14ac:dyDescent="0.3">
      <c r="A327" s="1" t="s">
        <v>1740</v>
      </c>
      <c r="B327" s="1" t="s">
        <v>4</v>
      </c>
      <c r="C327" s="1" t="s">
        <v>1043</v>
      </c>
      <c r="D327" s="1" t="s">
        <v>12</v>
      </c>
      <c r="E327" s="1" t="s">
        <v>1036</v>
      </c>
      <c r="F327" s="3" t="s">
        <v>997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</row>
    <row r="328" spans="1:11" x14ac:dyDescent="0.3">
      <c r="A328" s="1" t="s">
        <v>1294</v>
      </c>
      <c r="B328" s="1" t="s">
        <v>11</v>
      </c>
      <c r="C328" s="1" t="s">
        <v>1043</v>
      </c>
      <c r="D328" s="1" t="s">
        <v>139</v>
      </c>
      <c r="E328" s="1" t="s">
        <v>1036</v>
      </c>
      <c r="F328" s="3" t="s">
        <v>997</v>
      </c>
      <c r="G328" s="1">
        <v>116.1</v>
      </c>
      <c r="H328" s="1">
        <v>2</v>
      </c>
      <c r="I328" s="1">
        <v>1</v>
      </c>
      <c r="J328" s="1">
        <v>31</v>
      </c>
      <c r="K328" s="1">
        <v>36</v>
      </c>
    </row>
    <row r="329" spans="1:11" x14ac:dyDescent="0.3">
      <c r="A329" s="1" t="s">
        <v>1526</v>
      </c>
      <c r="B329" s="1" t="s">
        <v>11</v>
      </c>
      <c r="C329" s="1" t="s">
        <v>1043</v>
      </c>
      <c r="D329" s="1" t="s">
        <v>12</v>
      </c>
      <c r="E329" s="1" t="s">
        <v>1036</v>
      </c>
      <c r="F329" s="3" t="s">
        <v>997</v>
      </c>
      <c r="G329" s="1">
        <v>100</v>
      </c>
      <c r="H329" s="1">
        <v>1</v>
      </c>
      <c r="I329" s="1">
        <v>0</v>
      </c>
      <c r="J329" s="1">
        <v>11</v>
      </c>
      <c r="K329" s="1">
        <v>11</v>
      </c>
    </row>
    <row r="330" spans="1:11" x14ac:dyDescent="0.3">
      <c r="A330" s="1" t="s">
        <v>1381</v>
      </c>
      <c r="B330" s="1" t="s">
        <v>40</v>
      </c>
      <c r="C330" s="1" t="s">
        <v>1043</v>
      </c>
      <c r="D330" s="1" t="s">
        <v>17</v>
      </c>
      <c r="E330" s="1" t="s">
        <v>1036</v>
      </c>
      <c r="F330" s="3" t="s">
        <v>997</v>
      </c>
      <c r="G330" s="1">
        <v>160</v>
      </c>
      <c r="H330" s="1">
        <v>1</v>
      </c>
      <c r="I330" s="1">
        <v>2</v>
      </c>
      <c r="J330" s="1">
        <v>15</v>
      </c>
      <c r="K330" s="1">
        <v>24</v>
      </c>
    </row>
    <row r="331" spans="1:11" x14ac:dyDescent="0.3">
      <c r="A331" s="1" t="s">
        <v>1741</v>
      </c>
      <c r="B331" s="1" t="s">
        <v>60</v>
      </c>
      <c r="C331" s="1" t="s">
        <v>1043</v>
      </c>
      <c r="D331" s="1" t="s">
        <v>103</v>
      </c>
      <c r="E331" s="1" t="s">
        <v>1036</v>
      </c>
      <c r="F331" s="3" t="s">
        <v>997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</row>
    <row r="332" spans="1:11" x14ac:dyDescent="0.3">
      <c r="A332" s="1" t="s">
        <v>1187</v>
      </c>
      <c r="B332" s="1" t="s">
        <v>56</v>
      </c>
      <c r="C332" s="1" t="s">
        <v>1043</v>
      </c>
      <c r="D332" s="1" t="s">
        <v>100</v>
      </c>
      <c r="E332" s="1" t="s">
        <v>1047</v>
      </c>
      <c r="F332" s="3" t="s">
        <v>997</v>
      </c>
      <c r="G332" s="1">
        <v>169.7</v>
      </c>
      <c r="H332" s="1">
        <v>6</v>
      </c>
      <c r="I332" s="1">
        <v>2</v>
      </c>
      <c r="J332" s="1">
        <v>33</v>
      </c>
      <c r="K332" s="1">
        <v>56</v>
      </c>
    </row>
    <row r="333" spans="1:11" x14ac:dyDescent="0.3">
      <c r="A333" s="1" t="s">
        <v>1691</v>
      </c>
      <c r="B333" s="1" t="s">
        <v>53</v>
      </c>
      <c r="C333" s="1" t="s">
        <v>1043</v>
      </c>
      <c r="D333" s="1" t="s">
        <v>12</v>
      </c>
      <c r="E333" s="1" t="s">
        <v>1047</v>
      </c>
      <c r="F333" s="3" t="s">
        <v>997</v>
      </c>
      <c r="G333" s="1">
        <v>33.299999999999997</v>
      </c>
      <c r="H333" s="1">
        <v>0</v>
      </c>
      <c r="I333" s="1">
        <v>0</v>
      </c>
      <c r="J333" s="1">
        <v>6</v>
      </c>
      <c r="K333" s="1">
        <v>2</v>
      </c>
    </row>
    <row r="334" spans="1:11" x14ac:dyDescent="0.3">
      <c r="A334" s="1" t="s">
        <v>1742</v>
      </c>
      <c r="B334" s="1" t="s">
        <v>4</v>
      </c>
      <c r="C334" s="1" t="s">
        <v>1043</v>
      </c>
      <c r="D334" s="1" t="s">
        <v>46</v>
      </c>
      <c r="E334" s="1" t="s">
        <v>1047</v>
      </c>
      <c r="F334" s="3" t="s">
        <v>997</v>
      </c>
      <c r="G334" s="1">
        <v>0</v>
      </c>
      <c r="H334" s="1">
        <v>0</v>
      </c>
      <c r="I334" s="1">
        <v>0</v>
      </c>
      <c r="J334" s="1">
        <v>1</v>
      </c>
      <c r="K334" s="1">
        <v>0</v>
      </c>
    </row>
    <row r="335" spans="1:11" x14ac:dyDescent="0.3">
      <c r="A335" s="1" t="s">
        <v>1066</v>
      </c>
      <c r="B335" s="1" t="s">
        <v>60</v>
      </c>
      <c r="C335" s="1" t="s">
        <v>1043</v>
      </c>
      <c r="D335" s="1" t="s">
        <v>12</v>
      </c>
      <c r="E335" s="1" t="s">
        <v>1047</v>
      </c>
      <c r="F335" s="3" t="s">
        <v>997</v>
      </c>
      <c r="G335" s="1">
        <v>180.8</v>
      </c>
      <c r="H335" s="1">
        <v>10</v>
      </c>
      <c r="I335" s="1">
        <v>5</v>
      </c>
      <c r="J335" s="1">
        <v>52</v>
      </c>
      <c r="K335" s="1">
        <v>94</v>
      </c>
    </row>
    <row r="336" spans="1:11" x14ac:dyDescent="0.3">
      <c r="A336" s="1" t="s">
        <v>1436</v>
      </c>
      <c r="B336" s="1" t="s">
        <v>8</v>
      </c>
      <c r="C336" s="1" t="s">
        <v>1043</v>
      </c>
      <c r="D336" s="1" t="s">
        <v>12</v>
      </c>
      <c r="E336" s="1" t="s">
        <v>1047</v>
      </c>
      <c r="F336" s="3" t="s">
        <v>997</v>
      </c>
      <c r="G336" s="1">
        <v>120</v>
      </c>
      <c r="H336" s="1">
        <v>2</v>
      </c>
      <c r="I336" s="1">
        <v>0</v>
      </c>
      <c r="J336" s="1">
        <v>15</v>
      </c>
      <c r="K336" s="1">
        <v>18</v>
      </c>
    </row>
    <row r="337" spans="1:11" x14ac:dyDescent="0.3">
      <c r="A337" s="1" t="s">
        <v>1527</v>
      </c>
      <c r="B337" s="1" t="s">
        <v>53</v>
      </c>
      <c r="C337" s="1" t="s">
        <v>1043</v>
      </c>
      <c r="D337" s="1" t="s">
        <v>54</v>
      </c>
      <c r="E337" s="1" t="s">
        <v>1047</v>
      </c>
      <c r="F337" s="3" t="s">
        <v>997</v>
      </c>
      <c r="G337" s="1">
        <v>110</v>
      </c>
      <c r="H337" s="1">
        <v>1</v>
      </c>
      <c r="I337" s="1">
        <v>1</v>
      </c>
      <c r="J337" s="1">
        <v>10</v>
      </c>
      <c r="K337" s="1">
        <v>11</v>
      </c>
    </row>
    <row r="338" spans="1:11" x14ac:dyDescent="0.3">
      <c r="A338" s="1" t="s">
        <v>1466</v>
      </c>
      <c r="B338" s="1" t="s">
        <v>56</v>
      </c>
      <c r="C338" s="1" t="s">
        <v>1043</v>
      </c>
      <c r="D338" s="1" t="s">
        <v>12</v>
      </c>
      <c r="E338" s="1" t="s">
        <v>1047</v>
      </c>
      <c r="F338" s="3" t="s">
        <v>997</v>
      </c>
      <c r="G338" s="1">
        <v>83.3</v>
      </c>
      <c r="H338" s="1">
        <v>1</v>
      </c>
      <c r="I338" s="1">
        <v>1</v>
      </c>
      <c r="J338" s="1">
        <v>18</v>
      </c>
      <c r="K338" s="1">
        <v>15</v>
      </c>
    </row>
    <row r="339" spans="1:11" x14ac:dyDescent="0.3">
      <c r="A339" s="1" t="s">
        <v>1188</v>
      </c>
      <c r="B339" s="1" t="s">
        <v>73</v>
      </c>
      <c r="C339" s="1" t="s">
        <v>5</v>
      </c>
      <c r="D339" s="1" t="s">
        <v>116</v>
      </c>
      <c r="E339" s="1" t="s">
        <v>1016</v>
      </c>
      <c r="F339" s="3" t="s">
        <v>997</v>
      </c>
      <c r="G339" s="1">
        <v>133.30000000000001</v>
      </c>
      <c r="H339" s="1">
        <v>4</v>
      </c>
      <c r="I339" s="1">
        <v>3</v>
      </c>
      <c r="J339" s="1">
        <v>42</v>
      </c>
      <c r="K339" s="1">
        <v>56</v>
      </c>
    </row>
    <row r="340" spans="1:11" x14ac:dyDescent="0.3">
      <c r="A340" s="1" t="s">
        <v>1073</v>
      </c>
      <c r="B340" s="1" t="s">
        <v>73</v>
      </c>
      <c r="C340" s="1" t="s">
        <v>5</v>
      </c>
      <c r="D340" s="1" t="s">
        <v>116</v>
      </c>
      <c r="E340" s="1" t="s">
        <v>1016</v>
      </c>
      <c r="F340" s="3" t="s">
        <v>997</v>
      </c>
      <c r="G340" s="1">
        <v>145.9</v>
      </c>
      <c r="H340" s="1">
        <v>5</v>
      </c>
      <c r="I340" s="1">
        <v>5</v>
      </c>
      <c r="J340" s="1">
        <v>61</v>
      </c>
      <c r="K340" s="1">
        <v>89</v>
      </c>
    </row>
    <row r="341" spans="1:11" x14ac:dyDescent="0.3">
      <c r="A341" s="1" t="s">
        <v>1528</v>
      </c>
      <c r="B341" s="1" t="s">
        <v>115</v>
      </c>
      <c r="C341" s="1" t="s">
        <v>5</v>
      </c>
      <c r="D341" s="1" t="s">
        <v>116</v>
      </c>
      <c r="E341" s="1" t="s">
        <v>1016</v>
      </c>
      <c r="F341" s="3" t="s">
        <v>997</v>
      </c>
      <c r="G341" s="1">
        <v>157.1</v>
      </c>
      <c r="H341" s="1">
        <v>1</v>
      </c>
      <c r="I341" s="1">
        <v>1</v>
      </c>
      <c r="J341" s="1">
        <v>7</v>
      </c>
      <c r="K341" s="1">
        <v>11</v>
      </c>
    </row>
    <row r="342" spans="1:11" x14ac:dyDescent="0.3">
      <c r="A342" s="1" t="s">
        <v>1450</v>
      </c>
      <c r="B342" s="1" t="s">
        <v>73</v>
      </c>
      <c r="C342" s="1" t="s">
        <v>5</v>
      </c>
      <c r="D342" s="1" t="s">
        <v>116</v>
      </c>
      <c r="E342" s="1" t="s">
        <v>1016</v>
      </c>
      <c r="F342" s="3" t="s">
        <v>997</v>
      </c>
      <c r="G342" s="1">
        <v>130.80000000000001</v>
      </c>
      <c r="H342" s="1">
        <v>3</v>
      </c>
      <c r="I342" s="1">
        <v>0</v>
      </c>
      <c r="J342" s="1">
        <v>13</v>
      </c>
      <c r="K342" s="1">
        <v>17</v>
      </c>
    </row>
    <row r="343" spans="1:11" x14ac:dyDescent="0.3">
      <c r="A343" s="1" t="s">
        <v>1743</v>
      </c>
      <c r="B343" s="1" t="s">
        <v>115</v>
      </c>
      <c r="C343" s="1" t="s">
        <v>5</v>
      </c>
      <c r="D343" s="1" t="s">
        <v>116</v>
      </c>
      <c r="E343" s="1" t="s">
        <v>1016</v>
      </c>
      <c r="F343" s="3" t="s">
        <v>997</v>
      </c>
      <c r="G343" s="1">
        <v>0</v>
      </c>
      <c r="H343" s="1">
        <v>0</v>
      </c>
      <c r="I343" s="1">
        <v>0</v>
      </c>
      <c r="J343" s="1">
        <v>4</v>
      </c>
      <c r="K343" s="1">
        <v>0</v>
      </c>
    </row>
    <row r="344" spans="1:11" x14ac:dyDescent="0.3">
      <c r="A344" s="1" t="s">
        <v>1529</v>
      </c>
      <c r="B344" s="1" t="s">
        <v>24</v>
      </c>
      <c r="C344" s="1" t="s">
        <v>5</v>
      </c>
      <c r="D344" s="1" t="s">
        <v>176</v>
      </c>
      <c r="E344" s="1" t="s">
        <v>990</v>
      </c>
      <c r="F344" s="3" t="s">
        <v>997</v>
      </c>
      <c r="G344" s="1">
        <v>137.5</v>
      </c>
      <c r="H344" s="1">
        <v>2</v>
      </c>
      <c r="I344" s="1">
        <v>0</v>
      </c>
      <c r="J344" s="1">
        <v>8</v>
      </c>
      <c r="K344" s="1">
        <v>11</v>
      </c>
    </row>
    <row r="345" spans="1:11" x14ac:dyDescent="0.3">
      <c r="A345" s="1" t="s">
        <v>1744</v>
      </c>
      <c r="B345" s="1" t="s">
        <v>24</v>
      </c>
      <c r="C345" s="1" t="s">
        <v>5</v>
      </c>
      <c r="D345" s="1" t="s">
        <v>180</v>
      </c>
      <c r="E345" s="1" t="s">
        <v>990</v>
      </c>
      <c r="F345" s="3" t="s">
        <v>997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</row>
    <row r="346" spans="1:11" x14ac:dyDescent="0.3">
      <c r="A346" s="1" t="s">
        <v>1404</v>
      </c>
      <c r="B346" s="1" t="s">
        <v>24</v>
      </c>
      <c r="C346" s="1" t="s">
        <v>5</v>
      </c>
      <c r="D346" s="1" t="s">
        <v>530</v>
      </c>
      <c r="E346" s="1" t="s">
        <v>990</v>
      </c>
      <c r="F346" s="3" t="s">
        <v>997</v>
      </c>
      <c r="G346" s="1">
        <v>233.3</v>
      </c>
      <c r="H346" s="1">
        <v>2</v>
      </c>
      <c r="I346" s="1">
        <v>2</v>
      </c>
      <c r="J346" s="1">
        <v>9</v>
      </c>
      <c r="K346" s="1">
        <v>21</v>
      </c>
    </row>
    <row r="347" spans="1:11" x14ac:dyDescent="0.3">
      <c r="A347" s="1" t="s">
        <v>1467</v>
      </c>
      <c r="B347" s="1" t="s">
        <v>24</v>
      </c>
      <c r="C347" s="1" t="s">
        <v>16</v>
      </c>
      <c r="D347" s="1" t="s">
        <v>180</v>
      </c>
      <c r="E347" s="1" t="s">
        <v>990</v>
      </c>
      <c r="F347" s="3" t="s">
        <v>997</v>
      </c>
      <c r="G347" s="1">
        <v>115.4</v>
      </c>
      <c r="H347" s="1">
        <v>3</v>
      </c>
      <c r="I347" s="1">
        <v>0</v>
      </c>
      <c r="J347" s="1">
        <v>13</v>
      </c>
      <c r="K347" s="1">
        <v>15</v>
      </c>
    </row>
    <row r="348" spans="1:11" x14ac:dyDescent="0.3">
      <c r="A348" s="1" t="s">
        <v>1033</v>
      </c>
      <c r="B348" s="1" t="s">
        <v>24</v>
      </c>
      <c r="C348" s="1" t="s">
        <v>16</v>
      </c>
      <c r="D348" s="1" t="s">
        <v>532</v>
      </c>
      <c r="E348" s="1" t="s">
        <v>990</v>
      </c>
      <c r="F348" s="3" t="s">
        <v>997</v>
      </c>
      <c r="G348" s="1">
        <v>91.3</v>
      </c>
      <c r="H348" s="1">
        <v>11</v>
      </c>
      <c r="I348" s="1">
        <v>4</v>
      </c>
      <c r="J348" s="1">
        <v>126</v>
      </c>
      <c r="K348" s="1">
        <v>115</v>
      </c>
    </row>
    <row r="349" spans="1:11" x14ac:dyDescent="0.3">
      <c r="A349" s="1" t="s">
        <v>1625</v>
      </c>
      <c r="B349" s="1" t="s">
        <v>24</v>
      </c>
      <c r="C349" s="1" t="s">
        <v>16</v>
      </c>
      <c r="D349" s="1" t="s">
        <v>530</v>
      </c>
      <c r="E349" s="1" t="s">
        <v>990</v>
      </c>
      <c r="F349" s="3" t="s">
        <v>997</v>
      </c>
      <c r="G349" s="1">
        <v>38.5</v>
      </c>
      <c r="H349" s="1">
        <v>1</v>
      </c>
      <c r="I349" s="1">
        <v>0</v>
      </c>
      <c r="J349" s="1">
        <v>13</v>
      </c>
      <c r="K349" s="1">
        <v>5</v>
      </c>
    </row>
    <row r="350" spans="1:11" x14ac:dyDescent="0.3">
      <c r="A350" s="1" t="s">
        <v>1745</v>
      </c>
      <c r="B350" s="1" t="s">
        <v>24</v>
      </c>
      <c r="C350" s="1" t="s">
        <v>16</v>
      </c>
      <c r="D350" s="1" t="s">
        <v>176</v>
      </c>
      <c r="E350" s="1" t="s">
        <v>990</v>
      </c>
      <c r="F350" s="3" t="s">
        <v>997</v>
      </c>
      <c r="G350" s="1">
        <v>0</v>
      </c>
      <c r="H350" s="1">
        <v>0</v>
      </c>
      <c r="I350" s="1">
        <v>0</v>
      </c>
      <c r="J350" s="1">
        <v>6</v>
      </c>
      <c r="K350" s="1">
        <v>0</v>
      </c>
    </row>
    <row r="351" spans="1:11" x14ac:dyDescent="0.3">
      <c r="A351" s="1" t="s">
        <v>1468</v>
      </c>
      <c r="B351" s="1" t="s">
        <v>24</v>
      </c>
      <c r="C351" s="1" t="s">
        <v>16</v>
      </c>
      <c r="D351" s="1" t="s">
        <v>180</v>
      </c>
      <c r="E351" s="1" t="s">
        <v>990</v>
      </c>
      <c r="F351" s="3" t="s">
        <v>997</v>
      </c>
      <c r="G351" s="1">
        <v>88.2</v>
      </c>
      <c r="H351" s="1">
        <v>2</v>
      </c>
      <c r="I351" s="1">
        <v>1</v>
      </c>
      <c r="J351" s="1">
        <v>17</v>
      </c>
      <c r="K351" s="1">
        <v>15</v>
      </c>
    </row>
    <row r="352" spans="1:11" x14ac:dyDescent="0.3">
      <c r="A352" s="1" t="s">
        <v>1414</v>
      </c>
      <c r="B352" s="1" t="s">
        <v>24</v>
      </c>
      <c r="C352" s="1" t="s">
        <v>16</v>
      </c>
      <c r="D352" s="1" t="s">
        <v>535</v>
      </c>
      <c r="E352" s="1" t="s">
        <v>990</v>
      </c>
      <c r="F352" s="3" t="s">
        <v>997</v>
      </c>
      <c r="G352" s="1">
        <v>66.7</v>
      </c>
      <c r="H352" s="1">
        <v>2</v>
      </c>
      <c r="I352" s="1">
        <v>1</v>
      </c>
      <c r="J352" s="1">
        <v>30</v>
      </c>
      <c r="K352" s="1">
        <v>20</v>
      </c>
    </row>
    <row r="353" spans="1:11" x14ac:dyDescent="0.3">
      <c r="A353" s="1" t="s">
        <v>1178</v>
      </c>
      <c r="B353" s="1" t="s">
        <v>24</v>
      </c>
      <c r="C353" s="1" t="s">
        <v>83</v>
      </c>
      <c r="D353" s="1" t="s">
        <v>180</v>
      </c>
      <c r="E353" s="1" t="s">
        <v>994</v>
      </c>
      <c r="F353" s="3" t="s">
        <v>997</v>
      </c>
      <c r="G353" s="1">
        <v>50.249999999999993</v>
      </c>
      <c r="H353" s="1">
        <v>8</v>
      </c>
      <c r="I353" s="1">
        <v>1</v>
      </c>
      <c r="J353" s="1">
        <v>103</v>
      </c>
      <c r="K353" s="1">
        <v>57</v>
      </c>
    </row>
    <row r="354" spans="1:11" x14ac:dyDescent="0.3">
      <c r="A354" s="1" t="s">
        <v>1405</v>
      </c>
      <c r="B354" s="1" t="s">
        <v>24</v>
      </c>
      <c r="C354" s="1" t="s">
        <v>83</v>
      </c>
      <c r="D354" s="1" t="s">
        <v>176</v>
      </c>
      <c r="E354" s="1" t="s">
        <v>994</v>
      </c>
      <c r="F354" s="3" t="s">
        <v>997</v>
      </c>
      <c r="G354" s="1">
        <v>25.95</v>
      </c>
      <c r="H354" s="1">
        <v>1</v>
      </c>
      <c r="I354" s="1">
        <v>0</v>
      </c>
      <c r="J354" s="1">
        <v>38</v>
      </c>
      <c r="K354" s="1">
        <v>21</v>
      </c>
    </row>
    <row r="355" spans="1:11" x14ac:dyDescent="0.3">
      <c r="A355" s="1" t="s">
        <v>1354</v>
      </c>
      <c r="B355" s="1" t="s">
        <v>115</v>
      </c>
      <c r="C355" s="1" t="s">
        <v>5</v>
      </c>
      <c r="D355" s="1" t="s">
        <v>12</v>
      </c>
      <c r="E355" s="1" t="s">
        <v>987</v>
      </c>
      <c r="F355" s="3" t="s">
        <v>988</v>
      </c>
      <c r="G355" s="1">
        <v>135</v>
      </c>
      <c r="H355" s="1">
        <v>4</v>
      </c>
      <c r="I355" s="1">
        <v>1</v>
      </c>
      <c r="J355" s="1">
        <v>20</v>
      </c>
      <c r="K355" s="1">
        <v>27</v>
      </c>
    </row>
    <row r="356" spans="1:11" x14ac:dyDescent="0.3">
      <c r="A356" s="1" t="s">
        <v>1032</v>
      </c>
      <c r="B356" s="1" t="s">
        <v>115</v>
      </c>
      <c r="C356" s="1" t="s">
        <v>5</v>
      </c>
      <c r="D356" s="1" t="s">
        <v>17</v>
      </c>
      <c r="E356" s="1" t="s">
        <v>987</v>
      </c>
      <c r="F356" s="3" t="s">
        <v>988</v>
      </c>
      <c r="G356" s="1">
        <v>274.39999999999998</v>
      </c>
      <c r="H356" s="1">
        <v>12</v>
      </c>
      <c r="I356" s="1">
        <v>10</v>
      </c>
      <c r="J356" s="1">
        <v>43</v>
      </c>
      <c r="K356" s="1">
        <v>118</v>
      </c>
    </row>
    <row r="357" spans="1:11" x14ac:dyDescent="0.3">
      <c r="A357" s="1" t="s">
        <v>1451</v>
      </c>
      <c r="B357" s="1" t="s">
        <v>115</v>
      </c>
      <c r="C357" s="1" t="s">
        <v>5</v>
      </c>
      <c r="D357" s="1" t="s">
        <v>78</v>
      </c>
      <c r="E357" s="1" t="s">
        <v>987</v>
      </c>
      <c r="F357" s="3" t="s">
        <v>988</v>
      </c>
      <c r="G357" s="1">
        <v>130.80000000000001</v>
      </c>
      <c r="H357" s="1">
        <v>2</v>
      </c>
      <c r="I357" s="1">
        <v>0</v>
      </c>
      <c r="J357" s="1">
        <v>13</v>
      </c>
      <c r="K357" s="1">
        <v>17</v>
      </c>
    </row>
    <row r="358" spans="1:11" x14ac:dyDescent="0.3">
      <c r="A358" s="1" t="s">
        <v>1596</v>
      </c>
      <c r="B358" s="1" t="s">
        <v>115</v>
      </c>
      <c r="C358" s="1" t="s">
        <v>16</v>
      </c>
      <c r="D358" s="1" t="s">
        <v>25</v>
      </c>
      <c r="E358" s="1" t="s">
        <v>987</v>
      </c>
      <c r="F358" s="3" t="s">
        <v>988</v>
      </c>
      <c r="G358" s="1">
        <v>50</v>
      </c>
      <c r="H358" s="1">
        <v>0</v>
      </c>
      <c r="I358" s="1">
        <v>1</v>
      </c>
      <c r="J358" s="1">
        <v>14</v>
      </c>
      <c r="K358" s="1">
        <v>7</v>
      </c>
    </row>
    <row r="359" spans="1:11" x14ac:dyDescent="0.3">
      <c r="A359" s="1" t="s">
        <v>986</v>
      </c>
      <c r="B359" s="1" t="s">
        <v>115</v>
      </c>
      <c r="C359" s="1" t="s">
        <v>16</v>
      </c>
      <c r="D359" s="1" t="s">
        <v>173</v>
      </c>
      <c r="E359" s="1" t="s">
        <v>987</v>
      </c>
      <c r="F359" s="3" t="s">
        <v>988</v>
      </c>
      <c r="G359" s="1">
        <v>135.9</v>
      </c>
      <c r="H359" s="1">
        <v>13</v>
      </c>
      <c r="I359" s="1">
        <v>12</v>
      </c>
      <c r="J359" s="1">
        <v>153</v>
      </c>
      <c r="K359" s="1">
        <v>208</v>
      </c>
    </row>
    <row r="360" spans="1:11" x14ac:dyDescent="0.3">
      <c r="A360" s="1" t="s">
        <v>1692</v>
      </c>
      <c r="B360" s="1" t="s">
        <v>115</v>
      </c>
      <c r="C360" s="1" t="s">
        <v>16</v>
      </c>
      <c r="D360" s="1" t="s">
        <v>154</v>
      </c>
      <c r="E360" s="1" t="s">
        <v>987</v>
      </c>
      <c r="F360" s="3" t="s">
        <v>988</v>
      </c>
      <c r="G360" s="1">
        <v>15.4</v>
      </c>
      <c r="H360" s="1">
        <v>0</v>
      </c>
      <c r="I360" s="1">
        <v>0</v>
      </c>
      <c r="J360" s="1">
        <v>13</v>
      </c>
      <c r="K360" s="1">
        <v>2</v>
      </c>
    </row>
    <row r="361" spans="1:11" x14ac:dyDescent="0.3">
      <c r="A361" s="1" t="s">
        <v>1034</v>
      </c>
      <c r="B361" s="1" t="s">
        <v>115</v>
      </c>
      <c r="C361" s="1" t="s">
        <v>83</v>
      </c>
      <c r="D361" s="1" t="s">
        <v>9</v>
      </c>
      <c r="E361" s="1" t="s">
        <v>987</v>
      </c>
      <c r="F361" s="3" t="s">
        <v>988</v>
      </c>
      <c r="G361" s="1">
        <v>82.85</v>
      </c>
      <c r="H361" s="1">
        <v>12</v>
      </c>
      <c r="I361" s="1">
        <v>2</v>
      </c>
      <c r="J361" s="1">
        <v>207</v>
      </c>
      <c r="K361" s="1">
        <v>115</v>
      </c>
    </row>
    <row r="362" spans="1:11" x14ac:dyDescent="0.3">
      <c r="A362" s="1" t="s">
        <v>1056</v>
      </c>
      <c r="B362" s="1" t="s">
        <v>115</v>
      </c>
      <c r="C362" s="1" t="s">
        <v>83</v>
      </c>
      <c r="D362" s="1" t="s">
        <v>80</v>
      </c>
      <c r="E362" s="1" t="s">
        <v>981</v>
      </c>
      <c r="F362" s="3" t="s">
        <v>988</v>
      </c>
      <c r="G362" s="1">
        <v>63.7</v>
      </c>
      <c r="H362" s="1">
        <v>8</v>
      </c>
      <c r="I362" s="1">
        <v>1</v>
      </c>
      <c r="J362" s="1">
        <v>184</v>
      </c>
      <c r="K362" s="1">
        <v>102</v>
      </c>
    </row>
    <row r="363" spans="1:11" x14ac:dyDescent="0.3">
      <c r="A363" s="1" t="s">
        <v>1579</v>
      </c>
      <c r="B363" s="1" t="s">
        <v>15</v>
      </c>
      <c r="C363" s="1" t="s">
        <v>5</v>
      </c>
      <c r="D363" s="1" t="s">
        <v>254</v>
      </c>
      <c r="E363" s="1" t="s">
        <v>981</v>
      </c>
      <c r="F363" s="3" t="s">
        <v>988</v>
      </c>
      <c r="G363" s="1">
        <v>88.9</v>
      </c>
      <c r="H363" s="1">
        <v>1</v>
      </c>
      <c r="I363" s="1">
        <v>0</v>
      </c>
      <c r="J363" s="1">
        <v>9</v>
      </c>
      <c r="K363" s="1">
        <v>8</v>
      </c>
    </row>
    <row r="364" spans="1:11" x14ac:dyDescent="0.3">
      <c r="A364" s="1" t="s">
        <v>1626</v>
      </c>
      <c r="B364" s="1" t="s">
        <v>15</v>
      </c>
      <c r="C364" s="1" t="s">
        <v>5</v>
      </c>
      <c r="D364" s="1" t="s">
        <v>19</v>
      </c>
      <c r="E364" s="1" t="s">
        <v>981</v>
      </c>
      <c r="F364" s="3" t="s">
        <v>988</v>
      </c>
      <c r="G364" s="1">
        <v>83.3</v>
      </c>
      <c r="H364" s="1">
        <v>1</v>
      </c>
      <c r="I364" s="1">
        <v>0</v>
      </c>
      <c r="J364" s="1">
        <v>6</v>
      </c>
      <c r="K364" s="1">
        <v>5</v>
      </c>
    </row>
    <row r="365" spans="1:11" x14ac:dyDescent="0.3">
      <c r="A365" s="1" t="s">
        <v>1090</v>
      </c>
      <c r="B365" s="1" t="s">
        <v>15</v>
      </c>
      <c r="C365" s="1" t="s">
        <v>5</v>
      </c>
      <c r="D365" s="1" t="s">
        <v>9</v>
      </c>
      <c r="E365" s="1" t="s">
        <v>981</v>
      </c>
      <c r="F365" s="3" t="s">
        <v>988</v>
      </c>
      <c r="G365" s="1">
        <v>145.5</v>
      </c>
      <c r="H365" s="1">
        <v>6</v>
      </c>
      <c r="I365" s="1">
        <v>4</v>
      </c>
      <c r="J365" s="1">
        <v>55</v>
      </c>
      <c r="K365" s="1">
        <v>80</v>
      </c>
    </row>
    <row r="366" spans="1:11" x14ac:dyDescent="0.3">
      <c r="A366" s="1" t="s">
        <v>1004</v>
      </c>
      <c r="B366" s="1" t="s">
        <v>15</v>
      </c>
      <c r="C366" s="1" t="s">
        <v>16</v>
      </c>
      <c r="D366" s="1" t="s">
        <v>107</v>
      </c>
      <c r="E366" s="1" t="s">
        <v>977</v>
      </c>
      <c r="F366" s="3" t="s">
        <v>988</v>
      </c>
      <c r="G366" s="1">
        <v>106.5</v>
      </c>
      <c r="H366" s="1">
        <v>18</v>
      </c>
      <c r="I366" s="1">
        <v>2</v>
      </c>
      <c r="J366" s="1">
        <v>138</v>
      </c>
      <c r="K366" s="1">
        <v>147</v>
      </c>
    </row>
    <row r="367" spans="1:11" x14ac:dyDescent="0.3">
      <c r="A367" s="1" t="s">
        <v>1597</v>
      </c>
      <c r="B367" s="1" t="s">
        <v>15</v>
      </c>
      <c r="C367" s="1" t="s">
        <v>16</v>
      </c>
      <c r="D367" s="1" t="s">
        <v>100</v>
      </c>
      <c r="E367" s="1" t="s">
        <v>977</v>
      </c>
      <c r="F367" s="3" t="s">
        <v>988</v>
      </c>
      <c r="G367" s="1">
        <v>36.799999999999997</v>
      </c>
      <c r="H367" s="1">
        <v>1</v>
      </c>
      <c r="I367" s="1">
        <v>0</v>
      </c>
      <c r="J367" s="1">
        <v>19</v>
      </c>
      <c r="K367" s="1">
        <v>7</v>
      </c>
    </row>
    <row r="368" spans="1:11" x14ac:dyDescent="0.3">
      <c r="A368" s="1" t="s">
        <v>1415</v>
      </c>
      <c r="B368" s="1" t="s">
        <v>15</v>
      </c>
      <c r="C368" s="1" t="s">
        <v>16</v>
      </c>
      <c r="D368" s="1" t="s">
        <v>12</v>
      </c>
      <c r="E368" s="1" t="s">
        <v>977</v>
      </c>
      <c r="F368" s="3" t="s">
        <v>988</v>
      </c>
      <c r="G368" s="1">
        <v>111.1</v>
      </c>
      <c r="H368" s="1">
        <v>0</v>
      </c>
      <c r="I368" s="1">
        <v>2</v>
      </c>
      <c r="J368" s="1">
        <v>18</v>
      </c>
      <c r="K368" s="1">
        <v>20</v>
      </c>
    </row>
    <row r="369" spans="1:11" x14ac:dyDescent="0.3">
      <c r="A369" s="1" t="s">
        <v>1580</v>
      </c>
      <c r="B369" s="1" t="s">
        <v>32</v>
      </c>
      <c r="C369" s="1" t="s">
        <v>5</v>
      </c>
      <c r="D369" s="1" t="s">
        <v>6</v>
      </c>
      <c r="E369" s="1" t="s">
        <v>977</v>
      </c>
      <c r="F369" s="3" t="s">
        <v>988</v>
      </c>
      <c r="G369" s="1">
        <v>200</v>
      </c>
      <c r="H369" s="1">
        <v>2</v>
      </c>
      <c r="I369" s="1">
        <v>0</v>
      </c>
      <c r="J369" s="1">
        <v>4</v>
      </c>
      <c r="K369" s="1">
        <v>8</v>
      </c>
    </row>
    <row r="370" spans="1:11" x14ac:dyDescent="0.3">
      <c r="A370" s="1" t="s">
        <v>1530</v>
      </c>
      <c r="B370" s="1" t="s">
        <v>32</v>
      </c>
      <c r="C370" s="1" t="s">
        <v>5</v>
      </c>
      <c r="D370" s="1" t="s">
        <v>29</v>
      </c>
      <c r="E370" s="1" t="s">
        <v>977</v>
      </c>
      <c r="F370" s="3" t="s">
        <v>988</v>
      </c>
      <c r="G370" s="1">
        <v>157.1</v>
      </c>
      <c r="H370" s="1">
        <v>1</v>
      </c>
      <c r="I370" s="1">
        <v>1</v>
      </c>
      <c r="J370" s="1">
        <v>7</v>
      </c>
      <c r="K370" s="1">
        <v>11</v>
      </c>
    </row>
    <row r="371" spans="1:11" x14ac:dyDescent="0.3">
      <c r="A371" s="1" t="s">
        <v>1019</v>
      </c>
      <c r="B371" s="1" t="s">
        <v>32</v>
      </c>
      <c r="C371" s="1" t="s">
        <v>16</v>
      </c>
      <c r="D371" s="1" t="s">
        <v>80</v>
      </c>
      <c r="E371" s="1" t="s">
        <v>977</v>
      </c>
      <c r="F371" s="3" t="s">
        <v>988</v>
      </c>
      <c r="G371" s="1">
        <v>114.7</v>
      </c>
      <c r="H371" s="1">
        <v>11</v>
      </c>
      <c r="I371" s="1">
        <v>5</v>
      </c>
      <c r="J371" s="1">
        <v>109</v>
      </c>
      <c r="K371" s="1">
        <v>125</v>
      </c>
    </row>
    <row r="372" spans="1:11" x14ac:dyDescent="0.3">
      <c r="A372" s="1" t="s">
        <v>1139</v>
      </c>
      <c r="B372" s="1" t="s">
        <v>32</v>
      </c>
      <c r="C372" s="1" t="s">
        <v>16</v>
      </c>
      <c r="D372" s="1" t="s">
        <v>103</v>
      </c>
      <c r="E372" s="1" t="s">
        <v>1009</v>
      </c>
      <c r="F372" s="3" t="s">
        <v>988</v>
      </c>
      <c r="G372" s="1">
        <v>118.2</v>
      </c>
      <c r="H372" s="1">
        <v>1</v>
      </c>
      <c r="I372" s="1">
        <v>5</v>
      </c>
      <c r="J372" s="1">
        <v>55</v>
      </c>
      <c r="K372" s="1">
        <v>65</v>
      </c>
    </row>
    <row r="373" spans="1:11" x14ac:dyDescent="0.3">
      <c r="A373" s="1" t="s">
        <v>1119</v>
      </c>
      <c r="B373" s="1" t="s">
        <v>32</v>
      </c>
      <c r="C373" s="1" t="s">
        <v>16</v>
      </c>
      <c r="D373" s="1" t="s">
        <v>17</v>
      </c>
      <c r="E373" s="1" t="s">
        <v>1009</v>
      </c>
      <c r="F373" s="3" t="s">
        <v>988</v>
      </c>
      <c r="G373" s="1">
        <v>114.5</v>
      </c>
      <c r="H373" s="1">
        <v>6</v>
      </c>
      <c r="I373" s="1">
        <v>4</v>
      </c>
      <c r="J373" s="1">
        <v>62</v>
      </c>
      <c r="K373" s="1">
        <v>71</v>
      </c>
    </row>
    <row r="374" spans="1:11" x14ac:dyDescent="0.3">
      <c r="A374" s="1" t="s">
        <v>1598</v>
      </c>
      <c r="B374" s="1" t="s">
        <v>32</v>
      </c>
      <c r="C374" s="1" t="s">
        <v>16</v>
      </c>
      <c r="D374" s="1" t="s">
        <v>139</v>
      </c>
      <c r="E374" s="1" t="s">
        <v>1009</v>
      </c>
      <c r="F374" s="3" t="s">
        <v>988</v>
      </c>
      <c r="G374" s="1">
        <v>50</v>
      </c>
      <c r="H374" s="1">
        <v>1</v>
      </c>
      <c r="I374" s="1">
        <v>0</v>
      </c>
      <c r="J374" s="1">
        <v>14</v>
      </c>
      <c r="K374" s="1">
        <v>7</v>
      </c>
    </row>
    <row r="375" spans="1:11" x14ac:dyDescent="0.3">
      <c r="A375" s="1" t="s">
        <v>1349</v>
      </c>
      <c r="B375" s="1" t="s">
        <v>32</v>
      </c>
      <c r="C375" s="1" t="s">
        <v>16</v>
      </c>
      <c r="D375" s="1" t="s">
        <v>64</v>
      </c>
      <c r="E375" s="1" t="s">
        <v>1009</v>
      </c>
      <c r="F375" s="3" t="s">
        <v>988</v>
      </c>
      <c r="G375" s="1">
        <v>63.6</v>
      </c>
      <c r="H375" s="1">
        <v>3</v>
      </c>
      <c r="I375" s="1">
        <v>0</v>
      </c>
      <c r="J375" s="1">
        <v>44</v>
      </c>
      <c r="K375" s="1">
        <v>28</v>
      </c>
    </row>
    <row r="376" spans="1:11" x14ac:dyDescent="0.3">
      <c r="A376" s="1" t="s">
        <v>1558</v>
      </c>
      <c r="B376" s="1" t="s">
        <v>115</v>
      </c>
      <c r="C376" s="1" t="s">
        <v>5</v>
      </c>
      <c r="D376" s="1" t="s">
        <v>116</v>
      </c>
      <c r="E376" s="1" t="s">
        <v>1009</v>
      </c>
      <c r="F376" s="3" t="s">
        <v>988</v>
      </c>
      <c r="G376" s="1">
        <v>112.5</v>
      </c>
      <c r="H376" s="1">
        <v>1</v>
      </c>
      <c r="I376" s="1">
        <v>0</v>
      </c>
      <c r="J376" s="1">
        <v>8</v>
      </c>
      <c r="K376" s="1">
        <v>9</v>
      </c>
    </row>
    <row r="377" spans="1:11" x14ac:dyDescent="0.3">
      <c r="A377" s="1" t="s">
        <v>1454</v>
      </c>
      <c r="B377" s="1" t="s">
        <v>115</v>
      </c>
      <c r="C377" s="1" t="s">
        <v>16</v>
      </c>
      <c r="D377" s="1" t="s">
        <v>116</v>
      </c>
      <c r="E377" s="1" t="s">
        <v>1009</v>
      </c>
      <c r="F377" s="3" t="s">
        <v>988</v>
      </c>
      <c r="G377" s="1">
        <v>80</v>
      </c>
      <c r="H377" s="1">
        <v>1</v>
      </c>
      <c r="I377" s="1">
        <v>0</v>
      </c>
      <c r="J377" s="1">
        <v>20</v>
      </c>
      <c r="K377" s="1">
        <v>16</v>
      </c>
    </row>
    <row r="378" spans="1:11" x14ac:dyDescent="0.3">
      <c r="A378" s="1" t="s">
        <v>1050</v>
      </c>
      <c r="B378" s="1" t="s">
        <v>115</v>
      </c>
      <c r="C378" s="1" t="s">
        <v>16</v>
      </c>
      <c r="D378" s="1" t="s">
        <v>116</v>
      </c>
      <c r="E378" s="1" t="s">
        <v>1021</v>
      </c>
      <c r="F378" s="3" t="s">
        <v>988</v>
      </c>
      <c r="G378" s="1">
        <v>118.2</v>
      </c>
      <c r="H378" s="1">
        <v>11</v>
      </c>
      <c r="I378" s="1">
        <v>3</v>
      </c>
      <c r="J378" s="1">
        <v>88</v>
      </c>
      <c r="K378" s="1">
        <v>104</v>
      </c>
    </row>
    <row r="379" spans="1:11" x14ac:dyDescent="0.3">
      <c r="A379" s="1" t="s">
        <v>1020</v>
      </c>
      <c r="B379" s="1" t="s">
        <v>115</v>
      </c>
      <c r="C379" s="1" t="s">
        <v>16</v>
      </c>
      <c r="D379" s="1" t="s">
        <v>204</v>
      </c>
      <c r="E379" s="1" t="s">
        <v>1021</v>
      </c>
      <c r="F379" s="3" t="s">
        <v>988</v>
      </c>
      <c r="G379" s="1">
        <v>85.5</v>
      </c>
      <c r="H379" s="1">
        <v>16</v>
      </c>
      <c r="I379" s="1">
        <v>2</v>
      </c>
      <c r="J379" s="1">
        <v>145</v>
      </c>
      <c r="K379" s="1">
        <v>124</v>
      </c>
    </row>
    <row r="380" spans="1:11" x14ac:dyDescent="0.3">
      <c r="A380" s="1" t="s">
        <v>1198</v>
      </c>
      <c r="B380" s="1" t="s">
        <v>115</v>
      </c>
      <c r="C380" s="1" t="s">
        <v>16</v>
      </c>
      <c r="D380" s="1" t="s">
        <v>204</v>
      </c>
      <c r="E380" s="1" t="s">
        <v>1021</v>
      </c>
      <c r="F380" s="3" t="s">
        <v>988</v>
      </c>
      <c r="G380" s="1">
        <v>120</v>
      </c>
      <c r="H380" s="1">
        <v>5</v>
      </c>
      <c r="I380" s="1">
        <v>3</v>
      </c>
      <c r="J380" s="1">
        <v>45</v>
      </c>
      <c r="K380" s="1">
        <v>54</v>
      </c>
    </row>
    <row r="381" spans="1:11" x14ac:dyDescent="0.3">
      <c r="A381" s="1" t="s">
        <v>1652</v>
      </c>
      <c r="B381" s="1" t="s">
        <v>115</v>
      </c>
      <c r="C381" s="1" t="s">
        <v>16</v>
      </c>
      <c r="D381" s="1" t="s">
        <v>568</v>
      </c>
      <c r="E381" s="1" t="s">
        <v>1021</v>
      </c>
      <c r="F381" s="3" t="s">
        <v>988</v>
      </c>
      <c r="G381" s="1">
        <v>30.8</v>
      </c>
      <c r="H381" s="1">
        <v>0</v>
      </c>
      <c r="I381" s="1">
        <v>0</v>
      </c>
      <c r="J381" s="1">
        <v>13</v>
      </c>
      <c r="K381" s="1">
        <v>4</v>
      </c>
    </row>
    <row r="382" spans="1:11" x14ac:dyDescent="0.3">
      <c r="A382" s="1" t="s">
        <v>1746</v>
      </c>
      <c r="B382" s="1" t="s">
        <v>71</v>
      </c>
      <c r="C382" s="1" t="s">
        <v>16</v>
      </c>
      <c r="D382" s="1" t="s">
        <v>218</v>
      </c>
      <c r="E382" s="1" t="s">
        <v>1007</v>
      </c>
      <c r="F382" s="3" t="s">
        <v>988</v>
      </c>
      <c r="G382" s="1">
        <v>0</v>
      </c>
      <c r="H382" s="1">
        <v>0</v>
      </c>
      <c r="I382" s="1">
        <v>0</v>
      </c>
      <c r="J382" s="1">
        <v>3</v>
      </c>
      <c r="K382" s="1">
        <v>0</v>
      </c>
    </row>
    <row r="383" spans="1:11" x14ac:dyDescent="0.3">
      <c r="A383" s="1" t="s">
        <v>1023</v>
      </c>
      <c r="B383" s="1" t="s">
        <v>73</v>
      </c>
      <c r="C383" s="1" t="s">
        <v>16</v>
      </c>
      <c r="D383" s="1" t="s">
        <v>292</v>
      </c>
      <c r="E383" s="1" t="s">
        <v>1007</v>
      </c>
      <c r="F383" s="3" t="s">
        <v>988</v>
      </c>
      <c r="G383" s="1">
        <v>95.3</v>
      </c>
      <c r="H383" s="1">
        <v>15</v>
      </c>
      <c r="I383" s="1">
        <v>1</v>
      </c>
      <c r="J383" s="1">
        <v>129</v>
      </c>
      <c r="K383" s="1">
        <v>123</v>
      </c>
    </row>
    <row r="384" spans="1:11" x14ac:dyDescent="0.3">
      <c r="A384" s="1" t="s">
        <v>1509</v>
      </c>
      <c r="B384" s="1" t="s">
        <v>24</v>
      </c>
      <c r="C384" s="1" t="s">
        <v>16</v>
      </c>
      <c r="D384" s="1" t="s">
        <v>218</v>
      </c>
      <c r="E384" s="1" t="s">
        <v>1007</v>
      </c>
      <c r="F384" s="3" t="s">
        <v>988</v>
      </c>
      <c r="G384" s="1">
        <v>60</v>
      </c>
      <c r="H384" s="1">
        <v>1</v>
      </c>
      <c r="I384" s="1">
        <v>1</v>
      </c>
      <c r="J384" s="1">
        <v>20</v>
      </c>
      <c r="K384" s="1">
        <v>12</v>
      </c>
    </row>
    <row r="385" spans="1:11" x14ac:dyDescent="0.3">
      <c r="A385" s="1" t="s">
        <v>1099</v>
      </c>
      <c r="B385" s="1" t="s">
        <v>115</v>
      </c>
      <c r="C385" s="1" t="s">
        <v>16</v>
      </c>
      <c r="D385" s="1" t="s">
        <v>218</v>
      </c>
      <c r="E385" s="1" t="s">
        <v>1007</v>
      </c>
      <c r="F385" s="3" t="s">
        <v>988</v>
      </c>
      <c r="G385" s="1">
        <v>98.7</v>
      </c>
      <c r="H385" s="1">
        <v>6</v>
      </c>
      <c r="I385" s="1">
        <v>3</v>
      </c>
      <c r="J385" s="1">
        <v>79</v>
      </c>
      <c r="K385" s="1">
        <v>78</v>
      </c>
    </row>
    <row r="386" spans="1:11" x14ac:dyDescent="0.3">
      <c r="A386" s="1" t="s">
        <v>1070</v>
      </c>
      <c r="B386" s="1" t="s">
        <v>71</v>
      </c>
      <c r="C386" s="1" t="s">
        <v>16</v>
      </c>
      <c r="D386" s="1" t="s">
        <v>292</v>
      </c>
      <c r="E386" s="1" t="s">
        <v>1007</v>
      </c>
      <c r="F386" s="3" t="s">
        <v>988</v>
      </c>
      <c r="G386" s="1">
        <v>76.5</v>
      </c>
      <c r="H386" s="1">
        <v>7</v>
      </c>
      <c r="I386" s="1">
        <v>2</v>
      </c>
      <c r="J386" s="1">
        <v>119</v>
      </c>
      <c r="K386" s="1">
        <v>91</v>
      </c>
    </row>
    <row r="387" spans="1:11" x14ac:dyDescent="0.3">
      <c r="A387" s="1" t="s">
        <v>1382</v>
      </c>
      <c r="B387" s="1" t="s">
        <v>576</v>
      </c>
      <c r="C387" s="1" t="s">
        <v>1043</v>
      </c>
      <c r="D387" s="1" t="s">
        <v>54</v>
      </c>
      <c r="E387" s="1" t="s">
        <v>1036</v>
      </c>
      <c r="F387" s="3" t="s">
        <v>988</v>
      </c>
      <c r="G387" s="1">
        <v>109.1</v>
      </c>
      <c r="H387" s="1">
        <v>4</v>
      </c>
      <c r="I387" s="1">
        <v>0</v>
      </c>
      <c r="J387" s="1">
        <v>22</v>
      </c>
      <c r="K387" s="1">
        <v>24</v>
      </c>
    </row>
    <row r="388" spans="1:11" x14ac:dyDescent="0.3">
      <c r="A388" s="1" t="s">
        <v>1364</v>
      </c>
      <c r="B388" s="1" t="s">
        <v>11</v>
      </c>
      <c r="C388" s="1" t="s">
        <v>1043</v>
      </c>
      <c r="D388" s="1" t="s">
        <v>103</v>
      </c>
      <c r="E388" s="1" t="s">
        <v>1036</v>
      </c>
      <c r="F388" s="3" t="s">
        <v>988</v>
      </c>
      <c r="G388" s="1">
        <v>108.3</v>
      </c>
      <c r="H388" s="1">
        <v>1</v>
      </c>
      <c r="I388" s="1">
        <v>1</v>
      </c>
      <c r="J388" s="1">
        <v>24</v>
      </c>
      <c r="K388" s="1">
        <v>26</v>
      </c>
    </row>
    <row r="389" spans="1:11" x14ac:dyDescent="0.3">
      <c r="A389" s="1" t="s">
        <v>1709</v>
      </c>
      <c r="B389" s="1" t="s">
        <v>576</v>
      </c>
      <c r="C389" s="1" t="s">
        <v>1043</v>
      </c>
      <c r="D389" s="1" t="s">
        <v>12</v>
      </c>
      <c r="E389" s="1" t="s">
        <v>1036</v>
      </c>
      <c r="F389" s="3" t="s">
        <v>988</v>
      </c>
      <c r="G389" s="1">
        <v>50</v>
      </c>
      <c r="H389" s="1">
        <v>0</v>
      </c>
      <c r="I389" s="1">
        <v>0</v>
      </c>
      <c r="J389" s="1">
        <v>2</v>
      </c>
      <c r="K389" s="1">
        <v>1</v>
      </c>
    </row>
    <row r="390" spans="1:11" x14ac:dyDescent="0.3">
      <c r="A390" s="1" t="s">
        <v>1355</v>
      </c>
      <c r="B390" s="1" t="s">
        <v>11</v>
      </c>
      <c r="C390" s="1" t="s">
        <v>1043</v>
      </c>
      <c r="D390" s="1" t="s">
        <v>139</v>
      </c>
      <c r="E390" s="1" t="s">
        <v>1036</v>
      </c>
      <c r="F390" s="3" t="s">
        <v>988</v>
      </c>
      <c r="G390" s="1">
        <v>128.6</v>
      </c>
      <c r="H390" s="1">
        <v>4</v>
      </c>
      <c r="I390" s="1">
        <v>1</v>
      </c>
      <c r="J390" s="1">
        <v>21</v>
      </c>
      <c r="K390" s="1">
        <v>27</v>
      </c>
    </row>
    <row r="391" spans="1:11" x14ac:dyDescent="0.3">
      <c r="A391" s="1" t="s">
        <v>1627</v>
      </c>
      <c r="B391" s="1" t="s">
        <v>40</v>
      </c>
      <c r="C391" s="1" t="s">
        <v>1043</v>
      </c>
      <c r="D391" s="1" t="s">
        <v>12</v>
      </c>
      <c r="E391" s="1" t="s">
        <v>1036</v>
      </c>
      <c r="F391" s="3" t="s">
        <v>988</v>
      </c>
      <c r="G391" s="1">
        <v>71.400000000000006</v>
      </c>
      <c r="H391" s="1">
        <v>0</v>
      </c>
      <c r="I391" s="1">
        <v>0</v>
      </c>
      <c r="J391" s="1">
        <v>7</v>
      </c>
      <c r="K391" s="1">
        <v>5</v>
      </c>
    </row>
    <row r="392" spans="1:11" x14ac:dyDescent="0.3">
      <c r="A392" s="1" t="s">
        <v>1134</v>
      </c>
      <c r="B392" s="1" t="s">
        <v>53</v>
      </c>
      <c r="C392" s="1" t="s">
        <v>1043</v>
      </c>
      <c r="D392" s="1" t="s">
        <v>54</v>
      </c>
      <c r="E392" s="1" t="s">
        <v>1036</v>
      </c>
      <c r="F392" s="3" t="s">
        <v>988</v>
      </c>
      <c r="G392" s="1">
        <v>148.9</v>
      </c>
      <c r="H392" s="1">
        <v>6</v>
      </c>
      <c r="I392" s="1">
        <v>2</v>
      </c>
      <c r="J392" s="1">
        <v>45</v>
      </c>
      <c r="K392" s="1">
        <v>67</v>
      </c>
    </row>
    <row r="393" spans="1:11" x14ac:dyDescent="0.3">
      <c r="A393" s="1" t="s">
        <v>1545</v>
      </c>
      <c r="B393" s="1" t="s">
        <v>8</v>
      </c>
      <c r="C393" s="1" t="s">
        <v>1043</v>
      </c>
      <c r="D393" s="1" t="s">
        <v>9</v>
      </c>
      <c r="E393" s="1" t="s">
        <v>1036</v>
      </c>
      <c r="F393" s="3" t="s">
        <v>988</v>
      </c>
      <c r="G393" s="1">
        <v>166.7</v>
      </c>
      <c r="H393" s="1">
        <v>1</v>
      </c>
      <c r="I393" s="1">
        <v>0</v>
      </c>
      <c r="J393" s="1">
        <v>6</v>
      </c>
      <c r="K393" s="1">
        <v>10</v>
      </c>
    </row>
    <row r="394" spans="1:11" x14ac:dyDescent="0.3">
      <c r="A394" s="1" t="s">
        <v>1189</v>
      </c>
      <c r="B394" s="1" t="s">
        <v>60</v>
      </c>
      <c r="C394" s="1" t="s">
        <v>1043</v>
      </c>
      <c r="D394" s="1" t="s">
        <v>12</v>
      </c>
      <c r="E394" s="1" t="s">
        <v>1036</v>
      </c>
      <c r="F394" s="3" t="s">
        <v>988</v>
      </c>
      <c r="G394" s="1">
        <v>151.4</v>
      </c>
      <c r="H394" s="1">
        <v>6</v>
      </c>
      <c r="I394" s="1">
        <v>1</v>
      </c>
      <c r="J394" s="1">
        <v>37</v>
      </c>
      <c r="K394" s="1">
        <v>56</v>
      </c>
    </row>
    <row r="395" spans="1:11" x14ac:dyDescent="0.3">
      <c r="A395" s="1" t="s">
        <v>1628</v>
      </c>
      <c r="B395" s="1" t="s">
        <v>581</v>
      </c>
      <c r="C395" s="1" t="s">
        <v>5</v>
      </c>
      <c r="D395" s="1" t="s">
        <v>19</v>
      </c>
      <c r="E395" s="1" t="s">
        <v>1047</v>
      </c>
      <c r="F395" s="3" t="s">
        <v>988</v>
      </c>
      <c r="G395" s="1">
        <v>38.5</v>
      </c>
      <c r="H395" s="1">
        <v>0</v>
      </c>
      <c r="I395" s="1">
        <v>0</v>
      </c>
      <c r="J395" s="1">
        <v>13</v>
      </c>
      <c r="K395" s="1">
        <v>5</v>
      </c>
    </row>
    <row r="396" spans="1:11" x14ac:dyDescent="0.3">
      <c r="A396" s="1" t="s">
        <v>1170</v>
      </c>
      <c r="B396" s="1" t="s">
        <v>576</v>
      </c>
      <c r="C396" s="1" t="s">
        <v>1043</v>
      </c>
      <c r="D396" s="1" t="s">
        <v>12</v>
      </c>
      <c r="E396" s="1" t="s">
        <v>1047</v>
      </c>
      <c r="F396" s="3" t="s">
        <v>988</v>
      </c>
      <c r="G396" s="1">
        <v>148.69999999999999</v>
      </c>
      <c r="H396" s="1">
        <v>6</v>
      </c>
      <c r="I396" s="1">
        <v>3</v>
      </c>
      <c r="J396" s="1">
        <v>39</v>
      </c>
      <c r="K396" s="1">
        <v>58</v>
      </c>
    </row>
    <row r="397" spans="1:11" x14ac:dyDescent="0.3">
      <c r="A397" s="1" t="s">
        <v>1629</v>
      </c>
      <c r="B397" s="1" t="s">
        <v>8</v>
      </c>
      <c r="C397" s="1" t="s">
        <v>1043</v>
      </c>
      <c r="D397" s="1" t="s">
        <v>12</v>
      </c>
      <c r="E397" s="1" t="s">
        <v>1047</v>
      </c>
      <c r="F397" s="3" t="s">
        <v>988</v>
      </c>
      <c r="G397" s="1">
        <v>55.6</v>
      </c>
      <c r="H397" s="1">
        <v>0</v>
      </c>
      <c r="I397" s="1">
        <v>0</v>
      </c>
      <c r="J397" s="1">
        <v>9</v>
      </c>
      <c r="K397" s="1">
        <v>5</v>
      </c>
    </row>
    <row r="398" spans="1:11" x14ac:dyDescent="0.3">
      <c r="A398" s="1" t="s">
        <v>1274</v>
      </c>
      <c r="B398" s="1" t="s">
        <v>581</v>
      </c>
      <c r="C398" s="1" t="s">
        <v>5</v>
      </c>
      <c r="D398" s="1" t="s">
        <v>12</v>
      </c>
      <c r="E398" s="1" t="s">
        <v>1047</v>
      </c>
      <c r="F398" s="3" t="s">
        <v>988</v>
      </c>
      <c r="G398" s="1">
        <v>137.9</v>
      </c>
      <c r="H398" s="1">
        <v>3</v>
      </c>
      <c r="I398" s="1">
        <v>1</v>
      </c>
      <c r="J398" s="1">
        <v>29</v>
      </c>
      <c r="K398" s="1">
        <v>40</v>
      </c>
    </row>
    <row r="399" spans="1:11" x14ac:dyDescent="0.3">
      <c r="A399" s="1" t="s">
        <v>1747</v>
      </c>
      <c r="B399" s="1" t="s">
        <v>60</v>
      </c>
      <c r="C399" s="1" t="s">
        <v>1043</v>
      </c>
      <c r="D399" s="1" t="s">
        <v>103</v>
      </c>
      <c r="E399" s="1" t="s">
        <v>1047</v>
      </c>
      <c r="F399" s="3" t="s">
        <v>988</v>
      </c>
      <c r="G399" s="1">
        <v>0</v>
      </c>
      <c r="H399" s="1">
        <v>0</v>
      </c>
      <c r="I399" s="1">
        <v>0</v>
      </c>
      <c r="J399" s="1">
        <v>2</v>
      </c>
      <c r="K399" s="1">
        <v>0</v>
      </c>
    </row>
    <row r="400" spans="1:11" x14ac:dyDescent="0.3">
      <c r="A400" s="1" t="s">
        <v>1653</v>
      </c>
      <c r="B400" s="1" t="s">
        <v>53</v>
      </c>
      <c r="C400" s="1" t="s">
        <v>1043</v>
      </c>
      <c r="D400" s="1" t="s">
        <v>12</v>
      </c>
      <c r="E400" s="1" t="s">
        <v>1047</v>
      </c>
      <c r="F400" s="3" t="s">
        <v>988</v>
      </c>
      <c r="G400" s="1">
        <v>100</v>
      </c>
      <c r="H400" s="1">
        <v>0</v>
      </c>
      <c r="I400" s="1">
        <v>0</v>
      </c>
      <c r="J400" s="1">
        <v>4</v>
      </c>
      <c r="K400" s="1">
        <v>4</v>
      </c>
    </row>
    <row r="401" spans="1:11" x14ac:dyDescent="0.3">
      <c r="A401" s="1" t="s">
        <v>1693</v>
      </c>
      <c r="B401" s="1" t="s">
        <v>11</v>
      </c>
      <c r="C401" s="1" t="s">
        <v>1043</v>
      </c>
      <c r="D401" s="1" t="s">
        <v>12</v>
      </c>
      <c r="E401" s="1" t="s">
        <v>1047</v>
      </c>
      <c r="F401" s="3" t="s">
        <v>988</v>
      </c>
      <c r="G401" s="1">
        <v>33.299999999999997</v>
      </c>
      <c r="H401" s="1">
        <v>0</v>
      </c>
      <c r="I401" s="1">
        <v>0</v>
      </c>
      <c r="J401" s="1">
        <v>6</v>
      </c>
      <c r="K401" s="1">
        <v>2</v>
      </c>
    </row>
    <row r="402" spans="1:11" x14ac:dyDescent="0.3">
      <c r="A402" s="1" t="s">
        <v>1672</v>
      </c>
      <c r="B402" s="1" t="s">
        <v>576</v>
      </c>
      <c r="C402" s="1" t="s">
        <v>1043</v>
      </c>
      <c r="D402" s="1" t="s">
        <v>100</v>
      </c>
      <c r="E402" s="1" t="s">
        <v>1047</v>
      </c>
      <c r="F402" s="3" t="s">
        <v>988</v>
      </c>
      <c r="G402" s="1">
        <v>42.9</v>
      </c>
      <c r="H402" s="1">
        <v>0</v>
      </c>
      <c r="I402" s="1">
        <v>0</v>
      </c>
      <c r="J402" s="1">
        <v>7</v>
      </c>
      <c r="K402" s="1">
        <v>3</v>
      </c>
    </row>
    <row r="403" spans="1:11" x14ac:dyDescent="0.3">
      <c r="A403" s="1" t="s">
        <v>1122</v>
      </c>
      <c r="B403" s="1" t="s">
        <v>15</v>
      </c>
      <c r="C403" s="1" t="s">
        <v>16</v>
      </c>
      <c r="D403" s="1" t="s">
        <v>25</v>
      </c>
      <c r="E403" s="1" t="s">
        <v>977</v>
      </c>
      <c r="F403" s="3" t="s">
        <v>995</v>
      </c>
      <c r="G403" s="1">
        <v>107.7</v>
      </c>
      <c r="H403" s="1">
        <v>5</v>
      </c>
      <c r="I403" s="1">
        <v>3</v>
      </c>
      <c r="J403" s="1">
        <v>65</v>
      </c>
      <c r="K403" s="1">
        <v>70</v>
      </c>
    </row>
    <row r="404" spans="1:11" x14ac:dyDescent="0.3">
      <c r="A404" s="1" t="s">
        <v>1531</v>
      </c>
      <c r="B404" s="1" t="s">
        <v>15</v>
      </c>
      <c r="C404" s="1" t="s">
        <v>16</v>
      </c>
      <c r="D404" s="1" t="s">
        <v>29</v>
      </c>
      <c r="E404" s="1" t="s">
        <v>977</v>
      </c>
      <c r="F404" s="3" t="s">
        <v>995</v>
      </c>
      <c r="G404" s="1">
        <v>57.9</v>
      </c>
      <c r="H404" s="1">
        <v>2</v>
      </c>
      <c r="I404" s="1">
        <v>0</v>
      </c>
      <c r="J404" s="1">
        <v>19</v>
      </c>
      <c r="K404" s="1">
        <v>11</v>
      </c>
    </row>
    <row r="405" spans="1:11" x14ac:dyDescent="0.3">
      <c r="A405" s="1" t="s">
        <v>1493</v>
      </c>
      <c r="B405" s="1" t="s">
        <v>15</v>
      </c>
      <c r="C405" s="1" t="s">
        <v>16</v>
      </c>
      <c r="D405" s="1" t="s">
        <v>173</v>
      </c>
      <c r="E405" s="1" t="s">
        <v>977</v>
      </c>
      <c r="F405" s="3" t="s">
        <v>995</v>
      </c>
      <c r="G405" s="1">
        <v>61.9</v>
      </c>
      <c r="H405" s="1">
        <v>2</v>
      </c>
      <c r="I405" s="1">
        <v>0</v>
      </c>
      <c r="J405" s="1">
        <v>21</v>
      </c>
      <c r="K405" s="1">
        <v>13</v>
      </c>
    </row>
    <row r="406" spans="1:11" x14ac:dyDescent="0.3">
      <c r="A406" s="1" t="s">
        <v>1469</v>
      </c>
      <c r="B406" s="1" t="s">
        <v>15</v>
      </c>
      <c r="C406" s="1" t="s">
        <v>16</v>
      </c>
      <c r="D406" s="1" t="s">
        <v>9</v>
      </c>
      <c r="E406" s="1" t="s">
        <v>977</v>
      </c>
      <c r="F406" s="3" t="s">
        <v>995</v>
      </c>
      <c r="G406" s="1">
        <v>55.6</v>
      </c>
      <c r="H406" s="1">
        <v>1</v>
      </c>
      <c r="I406" s="1">
        <v>1</v>
      </c>
      <c r="J406" s="1">
        <v>27</v>
      </c>
      <c r="K406" s="1">
        <v>15</v>
      </c>
    </row>
    <row r="407" spans="1:11" x14ac:dyDescent="0.3">
      <c r="A407" s="1" t="s">
        <v>1482</v>
      </c>
      <c r="B407" s="1" t="s">
        <v>15</v>
      </c>
      <c r="C407" s="1" t="s">
        <v>16</v>
      </c>
      <c r="D407" s="1" t="s">
        <v>154</v>
      </c>
      <c r="E407" s="1" t="s">
        <v>977</v>
      </c>
      <c r="F407" s="3" t="s">
        <v>995</v>
      </c>
      <c r="G407" s="1">
        <v>53.8</v>
      </c>
      <c r="H407" s="1">
        <v>1</v>
      </c>
      <c r="I407" s="1">
        <v>1</v>
      </c>
      <c r="J407" s="1">
        <v>26</v>
      </c>
      <c r="K407" s="1">
        <v>14</v>
      </c>
    </row>
    <row r="408" spans="1:11" x14ac:dyDescent="0.3">
      <c r="A408" s="1" t="s">
        <v>1216</v>
      </c>
      <c r="B408" s="1" t="s">
        <v>15</v>
      </c>
      <c r="C408" s="1" t="s">
        <v>83</v>
      </c>
      <c r="D408" s="1" t="s">
        <v>17</v>
      </c>
      <c r="E408" s="1" t="s">
        <v>977</v>
      </c>
      <c r="F408" s="3" t="s">
        <v>995</v>
      </c>
      <c r="G408" s="1">
        <v>80.900000000000006</v>
      </c>
      <c r="H408" s="1">
        <v>3</v>
      </c>
      <c r="I408" s="1">
        <v>2</v>
      </c>
      <c r="J408" s="1">
        <v>92</v>
      </c>
      <c r="K408" s="1">
        <v>51</v>
      </c>
    </row>
    <row r="409" spans="1:11" x14ac:dyDescent="0.3">
      <c r="A409" s="1" t="s">
        <v>1081</v>
      </c>
      <c r="B409" s="1" t="s">
        <v>15</v>
      </c>
      <c r="C409" s="1" t="s">
        <v>83</v>
      </c>
      <c r="D409" s="1" t="s">
        <v>139</v>
      </c>
      <c r="E409" s="1" t="s">
        <v>1009</v>
      </c>
      <c r="F409" s="3" t="s">
        <v>995</v>
      </c>
      <c r="G409" s="1">
        <v>39.35</v>
      </c>
      <c r="H409" s="1">
        <v>9</v>
      </c>
      <c r="I409" s="1">
        <v>2</v>
      </c>
      <c r="J409" s="1">
        <v>151</v>
      </c>
      <c r="K409" s="1">
        <v>84</v>
      </c>
    </row>
    <row r="410" spans="1:11" x14ac:dyDescent="0.3">
      <c r="A410" s="1" t="s">
        <v>1054</v>
      </c>
      <c r="B410" s="1" t="s">
        <v>15</v>
      </c>
      <c r="C410" s="1" t="s">
        <v>83</v>
      </c>
      <c r="D410" s="1" t="s">
        <v>107</v>
      </c>
      <c r="E410" s="1" t="s">
        <v>1009</v>
      </c>
      <c r="F410" s="3" t="s">
        <v>995</v>
      </c>
      <c r="G410" s="1">
        <v>62.649999999999991</v>
      </c>
      <c r="H410" s="1">
        <v>11</v>
      </c>
      <c r="I410" s="1">
        <v>1</v>
      </c>
      <c r="J410" s="1">
        <v>185</v>
      </c>
      <c r="K410" s="1">
        <v>103</v>
      </c>
    </row>
    <row r="411" spans="1:11" x14ac:dyDescent="0.3">
      <c r="A411" s="1" t="s">
        <v>1546</v>
      </c>
      <c r="B411" s="1" t="s">
        <v>208</v>
      </c>
      <c r="C411" s="1" t="s">
        <v>5</v>
      </c>
      <c r="D411" s="1" t="s">
        <v>281</v>
      </c>
      <c r="E411" s="1" t="s">
        <v>1021</v>
      </c>
      <c r="F411" s="3" t="s">
        <v>995</v>
      </c>
      <c r="G411" s="1">
        <v>125</v>
      </c>
      <c r="H411" s="1">
        <v>0</v>
      </c>
      <c r="I411" s="1">
        <v>1</v>
      </c>
      <c r="J411" s="1">
        <v>8</v>
      </c>
      <c r="K411" s="1">
        <v>10</v>
      </c>
    </row>
    <row r="412" spans="1:11" x14ac:dyDescent="0.3">
      <c r="A412" s="1" t="s">
        <v>1156</v>
      </c>
      <c r="B412" s="1" t="s">
        <v>208</v>
      </c>
      <c r="C412" s="1" t="s">
        <v>5</v>
      </c>
      <c r="D412" s="1" t="s">
        <v>281</v>
      </c>
      <c r="E412" s="1" t="s">
        <v>1021</v>
      </c>
      <c r="F412" s="3" t="s">
        <v>995</v>
      </c>
      <c r="G412" s="1">
        <v>221.4</v>
      </c>
      <c r="H412" s="1">
        <v>4</v>
      </c>
      <c r="I412" s="1">
        <v>4</v>
      </c>
      <c r="J412" s="1">
        <v>28</v>
      </c>
      <c r="K412" s="1">
        <v>62</v>
      </c>
    </row>
    <row r="413" spans="1:11" x14ac:dyDescent="0.3">
      <c r="A413" s="1" t="s">
        <v>1220</v>
      </c>
      <c r="B413" s="1" t="s">
        <v>208</v>
      </c>
      <c r="C413" s="1" t="s">
        <v>83</v>
      </c>
      <c r="D413" s="1" t="s">
        <v>126</v>
      </c>
      <c r="E413" s="1" t="s">
        <v>1021</v>
      </c>
      <c r="F413" s="3" t="s">
        <v>995</v>
      </c>
      <c r="G413" s="1">
        <v>54.25</v>
      </c>
      <c r="H413" s="1">
        <v>3</v>
      </c>
      <c r="I413" s="1">
        <v>3</v>
      </c>
      <c r="J413" s="1">
        <v>90</v>
      </c>
      <c r="K413" s="1">
        <v>50</v>
      </c>
    </row>
    <row r="414" spans="1:11" x14ac:dyDescent="0.3">
      <c r="A414" s="1" t="s">
        <v>1330</v>
      </c>
      <c r="B414" s="1" t="s">
        <v>581</v>
      </c>
      <c r="C414" s="1" t="s">
        <v>5</v>
      </c>
      <c r="D414" s="1" t="s">
        <v>107</v>
      </c>
      <c r="E414" s="1" t="s">
        <v>1036</v>
      </c>
      <c r="F414" s="3" t="s">
        <v>995</v>
      </c>
      <c r="G414" s="1">
        <v>176.5</v>
      </c>
      <c r="H414" s="1">
        <v>4</v>
      </c>
      <c r="I414" s="1">
        <v>2</v>
      </c>
      <c r="J414" s="1">
        <v>17</v>
      </c>
      <c r="K414" s="1">
        <v>30</v>
      </c>
    </row>
    <row r="415" spans="1:11" x14ac:dyDescent="0.3">
      <c r="A415" s="1" t="s">
        <v>1323</v>
      </c>
      <c r="B415" s="1" t="s">
        <v>8</v>
      </c>
      <c r="C415" s="1" t="s">
        <v>1043</v>
      </c>
      <c r="D415" s="1" t="s">
        <v>25</v>
      </c>
      <c r="E415" s="1" t="s">
        <v>1036</v>
      </c>
      <c r="F415" s="3" t="s">
        <v>995</v>
      </c>
      <c r="G415" s="1">
        <v>147.6</v>
      </c>
      <c r="H415" s="1">
        <v>1</v>
      </c>
      <c r="I415" s="1">
        <v>3</v>
      </c>
      <c r="J415" s="1">
        <v>21</v>
      </c>
      <c r="K415" s="1">
        <v>31</v>
      </c>
    </row>
    <row r="416" spans="1:11" x14ac:dyDescent="0.3">
      <c r="A416" s="1" t="s">
        <v>1470</v>
      </c>
      <c r="B416" s="1" t="s">
        <v>40</v>
      </c>
      <c r="C416" s="1" t="s">
        <v>1043</v>
      </c>
      <c r="D416" s="1" t="s">
        <v>25</v>
      </c>
      <c r="E416" s="1" t="s">
        <v>1036</v>
      </c>
      <c r="F416" s="3" t="s">
        <v>995</v>
      </c>
      <c r="G416" s="1">
        <v>62.5</v>
      </c>
      <c r="H416" s="1">
        <v>1</v>
      </c>
      <c r="I416" s="1">
        <v>0</v>
      </c>
      <c r="J416" s="1">
        <v>24</v>
      </c>
      <c r="K416" s="1">
        <v>15</v>
      </c>
    </row>
    <row r="417" spans="1:11" x14ac:dyDescent="0.3">
      <c r="A417" s="1" t="s">
        <v>1369</v>
      </c>
      <c r="B417" s="1" t="s">
        <v>60</v>
      </c>
      <c r="C417" s="1" t="s">
        <v>1043</v>
      </c>
      <c r="D417" s="1" t="s">
        <v>103</v>
      </c>
      <c r="E417" s="1" t="s">
        <v>1036</v>
      </c>
      <c r="F417" s="3" t="s">
        <v>995</v>
      </c>
      <c r="G417" s="1">
        <v>104.2</v>
      </c>
      <c r="H417" s="1">
        <v>3</v>
      </c>
      <c r="I417" s="1">
        <v>0</v>
      </c>
      <c r="J417" s="1">
        <v>24</v>
      </c>
      <c r="K417" s="1">
        <v>25</v>
      </c>
    </row>
    <row r="418" spans="1:11" x14ac:dyDescent="0.3">
      <c r="A418" s="1" t="s">
        <v>1630</v>
      </c>
      <c r="B418" s="1" t="s">
        <v>53</v>
      </c>
      <c r="C418" s="1" t="s">
        <v>1043</v>
      </c>
      <c r="D418" s="1" t="s">
        <v>25</v>
      </c>
      <c r="E418" s="1" t="s">
        <v>1036</v>
      </c>
      <c r="F418" s="3" t="s">
        <v>995</v>
      </c>
      <c r="G418" s="1">
        <v>166.7</v>
      </c>
      <c r="H418" s="1">
        <v>1</v>
      </c>
      <c r="I418" s="1">
        <v>0</v>
      </c>
      <c r="J418" s="1">
        <v>3</v>
      </c>
      <c r="K418" s="1">
        <v>5</v>
      </c>
    </row>
    <row r="419" spans="1:11" x14ac:dyDescent="0.3">
      <c r="A419" s="1" t="s">
        <v>1080</v>
      </c>
      <c r="B419" s="1" t="s">
        <v>576</v>
      </c>
      <c r="C419" s="1" t="s">
        <v>1043</v>
      </c>
      <c r="D419" s="1" t="s">
        <v>100</v>
      </c>
      <c r="E419" s="1" t="s">
        <v>1036</v>
      </c>
      <c r="F419" s="3" t="s">
        <v>995</v>
      </c>
      <c r="G419" s="1">
        <v>141.69999999999999</v>
      </c>
      <c r="H419" s="1">
        <v>8</v>
      </c>
      <c r="I419" s="1">
        <v>3</v>
      </c>
      <c r="J419" s="1">
        <v>60</v>
      </c>
      <c r="K419" s="1">
        <v>85</v>
      </c>
    </row>
    <row r="420" spans="1:11" x14ac:dyDescent="0.3">
      <c r="A420" s="1" t="s">
        <v>1128</v>
      </c>
      <c r="B420" s="1" t="s">
        <v>11</v>
      </c>
      <c r="C420" s="1" t="s">
        <v>1043</v>
      </c>
      <c r="D420" s="1" t="s">
        <v>12</v>
      </c>
      <c r="E420" s="1" t="s">
        <v>1047</v>
      </c>
      <c r="F420" s="3" t="s">
        <v>995</v>
      </c>
      <c r="G420" s="1">
        <v>138.80000000000001</v>
      </c>
      <c r="H420" s="1">
        <v>8</v>
      </c>
      <c r="I420" s="1">
        <v>2</v>
      </c>
      <c r="J420" s="1">
        <v>49</v>
      </c>
      <c r="K420" s="1">
        <v>68</v>
      </c>
    </row>
    <row r="421" spans="1:11" x14ac:dyDescent="0.3">
      <c r="A421" s="1" t="s">
        <v>1748</v>
      </c>
      <c r="B421" s="1" t="s">
        <v>40</v>
      </c>
      <c r="C421" s="1" t="s">
        <v>1043</v>
      </c>
      <c r="D421" s="1" t="s">
        <v>173</v>
      </c>
      <c r="E421" s="1" t="s">
        <v>1047</v>
      </c>
      <c r="F421" s="3" t="s">
        <v>995</v>
      </c>
      <c r="G421" s="1">
        <v>0</v>
      </c>
      <c r="H421" s="1">
        <v>0</v>
      </c>
      <c r="I421" s="1">
        <v>0</v>
      </c>
      <c r="J421" s="1">
        <v>2</v>
      </c>
      <c r="K421" s="1">
        <v>0</v>
      </c>
    </row>
    <row r="422" spans="1:11" x14ac:dyDescent="0.3">
      <c r="A422" s="1" t="s">
        <v>1140</v>
      </c>
      <c r="B422" s="1" t="s">
        <v>8</v>
      </c>
      <c r="C422" s="1" t="s">
        <v>1043</v>
      </c>
      <c r="D422" s="1" t="s">
        <v>9</v>
      </c>
      <c r="E422" s="1" t="s">
        <v>1047</v>
      </c>
      <c r="F422" s="3" t="s">
        <v>995</v>
      </c>
      <c r="G422" s="1">
        <v>135.4</v>
      </c>
      <c r="H422" s="1">
        <v>7</v>
      </c>
      <c r="I422" s="1">
        <v>1</v>
      </c>
      <c r="J422" s="1">
        <v>48</v>
      </c>
      <c r="K422" s="1">
        <v>65</v>
      </c>
    </row>
    <row r="423" spans="1:11" x14ac:dyDescent="0.3">
      <c r="A423" s="1" t="s">
        <v>1157</v>
      </c>
      <c r="B423" s="1" t="s">
        <v>60</v>
      </c>
      <c r="C423" s="1" t="s">
        <v>1043</v>
      </c>
      <c r="D423" s="1" t="s">
        <v>12</v>
      </c>
      <c r="E423" s="1" t="s">
        <v>1047</v>
      </c>
      <c r="F423" s="3" t="s">
        <v>995</v>
      </c>
      <c r="G423" s="1">
        <v>140.9</v>
      </c>
      <c r="H423" s="1">
        <v>4</v>
      </c>
      <c r="I423" s="1">
        <v>3</v>
      </c>
      <c r="J423" s="1">
        <v>44</v>
      </c>
      <c r="K423" s="1">
        <v>62</v>
      </c>
    </row>
    <row r="424" spans="1:11" x14ac:dyDescent="0.3">
      <c r="A424" s="1" t="s">
        <v>1631</v>
      </c>
      <c r="B424" s="1" t="s">
        <v>53</v>
      </c>
      <c r="C424" s="1" t="s">
        <v>1043</v>
      </c>
      <c r="D424" s="1" t="s">
        <v>54</v>
      </c>
      <c r="E424" s="1" t="s">
        <v>1047</v>
      </c>
      <c r="F424" s="3" t="s">
        <v>995</v>
      </c>
      <c r="G424" s="1">
        <v>62.5</v>
      </c>
      <c r="H424" s="1">
        <v>0</v>
      </c>
      <c r="I424" s="1">
        <v>0</v>
      </c>
      <c r="J424" s="1">
        <v>8</v>
      </c>
      <c r="K424" s="1">
        <v>5</v>
      </c>
    </row>
    <row r="425" spans="1:11" x14ac:dyDescent="0.3">
      <c r="A425" s="1" t="s">
        <v>1599</v>
      </c>
      <c r="B425" s="1" t="s">
        <v>581</v>
      </c>
      <c r="C425" s="1" t="s">
        <v>5</v>
      </c>
      <c r="D425" s="1" t="s">
        <v>12</v>
      </c>
      <c r="E425" s="1" t="s">
        <v>1047</v>
      </c>
      <c r="F425" s="3" t="s">
        <v>995</v>
      </c>
      <c r="G425" s="1">
        <v>77.8</v>
      </c>
      <c r="H425" s="1">
        <v>1</v>
      </c>
      <c r="I425" s="1">
        <v>0</v>
      </c>
      <c r="J425" s="1">
        <v>9</v>
      </c>
      <c r="K425" s="1">
        <v>7</v>
      </c>
    </row>
    <row r="426" spans="1:11" x14ac:dyDescent="0.3">
      <c r="A426" s="1" t="s">
        <v>1082</v>
      </c>
      <c r="B426" s="1" t="s">
        <v>11</v>
      </c>
      <c r="C426" s="1" t="s">
        <v>1043</v>
      </c>
      <c r="D426" s="1" t="s">
        <v>139</v>
      </c>
      <c r="E426" s="1" t="s">
        <v>1047</v>
      </c>
      <c r="F426" s="3" t="s">
        <v>995</v>
      </c>
      <c r="G426" s="1">
        <v>155.6</v>
      </c>
      <c r="H426" s="1">
        <v>10</v>
      </c>
      <c r="I426" s="1">
        <v>2</v>
      </c>
      <c r="J426" s="1">
        <v>54</v>
      </c>
      <c r="K426" s="1">
        <v>84</v>
      </c>
    </row>
    <row r="427" spans="1:11" x14ac:dyDescent="0.3">
      <c r="A427" s="1" t="s">
        <v>1600</v>
      </c>
      <c r="B427" s="1" t="s">
        <v>576</v>
      </c>
      <c r="C427" s="1" t="s">
        <v>1043</v>
      </c>
      <c r="D427" s="1" t="s">
        <v>12</v>
      </c>
      <c r="E427" s="1" t="s">
        <v>1047</v>
      </c>
      <c r="F427" s="3" t="s">
        <v>995</v>
      </c>
      <c r="G427" s="1">
        <v>140</v>
      </c>
      <c r="H427" s="1">
        <v>1</v>
      </c>
      <c r="I427" s="1">
        <v>0</v>
      </c>
      <c r="J427" s="1">
        <v>5</v>
      </c>
      <c r="K427" s="1">
        <v>7</v>
      </c>
    </row>
    <row r="428" spans="1:11" x14ac:dyDescent="0.3">
      <c r="A428" s="1" t="s">
        <v>1259</v>
      </c>
      <c r="B428" s="1" t="s">
        <v>208</v>
      </c>
      <c r="C428" s="1" t="s">
        <v>5</v>
      </c>
      <c r="D428" s="1" t="s">
        <v>12</v>
      </c>
      <c r="E428" s="1" t="s">
        <v>1016</v>
      </c>
      <c r="F428" s="3" t="s">
        <v>995</v>
      </c>
      <c r="G428" s="1">
        <v>138.69999999999999</v>
      </c>
      <c r="H428" s="1">
        <v>3</v>
      </c>
      <c r="I428" s="1">
        <v>3</v>
      </c>
      <c r="J428" s="1">
        <v>31</v>
      </c>
      <c r="K428" s="1">
        <v>43</v>
      </c>
    </row>
    <row r="429" spans="1:11" x14ac:dyDescent="0.3">
      <c r="A429" s="1" t="s">
        <v>1510</v>
      </c>
      <c r="B429" s="1" t="s">
        <v>32</v>
      </c>
      <c r="C429" s="1" t="s">
        <v>5</v>
      </c>
      <c r="D429" s="1" t="s">
        <v>173</v>
      </c>
      <c r="E429" s="1" t="s">
        <v>1016</v>
      </c>
      <c r="F429" s="3" t="s">
        <v>995</v>
      </c>
      <c r="G429" s="1">
        <v>70.599999999999994</v>
      </c>
      <c r="H429" s="1">
        <v>1</v>
      </c>
      <c r="I429" s="1">
        <v>0</v>
      </c>
      <c r="J429" s="1">
        <v>17</v>
      </c>
      <c r="K429" s="1">
        <v>12</v>
      </c>
    </row>
    <row r="430" spans="1:11" x14ac:dyDescent="0.3">
      <c r="A430" s="1" t="s">
        <v>1437</v>
      </c>
      <c r="B430" s="1" t="s">
        <v>73</v>
      </c>
      <c r="C430" s="1" t="s">
        <v>5</v>
      </c>
      <c r="D430" s="1" t="s">
        <v>103</v>
      </c>
      <c r="E430" s="1" t="s">
        <v>1016</v>
      </c>
      <c r="F430" s="3" t="s">
        <v>995</v>
      </c>
      <c r="G430" s="1">
        <v>112.5</v>
      </c>
      <c r="H430" s="1">
        <v>1</v>
      </c>
      <c r="I430" s="1">
        <v>1</v>
      </c>
      <c r="J430" s="1">
        <v>16</v>
      </c>
      <c r="K430" s="1">
        <v>18</v>
      </c>
    </row>
    <row r="431" spans="1:11" x14ac:dyDescent="0.3">
      <c r="A431" s="1" t="s">
        <v>1547</v>
      </c>
      <c r="B431" s="1" t="s">
        <v>71</v>
      </c>
      <c r="C431" s="1" t="s">
        <v>5</v>
      </c>
      <c r="D431" s="1" t="s">
        <v>139</v>
      </c>
      <c r="E431" s="1" t="s">
        <v>1016</v>
      </c>
      <c r="F431" s="3" t="s">
        <v>995</v>
      </c>
      <c r="G431" s="1">
        <v>90.9</v>
      </c>
      <c r="H431" s="1">
        <v>2</v>
      </c>
      <c r="I431" s="1">
        <v>0</v>
      </c>
      <c r="J431" s="1">
        <v>11</v>
      </c>
      <c r="K431" s="1">
        <v>10</v>
      </c>
    </row>
    <row r="432" spans="1:11" x14ac:dyDescent="0.3">
      <c r="A432" s="1" t="s">
        <v>1632</v>
      </c>
      <c r="B432" s="1" t="s">
        <v>15</v>
      </c>
      <c r="C432" s="1" t="s">
        <v>5</v>
      </c>
      <c r="D432" s="1" t="s">
        <v>80</v>
      </c>
      <c r="E432" s="1" t="s">
        <v>1016</v>
      </c>
      <c r="F432" s="3" t="s">
        <v>995</v>
      </c>
      <c r="G432" s="1">
        <v>71.400000000000006</v>
      </c>
      <c r="H432" s="1">
        <v>0</v>
      </c>
      <c r="I432" s="1">
        <v>0</v>
      </c>
      <c r="J432" s="1">
        <v>7</v>
      </c>
      <c r="K432" s="1">
        <v>5</v>
      </c>
    </row>
    <row r="433" spans="1:11" x14ac:dyDescent="0.3">
      <c r="A433" s="1" t="s">
        <v>1710</v>
      </c>
      <c r="B433" s="1" t="s">
        <v>73</v>
      </c>
      <c r="C433" s="1" t="s">
        <v>5</v>
      </c>
      <c r="D433" s="1" t="s">
        <v>259</v>
      </c>
      <c r="E433" s="1" t="s">
        <v>1016</v>
      </c>
      <c r="F433" s="3" t="s">
        <v>995</v>
      </c>
      <c r="G433" s="1">
        <v>20</v>
      </c>
      <c r="H433" s="1">
        <v>0</v>
      </c>
      <c r="I433" s="1">
        <v>0</v>
      </c>
      <c r="J433" s="1">
        <v>5</v>
      </c>
      <c r="K433" s="1">
        <v>1</v>
      </c>
    </row>
    <row r="434" spans="1:11" x14ac:dyDescent="0.3">
      <c r="A434" s="1" t="s">
        <v>1277</v>
      </c>
      <c r="B434" s="1" t="s">
        <v>625</v>
      </c>
      <c r="C434" s="1" t="s">
        <v>5</v>
      </c>
      <c r="D434" s="1" t="s">
        <v>259</v>
      </c>
      <c r="E434" s="1" t="s">
        <v>1016</v>
      </c>
      <c r="F434" s="3" t="s">
        <v>995</v>
      </c>
      <c r="G434" s="1">
        <v>139.30000000000001</v>
      </c>
      <c r="H434" s="1">
        <v>7</v>
      </c>
      <c r="I434" s="1">
        <v>1</v>
      </c>
      <c r="J434" s="1">
        <v>28</v>
      </c>
      <c r="K434" s="1">
        <v>39</v>
      </c>
    </row>
    <row r="435" spans="1:11" x14ac:dyDescent="0.3">
      <c r="A435" s="1" t="s">
        <v>1471</v>
      </c>
      <c r="B435" s="1" t="s">
        <v>115</v>
      </c>
      <c r="C435" s="1" t="s">
        <v>5</v>
      </c>
      <c r="D435" s="1" t="s">
        <v>259</v>
      </c>
      <c r="E435" s="1" t="s">
        <v>1016</v>
      </c>
      <c r="F435" s="3" t="s">
        <v>995</v>
      </c>
      <c r="G435" s="1">
        <v>107.1</v>
      </c>
      <c r="H435" s="1">
        <v>3</v>
      </c>
      <c r="I435" s="1">
        <v>0</v>
      </c>
      <c r="J435" s="1">
        <v>14</v>
      </c>
      <c r="K435" s="1">
        <v>15</v>
      </c>
    </row>
    <row r="436" spans="1:11" x14ac:dyDescent="0.3">
      <c r="A436" s="1" t="s">
        <v>1749</v>
      </c>
      <c r="B436" s="1" t="s">
        <v>71</v>
      </c>
      <c r="C436" s="1" t="s">
        <v>5</v>
      </c>
      <c r="D436" s="1" t="s">
        <v>259</v>
      </c>
      <c r="E436" s="1" t="s">
        <v>990</v>
      </c>
      <c r="F436" s="3" t="s">
        <v>995</v>
      </c>
      <c r="G436" s="1">
        <v>0</v>
      </c>
      <c r="H436" s="1">
        <v>0</v>
      </c>
      <c r="I436" s="1">
        <v>0</v>
      </c>
      <c r="J436" s="1">
        <v>2</v>
      </c>
      <c r="K436" s="1">
        <v>0</v>
      </c>
    </row>
    <row r="437" spans="1:11" x14ac:dyDescent="0.3">
      <c r="A437" s="1" t="s">
        <v>1085</v>
      </c>
      <c r="B437" s="1" t="s">
        <v>73</v>
      </c>
      <c r="C437" s="1" t="s">
        <v>5</v>
      </c>
      <c r="D437" s="1" t="s">
        <v>259</v>
      </c>
      <c r="E437" s="1" t="s">
        <v>990</v>
      </c>
      <c r="F437" s="3" t="s">
        <v>995</v>
      </c>
      <c r="G437" s="1">
        <v>150.9</v>
      </c>
      <c r="H437" s="1">
        <v>7</v>
      </c>
      <c r="I437" s="1">
        <v>3</v>
      </c>
      <c r="J437" s="1">
        <v>55</v>
      </c>
      <c r="K437" s="1">
        <v>83</v>
      </c>
    </row>
    <row r="438" spans="1:11" x14ac:dyDescent="0.3">
      <c r="A438" s="1" t="s">
        <v>1494</v>
      </c>
      <c r="B438" s="1" t="s">
        <v>115</v>
      </c>
      <c r="C438" s="1" t="s">
        <v>5</v>
      </c>
      <c r="D438" s="1" t="s">
        <v>25</v>
      </c>
      <c r="E438" s="1" t="s">
        <v>990</v>
      </c>
      <c r="F438" s="3" t="s">
        <v>995</v>
      </c>
      <c r="G438" s="1">
        <v>100</v>
      </c>
      <c r="H438" s="1">
        <v>1</v>
      </c>
      <c r="I438" s="1">
        <v>1</v>
      </c>
      <c r="J438" s="1">
        <v>13</v>
      </c>
      <c r="K438" s="1">
        <v>13</v>
      </c>
    </row>
    <row r="439" spans="1:11" x14ac:dyDescent="0.3">
      <c r="A439" s="1" t="s">
        <v>1260</v>
      </c>
      <c r="B439" s="1" t="s">
        <v>115</v>
      </c>
      <c r="C439" s="1" t="s">
        <v>5</v>
      </c>
      <c r="D439" s="1" t="s">
        <v>29</v>
      </c>
      <c r="E439" s="1" t="s">
        <v>990</v>
      </c>
      <c r="F439" s="3" t="s">
        <v>995</v>
      </c>
      <c r="G439" s="1">
        <v>119.4</v>
      </c>
      <c r="H439" s="1">
        <v>2</v>
      </c>
      <c r="I439" s="1">
        <v>1</v>
      </c>
      <c r="J439" s="1">
        <v>36</v>
      </c>
      <c r="K439" s="1">
        <v>43</v>
      </c>
    </row>
    <row r="440" spans="1:11" x14ac:dyDescent="0.3">
      <c r="A440" s="1" t="s">
        <v>1750</v>
      </c>
      <c r="B440" s="1" t="s">
        <v>115</v>
      </c>
      <c r="C440" s="1" t="s">
        <v>5</v>
      </c>
      <c r="D440" s="1" t="s">
        <v>100</v>
      </c>
      <c r="E440" s="1" t="s">
        <v>990</v>
      </c>
      <c r="F440" s="3" t="s">
        <v>995</v>
      </c>
      <c r="G440" s="1">
        <v>0</v>
      </c>
      <c r="H440" s="1">
        <v>0</v>
      </c>
      <c r="I440" s="1">
        <v>0</v>
      </c>
      <c r="J440" s="1">
        <v>2</v>
      </c>
      <c r="K440" s="1">
        <v>0</v>
      </c>
    </row>
    <row r="441" spans="1:11" x14ac:dyDescent="0.3">
      <c r="A441" s="1" t="s">
        <v>1205</v>
      </c>
      <c r="B441" s="1" t="s">
        <v>32</v>
      </c>
      <c r="C441" s="1" t="s">
        <v>5</v>
      </c>
      <c r="D441" s="1" t="s">
        <v>33</v>
      </c>
      <c r="E441" s="1" t="s">
        <v>994</v>
      </c>
      <c r="F441" s="3" t="s">
        <v>995</v>
      </c>
      <c r="G441" s="1">
        <v>136.80000000000001</v>
      </c>
      <c r="H441" s="1">
        <v>5</v>
      </c>
      <c r="I441" s="1">
        <v>1</v>
      </c>
      <c r="J441" s="1">
        <v>38</v>
      </c>
      <c r="K441" s="1">
        <v>52</v>
      </c>
    </row>
    <row r="442" spans="1:11" x14ac:dyDescent="0.3">
      <c r="A442" s="1" t="s">
        <v>1164</v>
      </c>
      <c r="B442" s="1" t="s">
        <v>32</v>
      </c>
      <c r="C442" s="1" t="s">
        <v>5</v>
      </c>
      <c r="D442" s="1" t="s">
        <v>84</v>
      </c>
      <c r="E442" s="1" t="s">
        <v>994</v>
      </c>
      <c r="F442" s="3" t="s">
        <v>995</v>
      </c>
      <c r="G442" s="1">
        <v>127.7</v>
      </c>
      <c r="H442" s="1">
        <v>5</v>
      </c>
      <c r="I442" s="1">
        <v>2</v>
      </c>
      <c r="J442" s="1">
        <v>47</v>
      </c>
      <c r="K442" s="1">
        <v>60</v>
      </c>
    </row>
    <row r="443" spans="1:11" x14ac:dyDescent="0.3">
      <c r="A443" s="1" t="s">
        <v>1324</v>
      </c>
      <c r="B443" s="1" t="s">
        <v>32</v>
      </c>
      <c r="C443" s="1" t="s">
        <v>5</v>
      </c>
      <c r="D443" s="1" t="s">
        <v>35</v>
      </c>
      <c r="E443" s="1" t="s">
        <v>994</v>
      </c>
      <c r="F443" s="3" t="s">
        <v>995</v>
      </c>
      <c r="G443" s="1">
        <v>155</v>
      </c>
      <c r="H443" s="1">
        <v>4</v>
      </c>
      <c r="I443" s="1">
        <v>1</v>
      </c>
      <c r="J443" s="1">
        <v>20</v>
      </c>
      <c r="K443" s="1">
        <v>31</v>
      </c>
    </row>
    <row r="444" spans="1:11" x14ac:dyDescent="0.3">
      <c r="A444" s="1" t="s">
        <v>1060</v>
      </c>
      <c r="B444" s="1" t="s">
        <v>32</v>
      </c>
      <c r="C444" s="1" t="s">
        <v>16</v>
      </c>
      <c r="D444" s="1" t="s">
        <v>33</v>
      </c>
      <c r="E444" s="1" t="s">
        <v>994</v>
      </c>
      <c r="F444" s="3" t="s">
        <v>995</v>
      </c>
      <c r="G444" s="1">
        <v>91.7</v>
      </c>
      <c r="H444" s="1">
        <v>9</v>
      </c>
      <c r="I444" s="1">
        <v>1</v>
      </c>
      <c r="J444" s="1">
        <v>108</v>
      </c>
      <c r="K444" s="1">
        <v>99</v>
      </c>
    </row>
    <row r="445" spans="1:11" x14ac:dyDescent="0.3">
      <c r="A445" s="1" t="s">
        <v>1270</v>
      </c>
      <c r="B445" s="1" t="s">
        <v>32</v>
      </c>
      <c r="C445" s="1" t="s">
        <v>16</v>
      </c>
      <c r="D445" s="1" t="s">
        <v>635</v>
      </c>
      <c r="E445" s="1" t="s">
        <v>994</v>
      </c>
      <c r="F445" s="3" t="s">
        <v>995</v>
      </c>
      <c r="G445" s="1">
        <v>164</v>
      </c>
      <c r="H445" s="1">
        <v>2</v>
      </c>
      <c r="I445" s="1">
        <v>3</v>
      </c>
      <c r="J445" s="1">
        <v>25</v>
      </c>
      <c r="K445" s="1">
        <v>41</v>
      </c>
    </row>
    <row r="446" spans="1:11" x14ac:dyDescent="0.3">
      <c r="A446" s="1" t="s">
        <v>1611</v>
      </c>
      <c r="B446" s="1" t="s">
        <v>32</v>
      </c>
      <c r="C446" s="1" t="s">
        <v>16</v>
      </c>
      <c r="D446" s="1" t="s">
        <v>84</v>
      </c>
      <c r="E446" s="1" t="s">
        <v>994</v>
      </c>
      <c r="F446" s="3" t="s">
        <v>995</v>
      </c>
      <c r="G446" s="1">
        <v>54.5</v>
      </c>
      <c r="H446" s="1">
        <v>0</v>
      </c>
      <c r="I446" s="1">
        <v>0</v>
      </c>
      <c r="J446" s="1">
        <v>11</v>
      </c>
      <c r="K446" s="1">
        <v>6</v>
      </c>
    </row>
    <row r="447" spans="1:11" x14ac:dyDescent="0.3">
      <c r="A447" s="1" t="s">
        <v>1022</v>
      </c>
      <c r="B447" s="1" t="s">
        <v>32</v>
      </c>
      <c r="C447" s="1" t="s">
        <v>16</v>
      </c>
      <c r="D447" s="1" t="s">
        <v>88</v>
      </c>
      <c r="E447" s="1" t="s">
        <v>994</v>
      </c>
      <c r="F447" s="3" t="s">
        <v>995</v>
      </c>
      <c r="G447" s="1">
        <v>97.6</v>
      </c>
      <c r="H447" s="1">
        <v>11</v>
      </c>
      <c r="I447" s="1">
        <v>3</v>
      </c>
      <c r="J447" s="1">
        <v>127</v>
      </c>
      <c r="K447" s="1">
        <v>124</v>
      </c>
    </row>
    <row r="448" spans="1:11" x14ac:dyDescent="0.3">
      <c r="A448" s="1" t="s">
        <v>993</v>
      </c>
      <c r="B448" s="1" t="s">
        <v>32</v>
      </c>
      <c r="C448" s="1" t="s">
        <v>16</v>
      </c>
      <c r="D448" s="1" t="s">
        <v>37</v>
      </c>
      <c r="E448" s="1" t="s">
        <v>994</v>
      </c>
      <c r="F448" s="3" t="s">
        <v>995</v>
      </c>
      <c r="G448" s="1">
        <v>104.9</v>
      </c>
      <c r="H448" s="1">
        <v>13</v>
      </c>
      <c r="I448" s="1">
        <v>7</v>
      </c>
      <c r="J448" s="1">
        <v>163</v>
      </c>
      <c r="K448" s="1">
        <v>171</v>
      </c>
    </row>
    <row r="449" spans="1:11" x14ac:dyDescent="0.3">
      <c r="A449" s="1" t="s">
        <v>1711</v>
      </c>
      <c r="B449" s="1" t="s">
        <v>24</v>
      </c>
      <c r="C449" s="1" t="s">
        <v>83</v>
      </c>
      <c r="D449" s="1" t="s">
        <v>9</v>
      </c>
      <c r="E449" s="1" t="s">
        <v>987</v>
      </c>
      <c r="F449" s="3" t="s">
        <v>1003</v>
      </c>
      <c r="G449" s="1">
        <v>16.600000000000001</v>
      </c>
      <c r="H449" s="1">
        <v>0</v>
      </c>
      <c r="I449" s="1">
        <v>0</v>
      </c>
      <c r="J449" s="1">
        <v>2</v>
      </c>
      <c r="K449" s="1">
        <v>1</v>
      </c>
    </row>
    <row r="450" spans="1:11" x14ac:dyDescent="0.3">
      <c r="A450" s="1" t="s">
        <v>1370</v>
      </c>
      <c r="B450" s="1" t="s">
        <v>24</v>
      </c>
      <c r="C450" s="1" t="s">
        <v>83</v>
      </c>
      <c r="D450" s="1" t="s">
        <v>80</v>
      </c>
      <c r="E450" s="1" t="s">
        <v>981</v>
      </c>
      <c r="F450" s="3" t="s">
        <v>1003</v>
      </c>
      <c r="G450" s="1">
        <v>33</v>
      </c>
      <c r="H450" s="1">
        <v>1</v>
      </c>
      <c r="I450" s="1">
        <v>1</v>
      </c>
      <c r="J450" s="1">
        <v>45</v>
      </c>
      <c r="K450" s="1">
        <v>25</v>
      </c>
    </row>
    <row r="451" spans="1:11" x14ac:dyDescent="0.3">
      <c r="A451" s="1" t="s">
        <v>1455</v>
      </c>
      <c r="B451" s="1" t="s">
        <v>24</v>
      </c>
      <c r="C451" s="1" t="s">
        <v>16</v>
      </c>
      <c r="D451" s="1" t="s">
        <v>12</v>
      </c>
      <c r="E451" s="1" t="s">
        <v>977</v>
      </c>
      <c r="F451" s="3" t="s">
        <v>1003</v>
      </c>
      <c r="G451" s="1">
        <v>80</v>
      </c>
      <c r="H451" s="1">
        <v>3</v>
      </c>
      <c r="I451" s="1">
        <v>0</v>
      </c>
      <c r="J451" s="1">
        <v>20</v>
      </c>
      <c r="K451" s="1">
        <v>16</v>
      </c>
    </row>
    <row r="452" spans="1:11" x14ac:dyDescent="0.3">
      <c r="A452" s="1" t="s">
        <v>1406</v>
      </c>
      <c r="B452" s="1" t="s">
        <v>24</v>
      </c>
      <c r="C452" s="1" t="s">
        <v>16</v>
      </c>
      <c r="D452" s="1" t="s">
        <v>64</v>
      </c>
      <c r="E452" s="1" t="s">
        <v>977</v>
      </c>
      <c r="F452" s="3" t="s">
        <v>1003</v>
      </c>
      <c r="G452" s="1">
        <v>110.5</v>
      </c>
      <c r="H452" s="1">
        <v>4</v>
      </c>
      <c r="I452" s="1">
        <v>0</v>
      </c>
      <c r="J452" s="1">
        <v>19</v>
      </c>
      <c r="K452" s="1">
        <v>21</v>
      </c>
    </row>
    <row r="453" spans="1:11" x14ac:dyDescent="0.3">
      <c r="A453" s="1" t="s">
        <v>1141</v>
      </c>
      <c r="B453" s="1" t="s">
        <v>24</v>
      </c>
      <c r="C453" s="1" t="s">
        <v>16</v>
      </c>
      <c r="D453" s="1" t="s">
        <v>19</v>
      </c>
      <c r="E453" s="1" t="s">
        <v>977</v>
      </c>
      <c r="F453" s="3" t="s">
        <v>1003</v>
      </c>
      <c r="G453" s="1">
        <v>87.8</v>
      </c>
      <c r="H453" s="1">
        <v>7</v>
      </c>
      <c r="I453" s="1">
        <v>2</v>
      </c>
      <c r="J453" s="1">
        <v>74</v>
      </c>
      <c r="K453" s="1">
        <v>65</v>
      </c>
    </row>
    <row r="454" spans="1:11" x14ac:dyDescent="0.3">
      <c r="A454" s="1" t="s">
        <v>1673</v>
      </c>
      <c r="B454" s="1" t="s">
        <v>24</v>
      </c>
      <c r="C454" s="1" t="s">
        <v>16</v>
      </c>
      <c r="D454" s="1" t="s">
        <v>17</v>
      </c>
      <c r="E454" s="1" t="s">
        <v>977</v>
      </c>
      <c r="F454" s="3" t="s">
        <v>1003</v>
      </c>
      <c r="G454" s="1">
        <v>30</v>
      </c>
      <c r="H454" s="1">
        <v>0</v>
      </c>
      <c r="I454" s="1">
        <v>0</v>
      </c>
      <c r="J454" s="1">
        <v>10</v>
      </c>
      <c r="K454" s="1">
        <v>3</v>
      </c>
    </row>
    <row r="455" spans="1:11" x14ac:dyDescent="0.3">
      <c r="A455" s="1" t="s">
        <v>1002</v>
      </c>
      <c r="B455" s="1" t="s">
        <v>24</v>
      </c>
      <c r="C455" s="1" t="s">
        <v>16</v>
      </c>
      <c r="D455" s="1" t="s">
        <v>107</v>
      </c>
      <c r="E455" s="1" t="s">
        <v>977</v>
      </c>
      <c r="F455" s="3" t="s">
        <v>1003</v>
      </c>
      <c r="G455" s="1">
        <v>112.8</v>
      </c>
      <c r="H455" s="1">
        <v>13</v>
      </c>
      <c r="I455" s="1">
        <v>6</v>
      </c>
      <c r="J455" s="1">
        <v>133</v>
      </c>
      <c r="K455" s="1">
        <v>150</v>
      </c>
    </row>
    <row r="456" spans="1:11" x14ac:dyDescent="0.3">
      <c r="A456" s="1" t="s">
        <v>1396</v>
      </c>
      <c r="B456" s="1" t="s">
        <v>24</v>
      </c>
      <c r="C456" s="1" t="s">
        <v>5</v>
      </c>
      <c r="D456" s="1" t="s">
        <v>78</v>
      </c>
      <c r="E456" s="1" t="s">
        <v>977</v>
      </c>
      <c r="F456" s="3" t="s">
        <v>1003</v>
      </c>
      <c r="G456" s="1">
        <v>91.7</v>
      </c>
      <c r="H456" s="1">
        <v>2</v>
      </c>
      <c r="I456" s="1">
        <v>0</v>
      </c>
      <c r="J456" s="1">
        <v>24</v>
      </c>
      <c r="K456" s="1">
        <v>22</v>
      </c>
    </row>
    <row r="457" spans="1:11" x14ac:dyDescent="0.3">
      <c r="A457" s="1" t="s">
        <v>1045</v>
      </c>
      <c r="B457" s="1" t="s">
        <v>24</v>
      </c>
      <c r="C457" s="1" t="s">
        <v>5</v>
      </c>
      <c r="D457" s="1" t="s">
        <v>154</v>
      </c>
      <c r="E457" s="1" t="s">
        <v>977</v>
      </c>
      <c r="F457" s="3" t="s">
        <v>1003</v>
      </c>
      <c r="G457" s="1">
        <v>160.6</v>
      </c>
      <c r="H457" s="1">
        <v>12</v>
      </c>
      <c r="I457" s="1">
        <v>5</v>
      </c>
      <c r="J457" s="1">
        <v>66</v>
      </c>
      <c r="K457" s="1">
        <v>106</v>
      </c>
    </row>
    <row r="458" spans="1:11" x14ac:dyDescent="0.3">
      <c r="A458" s="1" t="s">
        <v>1104</v>
      </c>
      <c r="B458" s="1" t="s">
        <v>115</v>
      </c>
      <c r="C458" s="1" t="s">
        <v>83</v>
      </c>
      <c r="D458" s="1" t="s">
        <v>116</v>
      </c>
      <c r="E458" s="1" t="s">
        <v>1021</v>
      </c>
      <c r="F458" s="3" t="s">
        <v>1003</v>
      </c>
      <c r="G458" s="1">
        <v>54.7</v>
      </c>
      <c r="H458" s="1">
        <v>7</v>
      </c>
      <c r="I458" s="1">
        <v>2</v>
      </c>
      <c r="J458" s="1">
        <v>137</v>
      </c>
      <c r="K458" s="1">
        <v>76</v>
      </c>
    </row>
    <row r="459" spans="1:11" x14ac:dyDescent="0.3">
      <c r="A459" s="1" t="s">
        <v>1038</v>
      </c>
      <c r="B459" s="1" t="s">
        <v>115</v>
      </c>
      <c r="C459" s="1" t="s">
        <v>83</v>
      </c>
      <c r="D459" s="1" t="s">
        <v>116</v>
      </c>
      <c r="E459" s="1" t="s">
        <v>1021</v>
      </c>
      <c r="F459" s="3" t="s">
        <v>1003</v>
      </c>
      <c r="G459" s="1">
        <v>60.8</v>
      </c>
      <c r="H459" s="1">
        <v>7</v>
      </c>
      <c r="I459" s="1">
        <v>3</v>
      </c>
      <c r="J459" s="1">
        <v>203</v>
      </c>
      <c r="K459" s="1">
        <v>113</v>
      </c>
    </row>
    <row r="460" spans="1:11" x14ac:dyDescent="0.3">
      <c r="A460" s="1" t="s">
        <v>1495</v>
      </c>
      <c r="B460" s="1" t="s">
        <v>115</v>
      </c>
      <c r="C460" s="1" t="s">
        <v>83</v>
      </c>
      <c r="D460" s="1" t="s">
        <v>657</v>
      </c>
      <c r="E460" s="1" t="s">
        <v>1021</v>
      </c>
      <c r="F460" s="3" t="s">
        <v>1003</v>
      </c>
      <c r="G460" s="1">
        <v>31.25</v>
      </c>
      <c r="H460" s="1">
        <v>2</v>
      </c>
      <c r="I460" s="1">
        <v>0</v>
      </c>
      <c r="J460" s="1">
        <v>23</v>
      </c>
      <c r="K460" s="1">
        <v>13</v>
      </c>
    </row>
    <row r="461" spans="1:11" x14ac:dyDescent="0.3">
      <c r="A461" s="1" t="s">
        <v>1338</v>
      </c>
      <c r="B461" s="1" t="s">
        <v>73</v>
      </c>
      <c r="C461" s="1" t="s">
        <v>16</v>
      </c>
      <c r="D461" s="1" t="s">
        <v>259</v>
      </c>
      <c r="E461" s="1" t="s">
        <v>1007</v>
      </c>
      <c r="F461" s="3" t="s">
        <v>1003</v>
      </c>
      <c r="G461" s="1">
        <v>100</v>
      </c>
      <c r="H461" s="1">
        <v>2</v>
      </c>
      <c r="I461" s="1">
        <v>1</v>
      </c>
      <c r="J461" s="1">
        <v>29</v>
      </c>
      <c r="K461" s="1">
        <v>29</v>
      </c>
    </row>
    <row r="462" spans="1:11" x14ac:dyDescent="0.3">
      <c r="A462" s="1" t="s">
        <v>1751</v>
      </c>
      <c r="B462" s="1" t="s">
        <v>73</v>
      </c>
      <c r="C462" s="1" t="s">
        <v>16</v>
      </c>
      <c r="D462" s="1" t="s">
        <v>259</v>
      </c>
      <c r="E462" s="1" t="s">
        <v>1007</v>
      </c>
      <c r="F462" s="3" t="s">
        <v>1003</v>
      </c>
      <c r="G462" s="1">
        <v>0</v>
      </c>
      <c r="H462" s="1">
        <v>0</v>
      </c>
      <c r="I462" s="1">
        <v>0</v>
      </c>
      <c r="J462" s="1">
        <v>2</v>
      </c>
      <c r="K462" s="1">
        <v>0</v>
      </c>
    </row>
    <row r="463" spans="1:11" x14ac:dyDescent="0.3">
      <c r="A463" s="1" t="s">
        <v>1154</v>
      </c>
      <c r="B463" s="1" t="s">
        <v>73</v>
      </c>
      <c r="C463" s="1" t="s">
        <v>16</v>
      </c>
      <c r="D463" s="1" t="s">
        <v>259</v>
      </c>
      <c r="E463" s="1" t="s">
        <v>1007</v>
      </c>
      <c r="F463" s="3" t="s">
        <v>1003</v>
      </c>
      <c r="G463" s="1">
        <v>92.6</v>
      </c>
      <c r="H463" s="1">
        <v>4</v>
      </c>
      <c r="I463" s="1">
        <v>1</v>
      </c>
      <c r="J463" s="1">
        <v>68</v>
      </c>
      <c r="K463" s="1">
        <v>63</v>
      </c>
    </row>
    <row r="464" spans="1:11" x14ac:dyDescent="0.3">
      <c r="A464" s="1" t="s">
        <v>1612</v>
      </c>
      <c r="B464" s="1" t="s">
        <v>73</v>
      </c>
      <c r="C464" s="1" t="s">
        <v>83</v>
      </c>
      <c r="D464" s="1" t="s">
        <v>662</v>
      </c>
      <c r="E464" s="1" t="s">
        <v>1007</v>
      </c>
      <c r="F464" s="3" t="s">
        <v>1003</v>
      </c>
      <c r="G464" s="1">
        <v>66.599999999999994</v>
      </c>
      <c r="H464" s="1">
        <v>1</v>
      </c>
      <c r="I464" s="1">
        <v>0</v>
      </c>
      <c r="J464" s="1">
        <v>11</v>
      </c>
      <c r="K464" s="1">
        <v>6</v>
      </c>
    </row>
    <row r="465" spans="1:11" x14ac:dyDescent="0.3">
      <c r="A465" s="1" t="s">
        <v>1221</v>
      </c>
      <c r="B465" s="1" t="s">
        <v>56</v>
      </c>
      <c r="C465" s="1" t="s">
        <v>1043</v>
      </c>
      <c r="D465" s="1" t="s">
        <v>139</v>
      </c>
      <c r="E465" s="1" t="s">
        <v>1036</v>
      </c>
      <c r="F465" s="3" t="s">
        <v>1003</v>
      </c>
      <c r="G465" s="1">
        <v>192.3</v>
      </c>
      <c r="H465" s="1">
        <v>6</v>
      </c>
      <c r="I465" s="1">
        <v>2</v>
      </c>
      <c r="J465" s="1">
        <v>26</v>
      </c>
      <c r="K465" s="1">
        <v>50</v>
      </c>
    </row>
    <row r="466" spans="1:11" x14ac:dyDescent="0.3">
      <c r="A466" s="1" t="s">
        <v>1425</v>
      </c>
      <c r="B466" s="1" t="s">
        <v>56</v>
      </c>
      <c r="C466" s="1" t="s">
        <v>1043</v>
      </c>
      <c r="D466" s="1" t="s">
        <v>12</v>
      </c>
      <c r="E466" s="1" t="s">
        <v>1036</v>
      </c>
      <c r="F466" s="3" t="s">
        <v>1003</v>
      </c>
      <c r="G466" s="1">
        <v>135.69999999999999</v>
      </c>
      <c r="H466" s="1">
        <v>1</v>
      </c>
      <c r="I466" s="1">
        <v>1</v>
      </c>
      <c r="J466" s="1">
        <v>14</v>
      </c>
      <c r="K466" s="1">
        <v>19</v>
      </c>
    </row>
    <row r="467" spans="1:11" x14ac:dyDescent="0.3">
      <c r="A467" s="1" t="s">
        <v>1601</v>
      </c>
      <c r="B467" s="1" t="s">
        <v>53</v>
      </c>
      <c r="C467" s="1" t="s">
        <v>1043</v>
      </c>
      <c r="D467" s="1" t="s">
        <v>54</v>
      </c>
      <c r="E467" s="1" t="s">
        <v>1036</v>
      </c>
      <c r="F467" s="3" t="s">
        <v>1003</v>
      </c>
      <c r="G467" s="1">
        <v>350</v>
      </c>
      <c r="H467" s="1">
        <v>0</v>
      </c>
      <c r="I467" s="1">
        <v>1</v>
      </c>
      <c r="J467" s="1">
        <v>2</v>
      </c>
      <c r="K467" s="1">
        <v>7</v>
      </c>
    </row>
    <row r="468" spans="1:11" x14ac:dyDescent="0.3">
      <c r="A468" s="1" t="s">
        <v>1331</v>
      </c>
      <c r="B468" s="1" t="s">
        <v>11</v>
      </c>
      <c r="C468" s="1" t="s">
        <v>1043</v>
      </c>
      <c r="D468" s="1" t="s">
        <v>12</v>
      </c>
      <c r="E468" s="1" t="s">
        <v>1036</v>
      </c>
      <c r="F468" s="3" t="s">
        <v>1003</v>
      </c>
      <c r="G468" s="1">
        <v>142.9</v>
      </c>
      <c r="H468" s="1">
        <v>5</v>
      </c>
      <c r="I468" s="1">
        <v>0</v>
      </c>
      <c r="J468" s="1">
        <v>21</v>
      </c>
      <c r="K468" s="1">
        <v>30</v>
      </c>
    </row>
    <row r="469" spans="1:11" x14ac:dyDescent="0.3">
      <c r="A469" s="1" t="s">
        <v>1472</v>
      </c>
      <c r="B469" s="1" t="s">
        <v>60</v>
      </c>
      <c r="C469" s="1" t="s">
        <v>1043</v>
      </c>
      <c r="D469" s="1" t="s">
        <v>12</v>
      </c>
      <c r="E469" s="1" t="s">
        <v>1036</v>
      </c>
      <c r="F469" s="3" t="s">
        <v>1003</v>
      </c>
      <c r="G469" s="1">
        <v>115.4</v>
      </c>
      <c r="H469" s="1">
        <v>1</v>
      </c>
      <c r="I469" s="1">
        <v>1</v>
      </c>
      <c r="J469" s="1">
        <v>13</v>
      </c>
      <c r="K469" s="1">
        <v>15</v>
      </c>
    </row>
    <row r="470" spans="1:11" x14ac:dyDescent="0.3">
      <c r="A470" s="1" t="s">
        <v>1438</v>
      </c>
      <c r="B470" s="1" t="s">
        <v>56</v>
      </c>
      <c r="C470" s="1" t="s">
        <v>1043</v>
      </c>
      <c r="D470" s="1" t="s">
        <v>64</v>
      </c>
      <c r="E470" s="1" t="s">
        <v>1036</v>
      </c>
      <c r="F470" s="3" t="s">
        <v>1003</v>
      </c>
      <c r="G470" s="1">
        <v>81.8</v>
      </c>
      <c r="H470" s="1">
        <v>0</v>
      </c>
      <c r="I470" s="1">
        <v>0</v>
      </c>
      <c r="J470" s="1">
        <v>22</v>
      </c>
      <c r="K470" s="1">
        <v>18</v>
      </c>
    </row>
    <row r="471" spans="1:11" x14ac:dyDescent="0.3">
      <c r="A471" s="1" t="s">
        <v>1245</v>
      </c>
      <c r="B471" s="1" t="s">
        <v>8</v>
      </c>
      <c r="C471" s="1" t="s">
        <v>1043</v>
      </c>
      <c r="D471" s="1" t="s">
        <v>12</v>
      </c>
      <c r="E471" s="1" t="s">
        <v>1036</v>
      </c>
      <c r="F471" s="3" t="s">
        <v>1003</v>
      </c>
      <c r="G471" s="1">
        <v>124.3</v>
      </c>
      <c r="H471" s="1">
        <v>2</v>
      </c>
      <c r="I471" s="1">
        <v>3</v>
      </c>
      <c r="J471" s="1">
        <v>37</v>
      </c>
      <c r="K471" s="1">
        <v>46</v>
      </c>
    </row>
    <row r="472" spans="1:11" x14ac:dyDescent="0.3">
      <c r="A472" s="1" t="s">
        <v>1365</v>
      </c>
      <c r="B472" s="1" t="s">
        <v>40</v>
      </c>
      <c r="C472" s="1" t="s">
        <v>1043</v>
      </c>
      <c r="D472" s="1" t="s">
        <v>173</v>
      </c>
      <c r="E472" s="1" t="s">
        <v>1036</v>
      </c>
      <c r="F472" s="3" t="s">
        <v>1003</v>
      </c>
      <c r="G472" s="1">
        <v>130</v>
      </c>
      <c r="H472" s="1">
        <v>2</v>
      </c>
      <c r="I472" s="1">
        <v>0</v>
      </c>
      <c r="J472" s="1">
        <v>20</v>
      </c>
      <c r="K472" s="1">
        <v>26</v>
      </c>
    </row>
    <row r="473" spans="1:11" x14ac:dyDescent="0.3">
      <c r="A473" s="1" t="s">
        <v>1356</v>
      </c>
      <c r="B473" s="1" t="s">
        <v>4</v>
      </c>
      <c r="C473" s="1" t="s">
        <v>1043</v>
      </c>
      <c r="D473" s="1" t="s">
        <v>12</v>
      </c>
      <c r="E473" s="1" t="s">
        <v>1036</v>
      </c>
      <c r="F473" s="3" t="s">
        <v>1003</v>
      </c>
      <c r="G473" s="1">
        <v>128.6</v>
      </c>
      <c r="H473" s="1">
        <v>2</v>
      </c>
      <c r="I473" s="1">
        <v>1</v>
      </c>
      <c r="J473" s="1">
        <v>21</v>
      </c>
      <c r="K473" s="1">
        <v>27</v>
      </c>
    </row>
    <row r="474" spans="1:11" x14ac:dyDescent="0.3">
      <c r="A474" s="1" t="s">
        <v>1383</v>
      </c>
      <c r="B474" s="1" t="s">
        <v>53</v>
      </c>
      <c r="C474" s="1" t="s">
        <v>1043</v>
      </c>
      <c r="D474" s="1" t="s">
        <v>12</v>
      </c>
      <c r="E474" s="1" t="s">
        <v>1047</v>
      </c>
      <c r="F474" s="3" t="s">
        <v>1003</v>
      </c>
      <c r="G474" s="1">
        <v>160</v>
      </c>
      <c r="H474" s="1">
        <v>2</v>
      </c>
      <c r="I474" s="1">
        <v>1</v>
      </c>
      <c r="J474" s="1">
        <v>15</v>
      </c>
      <c r="K474" s="1">
        <v>24</v>
      </c>
    </row>
    <row r="475" spans="1:11" x14ac:dyDescent="0.3">
      <c r="A475" s="1" t="s">
        <v>1332</v>
      </c>
      <c r="B475" s="1" t="s">
        <v>8</v>
      </c>
      <c r="C475" s="1" t="s">
        <v>1043</v>
      </c>
      <c r="D475" s="1" t="s">
        <v>9</v>
      </c>
      <c r="E475" s="1" t="s">
        <v>1047</v>
      </c>
      <c r="F475" s="3" t="s">
        <v>1003</v>
      </c>
      <c r="G475" s="1">
        <v>125</v>
      </c>
      <c r="H475" s="1">
        <v>0</v>
      </c>
      <c r="I475" s="1">
        <v>2</v>
      </c>
      <c r="J475" s="1">
        <v>24</v>
      </c>
      <c r="K475" s="1">
        <v>30</v>
      </c>
    </row>
    <row r="476" spans="1:11" x14ac:dyDescent="0.3">
      <c r="A476" s="1" t="s">
        <v>1264</v>
      </c>
      <c r="B476" s="1" t="s">
        <v>60</v>
      </c>
      <c r="C476" s="1" t="s">
        <v>1043</v>
      </c>
      <c r="D476" s="1" t="s">
        <v>103</v>
      </c>
      <c r="E476" s="1" t="s">
        <v>1047</v>
      </c>
      <c r="F476" s="3" t="s">
        <v>1003</v>
      </c>
      <c r="G476" s="1">
        <v>280</v>
      </c>
      <c r="H476" s="1">
        <v>3</v>
      </c>
      <c r="I476" s="1">
        <v>4</v>
      </c>
      <c r="J476" s="1">
        <v>15</v>
      </c>
      <c r="K476" s="1">
        <v>42</v>
      </c>
    </row>
    <row r="477" spans="1:11" x14ac:dyDescent="0.3">
      <c r="A477" s="1" t="s">
        <v>1222</v>
      </c>
      <c r="B477" s="1" t="s">
        <v>56</v>
      </c>
      <c r="C477" s="1" t="s">
        <v>1043</v>
      </c>
      <c r="D477" s="1" t="s">
        <v>12</v>
      </c>
      <c r="E477" s="1" t="s">
        <v>1047</v>
      </c>
      <c r="F477" s="3" t="s">
        <v>1003</v>
      </c>
      <c r="G477" s="1">
        <v>161.30000000000001</v>
      </c>
      <c r="H477" s="1">
        <v>5</v>
      </c>
      <c r="I477" s="1">
        <v>1</v>
      </c>
      <c r="J477" s="1">
        <v>31</v>
      </c>
      <c r="K477" s="1">
        <v>50</v>
      </c>
    </row>
    <row r="478" spans="1:11" x14ac:dyDescent="0.3">
      <c r="A478" s="1" t="s">
        <v>1752</v>
      </c>
      <c r="B478" s="1" t="s">
        <v>4</v>
      </c>
      <c r="C478" s="1" t="s">
        <v>1043</v>
      </c>
      <c r="D478" s="1" t="s">
        <v>41</v>
      </c>
      <c r="E478" s="1" t="s">
        <v>1047</v>
      </c>
      <c r="F478" s="3" t="s">
        <v>1003</v>
      </c>
      <c r="G478" s="1">
        <v>0</v>
      </c>
      <c r="H478" s="1">
        <v>0</v>
      </c>
      <c r="I478" s="1">
        <v>0</v>
      </c>
      <c r="J478" s="1">
        <v>5</v>
      </c>
      <c r="K478" s="1">
        <v>0</v>
      </c>
    </row>
    <row r="479" spans="1:11" x14ac:dyDescent="0.3">
      <c r="A479" s="1" t="s">
        <v>1753</v>
      </c>
      <c r="B479" s="1" t="s">
        <v>40</v>
      </c>
      <c r="C479" s="1" t="s">
        <v>1043</v>
      </c>
      <c r="D479" s="1" t="s">
        <v>12</v>
      </c>
      <c r="E479" s="1" t="s">
        <v>1047</v>
      </c>
      <c r="F479" s="3" t="s">
        <v>1003</v>
      </c>
      <c r="G479" s="1">
        <v>0</v>
      </c>
      <c r="H479" s="1">
        <v>0</v>
      </c>
      <c r="I479" s="1">
        <v>0</v>
      </c>
      <c r="J479" s="1">
        <v>2</v>
      </c>
      <c r="K479" s="1">
        <v>0</v>
      </c>
    </row>
    <row r="480" spans="1:11" x14ac:dyDescent="0.3">
      <c r="A480" s="1" t="s">
        <v>1061</v>
      </c>
      <c r="B480" s="1" t="s">
        <v>11</v>
      </c>
      <c r="C480" s="1" t="s">
        <v>1043</v>
      </c>
      <c r="D480" s="1" t="s">
        <v>139</v>
      </c>
      <c r="E480" s="1" t="s">
        <v>1047</v>
      </c>
      <c r="F480" s="3" t="s">
        <v>1003</v>
      </c>
      <c r="G480" s="1">
        <v>150.80000000000001</v>
      </c>
      <c r="H480" s="1">
        <v>12</v>
      </c>
      <c r="I480" s="1">
        <v>4</v>
      </c>
      <c r="J480" s="1">
        <v>65</v>
      </c>
      <c r="K480" s="1">
        <v>98</v>
      </c>
    </row>
    <row r="481" spans="1:11" x14ac:dyDescent="0.3">
      <c r="A481" s="1" t="s">
        <v>1306</v>
      </c>
      <c r="B481" s="1" t="s">
        <v>32</v>
      </c>
      <c r="C481" s="1" t="s">
        <v>16</v>
      </c>
      <c r="D481" s="1" t="s">
        <v>33</v>
      </c>
      <c r="E481" s="1" t="s">
        <v>1016</v>
      </c>
      <c r="F481" s="3" t="s">
        <v>1003</v>
      </c>
      <c r="G481" s="1">
        <v>70.8</v>
      </c>
      <c r="H481" s="1">
        <v>1</v>
      </c>
      <c r="I481" s="1">
        <v>2</v>
      </c>
      <c r="J481" s="1">
        <v>48</v>
      </c>
      <c r="K481" s="1">
        <v>34</v>
      </c>
    </row>
    <row r="482" spans="1:11" x14ac:dyDescent="0.3">
      <c r="A482" s="1" t="s">
        <v>1015</v>
      </c>
      <c r="B482" s="1" t="s">
        <v>73</v>
      </c>
      <c r="C482" s="1" t="s">
        <v>16</v>
      </c>
      <c r="D482" s="1" t="s">
        <v>84</v>
      </c>
      <c r="E482" s="1" t="s">
        <v>1016</v>
      </c>
      <c r="F482" s="3" t="s">
        <v>1003</v>
      </c>
      <c r="G482" s="1">
        <v>108.7</v>
      </c>
      <c r="H482" s="1">
        <v>14</v>
      </c>
      <c r="I482" s="1">
        <v>3</v>
      </c>
      <c r="J482" s="1">
        <v>126</v>
      </c>
      <c r="K482" s="1">
        <v>137</v>
      </c>
    </row>
    <row r="483" spans="1:11" x14ac:dyDescent="0.3">
      <c r="A483" s="1" t="s">
        <v>1456</v>
      </c>
      <c r="B483" s="1" t="s">
        <v>264</v>
      </c>
      <c r="C483" s="1" t="s">
        <v>16</v>
      </c>
      <c r="D483" s="1" t="s">
        <v>407</v>
      </c>
      <c r="E483" s="1" t="s">
        <v>1016</v>
      </c>
      <c r="F483" s="3" t="s">
        <v>1003</v>
      </c>
      <c r="G483" s="1">
        <v>76.2</v>
      </c>
      <c r="H483" s="1">
        <v>2</v>
      </c>
      <c r="I483" s="1">
        <v>0</v>
      </c>
      <c r="J483" s="1">
        <v>21</v>
      </c>
      <c r="K483" s="1">
        <v>16</v>
      </c>
    </row>
    <row r="484" spans="1:11" x14ac:dyDescent="0.3">
      <c r="A484" s="1" t="s">
        <v>1147</v>
      </c>
      <c r="B484" s="1" t="s">
        <v>135</v>
      </c>
      <c r="C484" s="1" t="s">
        <v>16</v>
      </c>
      <c r="D484" s="1" t="s">
        <v>405</v>
      </c>
      <c r="E484" s="1" t="s">
        <v>1016</v>
      </c>
      <c r="F484" s="3" t="s">
        <v>1003</v>
      </c>
      <c r="G484" s="1">
        <v>97</v>
      </c>
      <c r="H484" s="1">
        <v>3</v>
      </c>
      <c r="I484" s="1">
        <v>3</v>
      </c>
      <c r="J484" s="1">
        <v>66</v>
      </c>
      <c r="K484" s="1">
        <v>64</v>
      </c>
    </row>
    <row r="485" spans="1:11" x14ac:dyDescent="0.3">
      <c r="A485" s="1" t="s">
        <v>1602</v>
      </c>
      <c r="B485" s="1" t="s">
        <v>208</v>
      </c>
      <c r="C485" s="1" t="s">
        <v>16</v>
      </c>
      <c r="D485" s="1" t="s">
        <v>37</v>
      </c>
      <c r="E485" s="1" t="s">
        <v>1016</v>
      </c>
      <c r="F485" s="3" t="s">
        <v>1003</v>
      </c>
      <c r="G485" s="1">
        <v>38.9</v>
      </c>
      <c r="H485" s="1">
        <v>1</v>
      </c>
      <c r="I485" s="1">
        <v>0</v>
      </c>
      <c r="J485" s="1">
        <v>18</v>
      </c>
      <c r="K485" s="1">
        <v>7</v>
      </c>
    </row>
    <row r="486" spans="1:11" x14ac:dyDescent="0.3">
      <c r="A486" s="1" t="s">
        <v>1179</v>
      </c>
      <c r="B486" s="1" t="s">
        <v>625</v>
      </c>
      <c r="C486" s="1" t="s">
        <v>16</v>
      </c>
      <c r="D486" s="1" t="s">
        <v>37</v>
      </c>
      <c r="E486" s="1" t="s">
        <v>990</v>
      </c>
      <c r="F486" s="3" t="s">
        <v>1003</v>
      </c>
      <c r="G486" s="1">
        <v>103.6</v>
      </c>
      <c r="H486" s="1">
        <v>10</v>
      </c>
      <c r="I486" s="1">
        <v>1</v>
      </c>
      <c r="J486" s="1">
        <v>55</v>
      </c>
      <c r="K486" s="1">
        <v>57</v>
      </c>
    </row>
    <row r="487" spans="1:11" x14ac:dyDescent="0.3">
      <c r="A487" s="1" t="s">
        <v>1754</v>
      </c>
      <c r="B487" s="1" t="s">
        <v>24</v>
      </c>
      <c r="C487" s="1" t="s">
        <v>16</v>
      </c>
      <c r="D487" s="1" t="s">
        <v>84</v>
      </c>
      <c r="E487" s="1" t="s">
        <v>990</v>
      </c>
      <c r="F487" s="3" t="s">
        <v>1003</v>
      </c>
      <c r="G487" s="1">
        <v>0</v>
      </c>
      <c r="H487" s="1">
        <v>0</v>
      </c>
      <c r="I487" s="1">
        <v>0</v>
      </c>
      <c r="J487" s="1">
        <v>6</v>
      </c>
      <c r="K487" s="1">
        <v>0</v>
      </c>
    </row>
    <row r="488" spans="1:11" x14ac:dyDescent="0.3">
      <c r="A488" s="1" t="s">
        <v>1473</v>
      </c>
      <c r="B488" s="1" t="s">
        <v>71</v>
      </c>
      <c r="C488" s="1" t="s">
        <v>16</v>
      </c>
      <c r="D488" s="1" t="s">
        <v>35</v>
      </c>
      <c r="E488" s="1" t="s">
        <v>990</v>
      </c>
      <c r="F488" s="3" t="s">
        <v>1003</v>
      </c>
      <c r="G488" s="1">
        <v>75</v>
      </c>
      <c r="H488" s="1">
        <v>2</v>
      </c>
      <c r="I488" s="1">
        <v>0</v>
      </c>
      <c r="J488" s="1">
        <v>20</v>
      </c>
      <c r="K488" s="1">
        <v>15</v>
      </c>
    </row>
    <row r="489" spans="1:11" x14ac:dyDescent="0.3">
      <c r="A489" s="1" t="s">
        <v>1010</v>
      </c>
      <c r="B489" s="1" t="s">
        <v>32</v>
      </c>
      <c r="C489" s="1" t="s">
        <v>16</v>
      </c>
      <c r="D489" s="1" t="s">
        <v>84</v>
      </c>
      <c r="E489" s="1" t="s">
        <v>994</v>
      </c>
      <c r="F489" s="3" t="s">
        <v>1003</v>
      </c>
      <c r="G489" s="1">
        <v>99.3</v>
      </c>
      <c r="H489" s="1">
        <v>9</v>
      </c>
      <c r="I489" s="1">
        <v>4</v>
      </c>
      <c r="J489" s="1">
        <v>139</v>
      </c>
      <c r="K489" s="1">
        <v>138</v>
      </c>
    </row>
    <row r="490" spans="1:11" x14ac:dyDescent="0.3">
      <c r="A490" s="1" t="s">
        <v>1068</v>
      </c>
      <c r="B490" s="1" t="s">
        <v>32</v>
      </c>
      <c r="C490" s="1" t="s">
        <v>83</v>
      </c>
      <c r="D490" s="1" t="s">
        <v>33</v>
      </c>
      <c r="E490" s="1" t="s">
        <v>994</v>
      </c>
      <c r="F490" s="3" t="s">
        <v>1003</v>
      </c>
      <c r="G490" s="1">
        <v>41.55</v>
      </c>
      <c r="H490" s="1">
        <v>7</v>
      </c>
      <c r="I490" s="1">
        <v>4</v>
      </c>
      <c r="J490" s="1">
        <v>166</v>
      </c>
      <c r="K490" s="1">
        <v>92</v>
      </c>
    </row>
    <row r="491" spans="1:11" x14ac:dyDescent="0.3">
      <c r="A491" s="1" t="s">
        <v>1317</v>
      </c>
      <c r="B491" s="1" t="s">
        <v>32</v>
      </c>
      <c r="C491" s="1" t="s">
        <v>83</v>
      </c>
      <c r="D491" s="1" t="s">
        <v>88</v>
      </c>
      <c r="E491" s="1" t="s">
        <v>987</v>
      </c>
      <c r="F491" s="3" t="s">
        <v>982</v>
      </c>
      <c r="G491" s="1">
        <v>58.099999999999994</v>
      </c>
      <c r="H491" s="1">
        <v>3</v>
      </c>
      <c r="I491" s="1">
        <v>1</v>
      </c>
      <c r="J491" s="1">
        <v>58</v>
      </c>
      <c r="K491" s="1">
        <v>32</v>
      </c>
    </row>
    <row r="492" spans="1:11" x14ac:dyDescent="0.3">
      <c r="A492" s="1" t="s">
        <v>1229</v>
      </c>
      <c r="B492" s="1" t="s">
        <v>32</v>
      </c>
      <c r="C492" s="1" t="s">
        <v>83</v>
      </c>
      <c r="D492" s="1" t="s">
        <v>35</v>
      </c>
      <c r="E492" s="1" t="s">
        <v>987</v>
      </c>
      <c r="F492" s="3" t="s">
        <v>982</v>
      </c>
      <c r="G492" s="1">
        <v>40.799999999999997</v>
      </c>
      <c r="H492" s="1">
        <v>6</v>
      </c>
      <c r="I492" s="1">
        <v>0</v>
      </c>
      <c r="J492" s="1">
        <v>88</v>
      </c>
      <c r="K492" s="1">
        <v>49</v>
      </c>
    </row>
    <row r="493" spans="1:11" x14ac:dyDescent="0.3">
      <c r="A493" s="1" t="s">
        <v>1559</v>
      </c>
      <c r="B493" s="1" t="s">
        <v>115</v>
      </c>
      <c r="C493" s="1" t="s">
        <v>16</v>
      </c>
      <c r="D493" s="1" t="s">
        <v>29</v>
      </c>
      <c r="E493" s="1" t="s">
        <v>981</v>
      </c>
      <c r="F493" s="3" t="s">
        <v>982</v>
      </c>
      <c r="G493" s="1">
        <v>75</v>
      </c>
      <c r="H493" s="1">
        <v>2</v>
      </c>
      <c r="I493" s="1">
        <v>0</v>
      </c>
      <c r="J493" s="1">
        <v>12</v>
      </c>
      <c r="K493" s="1">
        <v>9</v>
      </c>
    </row>
    <row r="494" spans="1:11" x14ac:dyDescent="0.3">
      <c r="A494" s="1" t="s">
        <v>980</v>
      </c>
      <c r="B494" s="1" t="s">
        <v>115</v>
      </c>
      <c r="C494" s="1" t="s">
        <v>16</v>
      </c>
      <c r="D494" s="1" t="s">
        <v>139</v>
      </c>
      <c r="E494" s="1" t="s">
        <v>981</v>
      </c>
      <c r="F494" s="3" t="s">
        <v>982</v>
      </c>
      <c r="G494" s="1">
        <v>152.6</v>
      </c>
      <c r="H494" s="1">
        <v>33</v>
      </c>
      <c r="I494" s="1">
        <v>9</v>
      </c>
      <c r="J494" s="1">
        <v>173</v>
      </c>
      <c r="K494" s="1">
        <v>264</v>
      </c>
    </row>
    <row r="495" spans="1:11" x14ac:dyDescent="0.3">
      <c r="A495" s="1" t="s">
        <v>1206</v>
      </c>
      <c r="B495" s="1" t="s">
        <v>76</v>
      </c>
      <c r="C495" s="1" t="s">
        <v>16</v>
      </c>
      <c r="D495" s="1" t="s">
        <v>508</v>
      </c>
      <c r="E495" s="1" t="s">
        <v>1021</v>
      </c>
      <c r="F495" s="3" t="s">
        <v>982</v>
      </c>
      <c r="G495" s="1">
        <v>59.8</v>
      </c>
      <c r="H495" s="1">
        <v>4</v>
      </c>
      <c r="I495" s="1">
        <v>1</v>
      </c>
      <c r="J495" s="1">
        <v>87</v>
      </c>
      <c r="K495" s="1">
        <v>52</v>
      </c>
    </row>
    <row r="496" spans="1:11" x14ac:dyDescent="0.3">
      <c r="A496" s="1" t="s">
        <v>1307</v>
      </c>
      <c r="B496" s="1" t="s">
        <v>76</v>
      </c>
      <c r="C496" s="1" t="s">
        <v>83</v>
      </c>
      <c r="D496" s="1" t="s">
        <v>294</v>
      </c>
      <c r="E496" s="1" t="s">
        <v>1012</v>
      </c>
      <c r="F496" s="3" t="s">
        <v>982</v>
      </c>
      <c r="G496" s="1">
        <v>33.65</v>
      </c>
      <c r="H496" s="1">
        <v>3</v>
      </c>
      <c r="I496" s="1">
        <v>0</v>
      </c>
      <c r="J496" s="1">
        <v>61</v>
      </c>
      <c r="K496" s="1">
        <v>34</v>
      </c>
    </row>
    <row r="497" spans="1:11" x14ac:dyDescent="0.3">
      <c r="A497" s="1" t="s">
        <v>1416</v>
      </c>
      <c r="B497" s="1" t="s">
        <v>56</v>
      </c>
      <c r="C497" s="1" t="s">
        <v>1043</v>
      </c>
      <c r="D497" s="1" t="s">
        <v>12</v>
      </c>
      <c r="E497" s="1" t="s">
        <v>1036</v>
      </c>
      <c r="F497" s="3" t="s">
        <v>982</v>
      </c>
      <c r="G497" s="1">
        <v>125</v>
      </c>
      <c r="H497" s="1">
        <v>3</v>
      </c>
      <c r="I497" s="1">
        <v>0</v>
      </c>
      <c r="J497" s="1">
        <v>16</v>
      </c>
      <c r="K497" s="1">
        <v>20</v>
      </c>
    </row>
    <row r="498" spans="1:11" x14ac:dyDescent="0.3">
      <c r="A498" s="1" t="s">
        <v>1457</v>
      </c>
      <c r="B498" s="1" t="s">
        <v>4</v>
      </c>
      <c r="C498" s="1" t="s">
        <v>1043</v>
      </c>
      <c r="D498" s="1" t="s">
        <v>12</v>
      </c>
      <c r="E498" s="1" t="s">
        <v>1036</v>
      </c>
      <c r="F498" s="3" t="s">
        <v>982</v>
      </c>
      <c r="G498" s="1">
        <v>145.5</v>
      </c>
      <c r="H498" s="1">
        <v>1</v>
      </c>
      <c r="I498" s="1">
        <v>1</v>
      </c>
      <c r="J498" s="1">
        <v>11</v>
      </c>
      <c r="K498" s="1">
        <v>16</v>
      </c>
    </row>
    <row r="499" spans="1:11" x14ac:dyDescent="0.3">
      <c r="A499" s="1" t="s">
        <v>1333</v>
      </c>
      <c r="B499" s="1" t="s">
        <v>8</v>
      </c>
      <c r="C499" s="1" t="s">
        <v>1043</v>
      </c>
      <c r="D499" s="1" t="s">
        <v>12</v>
      </c>
      <c r="E499" s="1" t="s">
        <v>1036</v>
      </c>
      <c r="F499" s="3" t="s">
        <v>982</v>
      </c>
      <c r="G499" s="1">
        <v>142.9</v>
      </c>
      <c r="H499" s="1">
        <v>4</v>
      </c>
      <c r="I499" s="1">
        <v>0</v>
      </c>
      <c r="J499" s="1">
        <v>21</v>
      </c>
      <c r="K499" s="1">
        <v>30</v>
      </c>
    </row>
    <row r="500" spans="1:11" x14ac:dyDescent="0.3">
      <c r="A500" s="1" t="s">
        <v>1439</v>
      </c>
      <c r="B500" s="1" t="s">
        <v>40</v>
      </c>
      <c r="C500" s="1" t="s">
        <v>1043</v>
      </c>
      <c r="D500" s="1" t="s">
        <v>173</v>
      </c>
      <c r="E500" s="1" t="s">
        <v>1036</v>
      </c>
      <c r="F500" s="3" t="s">
        <v>982</v>
      </c>
      <c r="G500" s="1">
        <v>90</v>
      </c>
      <c r="H500" s="1">
        <v>2</v>
      </c>
      <c r="I500" s="1">
        <v>0</v>
      </c>
      <c r="J500" s="1">
        <v>20</v>
      </c>
      <c r="K500" s="1">
        <v>18</v>
      </c>
    </row>
    <row r="501" spans="1:11" x14ac:dyDescent="0.3">
      <c r="A501" s="1" t="s">
        <v>1275</v>
      </c>
      <c r="B501" s="1" t="s">
        <v>4</v>
      </c>
      <c r="C501" s="1" t="s">
        <v>1043</v>
      </c>
      <c r="D501" s="1" t="s">
        <v>41</v>
      </c>
      <c r="E501" s="1" t="s">
        <v>1036</v>
      </c>
      <c r="F501" s="3" t="s">
        <v>982</v>
      </c>
      <c r="G501" s="1">
        <v>210.5</v>
      </c>
      <c r="H501" s="1">
        <v>3</v>
      </c>
      <c r="I501" s="1">
        <v>4</v>
      </c>
      <c r="J501" s="1">
        <v>19</v>
      </c>
      <c r="K501" s="1">
        <v>40</v>
      </c>
    </row>
    <row r="502" spans="1:11" x14ac:dyDescent="0.3">
      <c r="A502" s="1" t="s">
        <v>1217</v>
      </c>
      <c r="B502" s="1" t="s">
        <v>11</v>
      </c>
      <c r="C502" s="1" t="s">
        <v>1043</v>
      </c>
      <c r="D502" s="1" t="s">
        <v>78</v>
      </c>
      <c r="E502" s="1" t="s">
        <v>1036</v>
      </c>
      <c r="F502" s="3" t="s">
        <v>982</v>
      </c>
      <c r="G502" s="1">
        <v>113.3</v>
      </c>
      <c r="H502" s="1">
        <v>4</v>
      </c>
      <c r="I502" s="1">
        <v>2</v>
      </c>
      <c r="J502" s="1">
        <v>45</v>
      </c>
      <c r="K502" s="1">
        <v>51</v>
      </c>
    </row>
    <row r="503" spans="1:11" x14ac:dyDescent="0.3">
      <c r="A503" s="1" t="s">
        <v>1483</v>
      </c>
      <c r="B503" s="1" t="s">
        <v>53</v>
      </c>
      <c r="C503" s="1" t="s">
        <v>1043</v>
      </c>
      <c r="D503" s="1" t="s">
        <v>54</v>
      </c>
      <c r="E503" s="1" t="s">
        <v>1036</v>
      </c>
      <c r="F503" s="3" t="s">
        <v>982</v>
      </c>
      <c r="G503" s="1">
        <v>233.3</v>
      </c>
      <c r="H503" s="1">
        <v>3</v>
      </c>
      <c r="I503" s="1">
        <v>0</v>
      </c>
      <c r="J503" s="1">
        <v>6</v>
      </c>
      <c r="K503" s="1">
        <v>14</v>
      </c>
    </row>
    <row r="504" spans="1:11" x14ac:dyDescent="0.3">
      <c r="A504" s="1" t="s">
        <v>1426</v>
      </c>
      <c r="B504" s="1" t="s">
        <v>56</v>
      </c>
      <c r="C504" s="1" t="s">
        <v>1043</v>
      </c>
      <c r="D504" s="1" t="s">
        <v>12</v>
      </c>
      <c r="E504" s="1" t="s">
        <v>1036</v>
      </c>
      <c r="F504" s="3" t="s">
        <v>982</v>
      </c>
      <c r="G504" s="1">
        <v>100</v>
      </c>
      <c r="H504" s="1">
        <v>1</v>
      </c>
      <c r="I504" s="1">
        <v>0</v>
      </c>
      <c r="J504" s="1">
        <v>19</v>
      </c>
      <c r="K504" s="1">
        <v>19</v>
      </c>
    </row>
    <row r="505" spans="1:11" x14ac:dyDescent="0.3">
      <c r="A505" s="1" t="s">
        <v>1167</v>
      </c>
      <c r="B505" s="1" t="s">
        <v>60</v>
      </c>
      <c r="C505" s="1" t="s">
        <v>1043</v>
      </c>
      <c r="D505" s="1" t="s">
        <v>12</v>
      </c>
      <c r="E505" s="1" t="s">
        <v>1036</v>
      </c>
      <c r="F505" s="3" t="s">
        <v>982</v>
      </c>
      <c r="G505" s="1">
        <v>168.6</v>
      </c>
      <c r="H505" s="1">
        <v>3</v>
      </c>
      <c r="I505" s="1">
        <v>4</v>
      </c>
      <c r="J505" s="1">
        <v>35</v>
      </c>
      <c r="K505" s="1">
        <v>59</v>
      </c>
    </row>
    <row r="506" spans="1:11" x14ac:dyDescent="0.3">
      <c r="A506" s="1" t="s">
        <v>1278</v>
      </c>
      <c r="B506" s="1" t="s">
        <v>40</v>
      </c>
      <c r="C506" s="1" t="s">
        <v>1043</v>
      </c>
      <c r="D506" s="1" t="s">
        <v>12</v>
      </c>
      <c r="E506" s="1" t="s">
        <v>1036</v>
      </c>
      <c r="F506" s="3" t="s">
        <v>982</v>
      </c>
      <c r="G506" s="1">
        <v>114.7</v>
      </c>
      <c r="H506" s="1">
        <v>4</v>
      </c>
      <c r="I506" s="1">
        <v>2</v>
      </c>
      <c r="J506" s="1">
        <v>34</v>
      </c>
      <c r="K506" s="1">
        <v>39</v>
      </c>
    </row>
    <row r="507" spans="1:11" x14ac:dyDescent="0.3">
      <c r="A507" s="1" t="s">
        <v>1712</v>
      </c>
      <c r="B507" s="1" t="s">
        <v>53</v>
      </c>
      <c r="C507" s="1" t="s">
        <v>1043</v>
      </c>
      <c r="D507" s="1" t="s">
        <v>67</v>
      </c>
      <c r="E507" s="1" t="s">
        <v>1047</v>
      </c>
      <c r="F507" s="3" t="s">
        <v>982</v>
      </c>
      <c r="G507" s="1">
        <v>20</v>
      </c>
      <c r="H507" s="1">
        <v>0</v>
      </c>
      <c r="I507" s="1">
        <v>0</v>
      </c>
      <c r="J507" s="1">
        <v>5</v>
      </c>
      <c r="K507" s="1">
        <v>1</v>
      </c>
    </row>
    <row r="508" spans="1:11" x14ac:dyDescent="0.3">
      <c r="A508" s="1" t="s">
        <v>1654</v>
      </c>
      <c r="B508" s="1" t="s">
        <v>8</v>
      </c>
      <c r="C508" s="1" t="s">
        <v>1043</v>
      </c>
      <c r="D508" s="1" t="s">
        <v>338</v>
      </c>
      <c r="E508" s="1" t="s">
        <v>1047</v>
      </c>
      <c r="F508" s="3" t="s">
        <v>982</v>
      </c>
      <c r="G508" s="1">
        <v>80</v>
      </c>
      <c r="H508" s="1">
        <v>0</v>
      </c>
      <c r="I508" s="1">
        <v>0</v>
      </c>
      <c r="J508" s="1">
        <v>5</v>
      </c>
      <c r="K508" s="1">
        <v>4</v>
      </c>
    </row>
    <row r="509" spans="1:11" x14ac:dyDescent="0.3">
      <c r="A509" s="1" t="s">
        <v>1223</v>
      </c>
      <c r="B509" s="1" t="s">
        <v>56</v>
      </c>
      <c r="C509" s="1" t="s">
        <v>1043</v>
      </c>
      <c r="D509" s="1" t="s">
        <v>67</v>
      </c>
      <c r="E509" s="1" t="s">
        <v>1047</v>
      </c>
      <c r="F509" s="3" t="s">
        <v>982</v>
      </c>
      <c r="G509" s="1">
        <v>122</v>
      </c>
      <c r="H509" s="1">
        <v>3</v>
      </c>
      <c r="I509" s="1">
        <v>2</v>
      </c>
      <c r="J509" s="1">
        <v>41</v>
      </c>
      <c r="K509" s="1">
        <v>50</v>
      </c>
    </row>
    <row r="510" spans="1:11" x14ac:dyDescent="0.3">
      <c r="A510" s="1" t="s">
        <v>1694</v>
      </c>
      <c r="B510" s="1" t="s">
        <v>60</v>
      </c>
      <c r="C510" s="1" t="s">
        <v>1043</v>
      </c>
      <c r="D510" s="1" t="s">
        <v>67</v>
      </c>
      <c r="E510" s="1" t="s">
        <v>1047</v>
      </c>
      <c r="F510" s="3" t="s">
        <v>982</v>
      </c>
      <c r="G510" s="1">
        <v>40</v>
      </c>
      <c r="H510" s="1">
        <v>0</v>
      </c>
      <c r="I510" s="1">
        <v>0</v>
      </c>
      <c r="J510" s="1">
        <v>5</v>
      </c>
      <c r="K510" s="1">
        <v>2</v>
      </c>
    </row>
    <row r="511" spans="1:11" x14ac:dyDescent="0.3">
      <c r="A511" s="1" t="s">
        <v>1357</v>
      </c>
      <c r="B511" s="1" t="s">
        <v>11</v>
      </c>
      <c r="C511" s="1" t="s">
        <v>1043</v>
      </c>
      <c r="D511" s="1" t="s">
        <v>333</v>
      </c>
      <c r="E511" s="1" t="s">
        <v>1047</v>
      </c>
      <c r="F511" s="3" t="s">
        <v>982</v>
      </c>
      <c r="G511" s="1">
        <v>135</v>
      </c>
      <c r="H511" s="1">
        <v>0</v>
      </c>
      <c r="I511" s="1">
        <v>1</v>
      </c>
      <c r="J511" s="1">
        <v>20</v>
      </c>
      <c r="K511" s="1">
        <v>27</v>
      </c>
    </row>
    <row r="512" spans="1:11" x14ac:dyDescent="0.3">
      <c r="A512" s="1" t="s">
        <v>1339</v>
      </c>
      <c r="B512" s="1" t="s">
        <v>115</v>
      </c>
      <c r="C512" s="1" t="s">
        <v>5</v>
      </c>
      <c r="D512" s="1" t="s">
        <v>259</v>
      </c>
      <c r="E512" s="1" t="s">
        <v>1047</v>
      </c>
      <c r="F512" s="3" t="s">
        <v>982</v>
      </c>
      <c r="G512" s="1">
        <v>111.5</v>
      </c>
      <c r="H512" s="1">
        <v>3</v>
      </c>
      <c r="I512" s="1">
        <v>0</v>
      </c>
      <c r="J512" s="1">
        <v>26</v>
      </c>
      <c r="K512" s="1">
        <v>29</v>
      </c>
    </row>
    <row r="513" spans="1:11" x14ac:dyDescent="0.3">
      <c r="A513" s="1" t="s">
        <v>1384</v>
      </c>
      <c r="B513" s="1" t="s">
        <v>24</v>
      </c>
      <c r="C513" s="1" t="s">
        <v>5</v>
      </c>
      <c r="D513" s="1" t="s">
        <v>259</v>
      </c>
      <c r="E513" s="1" t="s">
        <v>1047</v>
      </c>
      <c r="F513" s="3" t="s">
        <v>982</v>
      </c>
      <c r="G513" s="1">
        <v>184.6</v>
      </c>
      <c r="H513" s="1">
        <v>4</v>
      </c>
      <c r="I513" s="1">
        <v>1</v>
      </c>
      <c r="J513" s="1">
        <v>13</v>
      </c>
      <c r="K513" s="1">
        <v>24</v>
      </c>
    </row>
    <row r="514" spans="1:11" x14ac:dyDescent="0.3">
      <c r="A514" s="1" t="s">
        <v>1633</v>
      </c>
      <c r="B514" s="1" t="s">
        <v>32</v>
      </c>
      <c r="C514" s="1" t="s">
        <v>5</v>
      </c>
      <c r="D514" s="1" t="s">
        <v>259</v>
      </c>
      <c r="E514" s="1" t="s">
        <v>1016</v>
      </c>
      <c r="F514" s="3" t="s">
        <v>982</v>
      </c>
      <c r="G514" s="1">
        <v>166.7</v>
      </c>
      <c r="H514" s="1">
        <v>1</v>
      </c>
      <c r="I514" s="1">
        <v>0</v>
      </c>
      <c r="J514" s="1">
        <v>3</v>
      </c>
      <c r="K514" s="1">
        <v>5</v>
      </c>
    </row>
    <row r="515" spans="1:11" x14ac:dyDescent="0.3">
      <c r="A515" s="1" t="s">
        <v>1190</v>
      </c>
      <c r="B515" s="1" t="s">
        <v>73</v>
      </c>
      <c r="C515" s="1" t="s">
        <v>5</v>
      </c>
      <c r="D515" s="1" t="s">
        <v>259</v>
      </c>
      <c r="E515" s="1" t="s">
        <v>1016</v>
      </c>
      <c r="F515" s="3" t="s">
        <v>982</v>
      </c>
      <c r="G515" s="1">
        <v>127.3</v>
      </c>
      <c r="H515" s="1">
        <v>5</v>
      </c>
      <c r="I515" s="1">
        <v>1</v>
      </c>
      <c r="J515" s="1">
        <v>44</v>
      </c>
      <c r="K515" s="1">
        <v>56</v>
      </c>
    </row>
    <row r="516" spans="1:11" x14ac:dyDescent="0.3">
      <c r="A516" s="1" t="s">
        <v>1158</v>
      </c>
      <c r="B516" s="1" t="s">
        <v>208</v>
      </c>
      <c r="C516" s="1" t="s">
        <v>5</v>
      </c>
      <c r="D516" s="1" t="s">
        <v>259</v>
      </c>
      <c r="E516" s="1" t="s">
        <v>1016</v>
      </c>
      <c r="F516" s="3" t="s">
        <v>982</v>
      </c>
      <c r="G516" s="1">
        <v>112.7</v>
      </c>
      <c r="H516" s="1">
        <v>5</v>
      </c>
      <c r="I516" s="1">
        <v>2</v>
      </c>
      <c r="J516" s="1">
        <v>55</v>
      </c>
      <c r="K516" s="1">
        <v>62</v>
      </c>
    </row>
    <row r="517" spans="1:11" x14ac:dyDescent="0.3">
      <c r="A517" s="1" t="s">
        <v>1385</v>
      </c>
      <c r="B517" s="1" t="s">
        <v>71</v>
      </c>
      <c r="C517" s="1" t="s">
        <v>5</v>
      </c>
      <c r="D517" s="1" t="s">
        <v>259</v>
      </c>
      <c r="E517" s="1" t="s">
        <v>1016</v>
      </c>
      <c r="F517" s="3" t="s">
        <v>982</v>
      </c>
      <c r="G517" s="1">
        <v>114.3</v>
      </c>
      <c r="H517" s="1">
        <v>1</v>
      </c>
      <c r="I517" s="1">
        <v>2</v>
      </c>
      <c r="J517" s="1">
        <v>21</v>
      </c>
      <c r="K517" s="1">
        <v>24</v>
      </c>
    </row>
    <row r="518" spans="1:11" x14ac:dyDescent="0.3">
      <c r="A518" s="1" t="s">
        <v>1440</v>
      </c>
      <c r="B518" s="1" t="s">
        <v>130</v>
      </c>
      <c r="C518" s="1" t="s">
        <v>16</v>
      </c>
      <c r="D518" s="1" t="s">
        <v>259</v>
      </c>
      <c r="E518" s="1" t="s">
        <v>1016</v>
      </c>
      <c r="F518" s="3" t="s">
        <v>982</v>
      </c>
      <c r="G518" s="1">
        <v>75</v>
      </c>
      <c r="H518" s="1">
        <v>1</v>
      </c>
      <c r="I518" s="1">
        <v>0</v>
      </c>
      <c r="J518" s="1">
        <v>24</v>
      </c>
      <c r="K518" s="1">
        <v>18</v>
      </c>
    </row>
    <row r="519" spans="1:11" x14ac:dyDescent="0.3">
      <c r="A519" s="1" t="s">
        <v>1191</v>
      </c>
      <c r="B519" s="1" t="s">
        <v>71</v>
      </c>
      <c r="C519" s="1" t="s">
        <v>16</v>
      </c>
      <c r="D519" s="1" t="s">
        <v>259</v>
      </c>
      <c r="E519" s="1" t="s">
        <v>1016</v>
      </c>
      <c r="F519" s="3" t="s">
        <v>982</v>
      </c>
      <c r="G519" s="1">
        <v>96.6</v>
      </c>
      <c r="H519" s="1">
        <v>7</v>
      </c>
      <c r="I519" s="1">
        <v>2</v>
      </c>
      <c r="J519" s="1">
        <v>58</v>
      </c>
      <c r="K519" s="1">
        <v>56</v>
      </c>
    </row>
    <row r="520" spans="1:11" x14ac:dyDescent="0.3">
      <c r="A520" s="1" t="s">
        <v>1496</v>
      </c>
      <c r="B520" s="1" t="s">
        <v>115</v>
      </c>
      <c r="C520" s="1" t="s">
        <v>16</v>
      </c>
      <c r="D520" s="1" t="s">
        <v>662</v>
      </c>
      <c r="E520" s="1" t="s">
        <v>990</v>
      </c>
      <c r="F520" s="3" t="s">
        <v>982</v>
      </c>
      <c r="G520" s="1">
        <v>46.4</v>
      </c>
      <c r="H520" s="1">
        <v>1</v>
      </c>
      <c r="I520" s="1">
        <v>0</v>
      </c>
      <c r="J520" s="1">
        <v>28</v>
      </c>
      <c r="K520" s="1">
        <v>13</v>
      </c>
    </row>
    <row r="521" spans="1:11" x14ac:dyDescent="0.3">
      <c r="A521" s="1" t="s">
        <v>1407</v>
      </c>
      <c r="B521" s="1" t="s">
        <v>73</v>
      </c>
      <c r="C521" s="1" t="s">
        <v>16</v>
      </c>
      <c r="D521" s="1" t="s">
        <v>662</v>
      </c>
      <c r="E521" s="1" t="s">
        <v>990</v>
      </c>
      <c r="F521" s="3" t="s">
        <v>982</v>
      </c>
      <c r="G521" s="1">
        <v>72.400000000000006</v>
      </c>
      <c r="H521" s="1">
        <v>1</v>
      </c>
      <c r="I521" s="1">
        <v>1</v>
      </c>
      <c r="J521" s="1">
        <v>29</v>
      </c>
      <c r="K521" s="1">
        <v>21</v>
      </c>
    </row>
    <row r="522" spans="1:11" x14ac:dyDescent="0.3">
      <c r="A522" s="1" t="s">
        <v>1325</v>
      </c>
      <c r="B522" s="1" t="s">
        <v>15</v>
      </c>
      <c r="C522" s="1" t="s">
        <v>83</v>
      </c>
      <c r="D522" s="1" t="s">
        <v>470</v>
      </c>
      <c r="E522" s="1" t="s">
        <v>990</v>
      </c>
      <c r="F522" s="3" t="s">
        <v>982</v>
      </c>
      <c r="G522" s="1">
        <v>31.900000000000002</v>
      </c>
      <c r="H522" s="1">
        <v>4</v>
      </c>
      <c r="I522" s="1">
        <v>0</v>
      </c>
      <c r="J522" s="1">
        <v>56</v>
      </c>
      <c r="K522" s="1">
        <v>31</v>
      </c>
    </row>
    <row r="523" spans="1:11" x14ac:dyDescent="0.3">
      <c r="A523" s="1" t="s">
        <v>1071</v>
      </c>
      <c r="B523" s="1" t="s">
        <v>15</v>
      </c>
      <c r="C523" s="1" t="s">
        <v>83</v>
      </c>
      <c r="D523" s="1" t="s">
        <v>407</v>
      </c>
      <c r="E523" s="1" t="s">
        <v>990</v>
      </c>
      <c r="F523" s="3" t="s">
        <v>982</v>
      </c>
      <c r="G523" s="1">
        <v>46.1</v>
      </c>
      <c r="H523" s="1">
        <v>10</v>
      </c>
      <c r="I523" s="1">
        <v>1</v>
      </c>
      <c r="J523" s="1">
        <v>164</v>
      </c>
      <c r="K523" s="1">
        <v>91</v>
      </c>
    </row>
    <row r="524" spans="1:11" x14ac:dyDescent="0.3">
      <c r="A524" s="1" t="s">
        <v>1655</v>
      </c>
      <c r="B524" s="1" t="s">
        <v>15</v>
      </c>
      <c r="C524" s="1" t="s">
        <v>16</v>
      </c>
      <c r="D524" s="1" t="s">
        <v>470</v>
      </c>
      <c r="E524" s="1" t="s">
        <v>994</v>
      </c>
      <c r="F524" s="3" t="s">
        <v>982</v>
      </c>
      <c r="G524" s="1">
        <v>30.8</v>
      </c>
      <c r="H524" s="1">
        <v>0</v>
      </c>
      <c r="I524" s="1">
        <v>0</v>
      </c>
      <c r="J524" s="1">
        <v>13</v>
      </c>
      <c r="K524" s="1">
        <v>4</v>
      </c>
    </row>
    <row r="525" spans="1:11" x14ac:dyDescent="0.3">
      <c r="A525" s="1" t="s">
        <v>1091</v>
      </c>
      <c r="B525" s="1" t="s">
        <v>15</v>
      </c>
      <c r="C525" s="1" t="s">
        <v>16</v>
      </c>
      <c r="D525" s="1" t="s">
        <v>405</v>
      </c>
      <c r="E525" s="1" t="s">
        <v>994</v>
      </c>
      <c r="F525" s="3" t="s">
        <v>982</v>
      </c>
      <c r="G525" s="1">
        <v>84</v>
      </c>
      <c r="H525" s="1">
        <v>6</v>
      </c>
      <c r="I525" s="1">
        <v>4</v>
      </c>
      <c r="J525" s="1">
        <v>94</v>
      </c>
      <c r="K525" s="1">
        <v>79</v>
      </c>
    </row>
    <row r="526" spans="1:11" x14ac:dyDescent="0.3">
      <c r="A526" s="1" t="s">
        <v>1279</v>
      </c>
      <c r="B526" s="1" t="s">
        <v>15</v>
      </c>
      <c r="C526" s="1" t="s">
        <v>16</v>
      </c>
      <c r="D526" s="1" t="s">
        <v>407</v>
      </c>
      <c r="E526" s="1" t="s">
        <v>994</v>
      </c>
      <c r="F526" s="3" t="s">
        <v>982</v>
      </c>
      <c r="G526" s="1">
        <v>102.6</v>
      </c>
      <c r="H526" s="1">
        <v>1</v>
      </c>
      <c r="I526" s="1">
        <v>4</v>
      </c>
      <c r="J526" s="1">
        <v>38</v>
      </c>
      <c r="K526" s="1">
        <v>39</v>
      </c>
    </row>
    <row r="527" spans="1:11" x14ac:dyDescent="0.3">
      <c r="A527" s="1" t="s">
        <v>1417</v>
      </c>
      <c r="B527" s="1" t="s">
        <v>15</v>
      </c>
      <c r="C527" s="1" t="s">
        <v>16</v>
      </c>
      <c r="D527" s="1" t="s">
        <v>405</v>
      </c>
      <c r="E527" s="1" t="s">
        <v>994</v>
      </c>
      <c r="F527" s="3" t="s">
        <v>982</v>
      </c>
      <c r="G527" s="1">
        <v>58.8</v>
      </c>
      <c r="H527" s="1">
        <v>2</v>
      </c>
      <c r="I527" s="1">
        <v>1</v>
      </c>
      <c r="J527" s="1">
        <v>34</v>
      </c>
      <c r="K527" s="1">
        <v>20</v>
      </c>
    </row>
    <row r="528" spans="1:11" x14ac:dyDescent="0.3">
      <c r="A528" s="1" t="s">
        <v>1674</v>
      </c>
      <c r="B528" s="1" t="s">
        <v>15</v>
      </c>
      <c r="C528" s="1" t="s">
        <v>16</v>
      </c>
      <c r="D528" s="1" t="s">
        <v>476</v>
      </c>
      <c r="E528" s="1" t="s">
        <v>994</v>
      </c>
      <c r="F528" s="3" t="s">
        <v>982</v>
      </c>
      <c r="G528" s="1">
        <v>13</v>
      </c>
      <c r="H528" s="1">
        <v>0</v>
      </c>
      <c r="I528" s="1">
        <v>0</v>
      </c>
      <c r="J528" s="1">
        <v>23</v>
      </c>
      <c r="K528" s="1">
        <v>3</v>
      </c>
    </row>
    <row r="529" spans="1:11" x14ac:dyDescent="0.3">
      <c r="A529" s="1" t="s">
        <v>1371</v>
      </c>
      <c r="B529" s="1" t="s">
        <v>24</v>
      </c>
      <c r="C529" s="1" t="s">
        <v>83</v>
      </c>
      <c r="D529" s="1" t="s">
        <v>535</v>
      </c>
      <c r="E529" s="1" t="s">
        <v>987</v>
      </c>
      <c r="F529" s="3" t="s">
        <v>985</v>
      </c>
      <c r="G529" s="1">
        <v>54.29999999999999</v>
      </c>
      <c r="H529" s="1">
        <v>2</v>
      </c>
      <c r="I529" s="1">
        <v>1</v>
      </c>
      <c r="J529" s="1">
        <v>45</v>
      </c>
      <c r="K529" s="1">
        <v>25</v>
      </c>
    </row>
    <row r="530" spans="1:11" x14ac:dyDescent="0.3">
      <c r="A530" s="1" t="s">
        <v>1418</v>
      </c>
      <c r="B530" s="1" t="s">
        <v>24</v>
      </c>
      <c r="C530" s="1" t="s">
        <v>83</v>
      </c>
      <c r="D530" s="1" t="s">
        <v>530</v>
      </c>
      <c r="E530" s="1" t="s">
        <v>987</v>
      </c>
      <c r="F530" s="3" t="s">
        <v>985</v>
      </c>
      <c r="G530" s="1">
        <v>39.700000000000003</v>
      </c>
      <c r="H530" s="1">
        <v>2</v>
      </c>
      <c r="I530" s="1">
        <v>0</v>
      </c>
      <c r="J530" s="1">
        <v>36</v>
      </c>
      <c r="K530" s="1">
        <v>20</v>
      </c>
    </row>
    <row r="531" spans="1:11" x14ac:dyDescent="0.3">
      <c r="A531" s="1" t="s">
        <v>1427</v>
      </c>
      <c r="B531" s="1" t="s">
        <v>24</v>
      </c>
      <c r="C531" s="1" t="s">
        <v>16</v>
      </c>
      <c r="D531" s="1" t="s">
        <v>535</v>
      </c>
      <c r="E531" s="1" t="s">
        <v>987</v>
      </c>
      <c r="F531" s="3" t="s">
        <v>985</v>
      </c>
      <c r="G531" s="1">
        <v>73.099999999999994</v>
      </c>
      <c r="H531" s="1">
        <v>2</v>
      </c>
      <c r="I531" s="1">
        <v>0</v>
      </c>
      <c r="J531" s="1">
        <v>26</v>
      </c>
      <c r="K531" s="1">
        <v>19</v>
      </c>
    </row>
    <row r="532" spans="1:11" x14ac:dyDescent="0.3">
      <c r="A532" s="1" t="s">
        <v>1441</v>
      </c>
      <c r="B532" s="1" t="s">
        <v>24</v>
      </c>
      <c r="C532" s="1" t="s">
        <v>16</v>
      </c>
      <c r="D532" s="1" t="s">
        <v>530</v>
      </c>
      <c r="E532" s="1" t="s">
        <v>987</v>
      </c>
      <c r="F532" s="3" t="s">
        <v>985</v>
      </c>
      <c r="G532" s="1">
        <v>41.9</v>
      </c>
      <c r="H532" s="1">
        <v>2</v>
      </c>
      <c r="I532" s="1">
        <v>0</v>
      </c>
      <c r="J532" s="1">
        <v>43</v>
      </c>
      <c r="K532" s="1">
        <v>18</v>
      </c>
    </row>
    <row r="533" spans="1:11" x14ac:dyDescent="0.3">
      <c r="A533" s="1" t="s">
        <v>1656</v>
      </c>
      <c r="B533" s="1" t="s">
        <v>208</v>
      </c>
      <c r="C533" s="1" t="s">
        <v>16</v>
      </c>
      <c r="D533" s="1" t="s">
        <v>107</v>
      </c>
      <c r="E533" s="1" t="s">
        <v>981</v>
      </c>
      <c r="F533" s="3" t="s">
        <v>985</v>
      </c>
      <c r="G533" s="1">
        <v>28.6</v>
      </c>
      <c r="H533" s="1">
        <v>0</v>
      </c>
      <c r="I533" s="1">
        <v>0</v>
      </c>
      <c r="J533" s="1">
        <v>14</v>
      </c>
      <c r="K533" s="1">
        <v>4</v>
      </c>
    </row>
    <row r="534" spans="1:11" x14ac:dyDescent="0.3">
      <c r="A534" s="1" t="s">
        <v>1511</v>
      </c>
      <c r="B534" s="1" t="s">
        <v>208</v>
      </c>
      <c r="C534" s="1" t="s">
        <v>16</v>
      </c>
      <c r="D534" s="1" t="s">
        <v>25</v>
      </c>
      <c r="E534" s="1" t="s">
        <v>981</v>
      </c>
      <c r="F534" s="3" t="s">
        <v>985</v>
      </c>
      <c r="G534" s="1">
        <v>63.2</v>
      </c>
      <c r="H534" s="1">
        <v>3</v>
      </c>
      <c r="I534" s="1">
        <v>0</v>
      </c>
      <c r="J534" s="1">
        <v>19</v>
      </c>
      <c r="K534" s="1">
        <v>12</v>
      </c>
    </row>
    <row r="535" spans="1:11" x14ac:dyDescent="0.3">
      <c r="A535" s="1" t="s">
        <v>1116</v>
      </c>
      <c r="B535" s="1" t="s">
        <v>208</v>
      </c>
      <c r="C535" s="1" t="s">
        <v>16</v>
      </c>
      <c r="D535" s="1" t="s">
        <v>746</v>
      </c>
      <c r="E535" s="1" t="s">
        <v>981</v>
      </c>
      <c r="F535" s="3" t="s">
        <v>985</v>
      </c>
      <c r="G535" s="1">
        <v>88.9</v>
      </c>
      <c r="H535" s="1">
        <v>8</v>
      </c>
      <c r="I535" s="1">
        <v>1</v>
      </c>
      <c r="J535" s="1">
        <v>81</v>
      </c>
      <c r="K535" s="1">
        <v>72</v>
      </c>
    </row>
    <row r="536" spans="1:11" x14ac:dyDescent="0.3">
      <c r="A536" s="1" t="s">
        <v>1041</v>
      </c>
      <c r="B536" s="1" t="s">
        <v>208</v>
      </c>
      <c r="C536" s="1" t="s">
        <v>83</v>
      </c>
      <c r="D536" s="1" t="s">
        <v>12</v>
      </c>
      <c r="E536" s="1" t="s">
        <v>981</v>
      </c>
      <c r="F536" s="3" t="s">
        <v>985</v>
      </c>
      <c r="G536" s="1">
        <v>87.4</v>
      </c>
      <c r="H536" s="1">
        <v>11</v>
      </c>
      <c r="I536" s="1">
        <v>3</v>
      </c>
      <c r="J536" s="1">
        <v>200</v>
      </c>
      <c r="K536" s="1">
        <v>111</v>
      </c>
    </row>
    <row r="537" spans="1:11" x14ac:dyDescent="0.3">
      <c r="A537" s="1" t="s">
        <v>992</v>
      </c>
      <c r="B537" s="1" t="s">
        <v>208</v>
      </c>
      <c r="C537" s="1" t="s">
        <v>83</v>
      </c>
      <c r="D537" s="1" t="s">
        <v>139</v>
      </c>
      <c r="E537" s="1" t="s">
        <v>981</v>
      </c>
      <c r="F537" s="3" t="s">
        <v>985</v>
      </c>
      <c r="G537" s="1">
        <v>58.8</v>
      </c>
      <c r="H537" s="1">
        <v>23</v>
      </c>
      <c r="I537" s="1">
        <v>1</v>
      </c>
      <c r="J537" s="1">
        <v>319</v>
      </c>
      <c r="K537" s="1">
        <v>177</v>
      </c>
    </row>
    <row r="538" spans="1:11" x14ac:dyDescent="0.3">
      <c r="A538" s="1" t="s">
        <v>984</v>
      </c>
      <c r="B538" s="1" t="s">
        <v>32</v>
      </c>
      <c r="C538" s="1" t="s">
        <v>16</v>
      </c>
      <c r="D538" s="1" t="s">
        <v>103</v>
      </c>
      <c r="E538" s="1" t="s">
        <v>981</v>
      </c>
      <c r="F538" s="3" t="s">
        <v>985</v>
      </c>
      <c r="G538" s="1">
        <v>132.30000000000001</v>
      </c>
      <c r="H538" s="1">
        <v>12</v>
      </c>
      <c r="I538" s="1">
        <v>16</v>
      </c>
      <c r="J538" s="1">
        <v>158</v>
      </c>
      <c r="K538" s="1">
        <v>209</v>
      </c>
    </row>
    <row r="539" spans="1:11" x14ac:dyDescent="0.3">
      <c r="A539" s="1" t="s">
        <v>1092</v>
      </c>
      <c r="B539" s="1" t="s">
        <v>32</v>
      </c>
      <c r="C539" s="1" t="s">
        <v>16</v>
      </c>
      <c r="D539" s="1" t="s">
        <v>80</v>
      </c>
      <c r="E539" s="1" t="s">
        <v>977</v>
      </c>
      <c r="F539" s="3" t="s">
        <v>985</v>
      </c>
      <c r="G539" s="1">
        <v>88.8</v>
      </c>
      <c r="H539" s="1">
        <v>7</v>
      </c>
      <c r="I539" s="1">
        <v>3</v>
      </c>
      <c r="J539" s="1">
        <v>89</v>
      </c>
      <c r="K539" s="1">
        <v>79</v>
      </c>
    </row>
    <row r="540" spans="1:11" x14ac:dyDescent="0.3">
      <c r="A540" s="1" t="s">
        <v>1560</v>
      </c>
      <c r="B540" s="1" t="s">
        <v>32</v>
      </c>
      <c r="C540" s="1" t="s">
        <v>16</v>
      </c>
      <c r="D540" s="1" t="s">
        <v>29</v>
      </c>
      <c r="E540" s="1" t="s">
        <v>977</v>
      </c>
      <c r="F540" s="3" t="s">
        <v>985</v>
      </c>
      <c r="G540" s="1">
        <v>69.2</v>
      </c>
      <c r="H540" s="1">
        <v>1</v>
      </c>
      <c r="I540" s="1">
        <v>0</v>
      </c>
      <c r="J540" s="1">
        <v>13</v>
      </c>
      <c r="K540" s="1">
        <v>9</v>
      </c>
    </row>
    <row r="541" spans="1:11" x14ac:dyDescent="0.3">
      <c r="A541" s="1" t="s">
        <v>1532</v>
      </c>
      <c r="B541" s="1" t="s">
        <v>32</v>
      </c>
      <c r="C541" s="1" t="s">
        <v>16</v>
      </c>
      <c r="D541" s="1" t="s">
        <v>173</v>
      </c>
      <c r="E541" s="1" t="s">
        <v>977</v>
      </c>
      <c r="F541" s="3" t="s">
        <v>985</v>
      </c>
      <c r="G541" s="1">
        <v>50</v>
      </c>
      <c r="H541" s="1">
        <v>2</v>
      </c>
      <c r="I541" s="1">
        <v>0</v>
      </c>
      <c r="J541" s="1">
        <v>22</v>
      </c>
      <c r="K541" s="1">
        <v>11</v>
      </c>
    </row>
    <row r="542" spans="1:11" x14ac:dyDescent="0.3">
      <c r="A542" s="1" t="s">
        <v>1005</v>
      </c>
      <c r="B542" s="1" t="s">
        <v>32</v>
      </c>
      <c r="C542" s="1" t="s">
        <v>16</v>
      </c>
      <c r="D542" s="1" t="s">
        <v>46</v>
      </c>
      <c r="E542" s="1" t="s">
        <v>977</v>
      </c>
      <c r="F542" s="3" t="s">
        <v>985</v>
      </c>
      <c r="G542" s="1">
        <v>114.6</v>
      </c>
      <c r="H542" s="1">
        <v>17</v>
      </c>
      <c r="I542" s="1">
        <v>4</v>
      </c>
      <c r="J542" s="1">
        <v>123</v>
      </c>
      <c r="K542" s="1">
        <v>141</v>
      </c>
    </row>
    <row r="543" spans="1:11" x14ac:dyDescent="0.3">
      <c r="A543" s="1" t="s">
        <v>1265</v>
      </c>
      <c r="B543" s="1" t="s">
        <v>32</v>
      </c>
      <c r="C543" s="1" t="s">
        <v>16</v>
      </c>
      <c r="D543" s="1" t="s">
        <v>100</v>
      </c>
      <c r="E543" s="1" t="s">
        <v>977</v>
      </c>
      <c r="F543" s="3" t="s">
        <v>985</v>
      </c>
      <c r="G543" s="1">
        <v>89.4</v>
      </c>
      <c r="H543" s="1">
        <v>6</v>
      </c>
      <c r="I543" s="1">
        <v>0</v>
      </c>
      <c r="J543" s="1">
        <v>47</v>
      </c>
      <c r="K543" s="1">
        <v>42</v>
      </c>
    </row>
    <row r="544" spans="1:11" x14ac:dyDescent="0.3">
      <c r="A544" s="1" t="s">
        <v>1581</v>
      </c>
      <c r="B544" s="1" t="s">
        <v>32</v>
      </c>
      <c r="C544" s="1" t="s">
        <v>5</v>
      </c>
      <c r="D544" s="1" t="s">
        <v>19</v>
      </c>
      <c r="E544" s="1" t="s">
        <v>977</v>
      </c>
      <c r="F544" s="3" t="s">
        <v>985</v>
      </c>
      <c r="G544" s="1">
        <v>100</v>
      </c>
      <c r="H544" s="1">
        <v>0</v>
      </c>
      <c r="I544" s="1">
        <v>1</v>
      </c>
      <c r="J544" s="1">
        <v>8</v>
      </c>
      <c r="K544" s="1">
        <v>8</v>
      </c>
    </row>
    <row r="545" spans="1:11" x14ac:dyDescent="0.3">
      <c r="A545" s="1" t="s">
        <v>1148</v>
      </c>
      <c r="B545" s="1" t="s">
        <v>264</v>
      </c>
      <c r="C545" s="1" t="s">
        <v>16</v>
      </c>
      <c r="D545" s="1" t="s">
        <v>761</v>
      </c>
      <c r="E545" s="1" t="s">
        <v>1021</v>
      </c>
      <c r="F545" s="3" t="s">
        <v>985</v>
      </c>
      <c r="G545" s="1">
        <v>71.099999999999994</v>
      </c>
      <c r="H545" s="1">
        <v>5</v>
      </c>
      <c r="I545" s="1">
        <v>1</v>
      </c>
      <c r="J545" s="1">
        <v>90</v>
      </c>
      <c r="K545" s="1">
        <v>64</v>
      </c>
    </row>
    <row r="546" spans="1:11" x14ac:dyDescent="0.3">
      <c r="A546" s="1" t="s">
        <v>1484</v>
      </c>
      <c r="B546" s="1" t="s">
        <v>264</v>
      </c>
      <c r="C546" s="1" t="s">
        <v>16</v>
      </c>
      <c r="D546" s="1" t="s">
        <v>763</v>
      </c>
      <c r="E546" s="1" t="s">
        <v>1012</v>
      </c>
      <c r="F546" s="3" t="s">
        <v>985</v>
      </c>
      <c r="G546" s="1">
        <v>66.7</v>
      </c>
      <c r="H546" s="1">
        <v>2</v>
      </c>
      <c r="I546" s="1">
        <v>0</v>
      </c>
      <c r="J546" s="1">
        <v>21</v>
      </c>
      <c r="K546" s="1">
        <v>14</v>
      </c>
    </row>
    <row r="547" spans="1:11" x14ac:dyDescent="0.3">
      <c r="A547" s="1" t="s">
        <v>1713</v>
      </c>
      <c r="B547" s="1" t="s">
        <v>264</v>
      </c>
      <c r="C547" s="1" t="s">
        <v>16</v>
      </c>
      <c r="D547" s="1" t="s">
        <v>763</v>
      </c>
      <c r="E547" s="1" t="s">
        <v>1012</v>
      </c>
      <c r="F547" s="3" t="s">
        <v>985</v>
      </c>
      <c r="G547" s="1">
        <v>14.3</v>
      </c>
      <c r="H547" s="1">
        <v>0</v>
      </c>
      <c r="I547" s="1">
        <v>0</v>
      </c>
      <c r="J547" s="1">
        <v>7</v>
      </c>
      <c r="K547" s="1">
        <v>1</v>
      </c>
    </row>
    <row r="548" spans="1:11" x14ac:dyDescent="0.3">
      <c r="A548" s="1" t="s">
        <v>1419</v>
      </c>
      <c r="B548" s="1" t="s">
        <v>264</v>
      </c>
      <c r="C548" s="1" t="s">
        <v>16</v>
      </c>
      <c r="D548" s="1" t="s">
        <v>763</v>
      </c>
      <c r="E548" s="1" t="s">
        <v>1012</v>
      </c>
      <c r="F548" s="3" t="s">
        <v>985</v>
      </c>
      <c r="G548" s="1">
        <v>50</v>
      </c>
      <c r="H548" s="1">
        <v>2</v>
      </c>
      <c r="I548" s="1">
        <v>0</v>
      </c>
      <c r="J548" s="1">
        <v>40</v>
      </c>
      <c r="K548" s="1">
        <v>20</v>
      </c>
    </row>
    <row r="549" spans="1:11" x14ac:dyDescent="0.3">
      <c r="A549" s="1" t="s">
        <v>1171</v>
      </c>
      <c r="B549" s="1" t="s">
        <v>115</v>
      </c>
      <c r="C549" s="1" t="s">
        <v>16</v>
      </c>
      <c r="D549" s="1" t="s">
        <v>210</v>
      </c>
      <c r="E549" s="1" t="s">
        <v>1012</v>
      </c>
      <c r="F549" s="3" t="s">
        <v>985</v>
      </c>
      <c r="G549" s="1">
        <v>65.2</v>
      </c>
      <c r="H549" s="1">
        <v>5</v>
      </c>
      <c r="I549" s="1">
        <v>1</v>
      </c>
      <c r="J549" s="1">
        <v>89</v>
      </c>
      <c r="K549" s="1">
        <v>58</v>
      </c>
    </row>
    <row r="550" spans="1:11" x14ac:dyDescent="0.3">
      <c r="A550" s="1" t="s">
        <v>1238</v>
      </c>
      <c r="B550" s="1" t="s">
        <v>115</v>
      </c>
      <c r="C550" s="1" t="s">
        <v>16</v>
      </c>
      <c r="D550" s="1" t="s">
        <v>210</v>
      </c>
      <c r="E550" s="1" t="s">
        <v>1012</v>
      </c>
      <c r="F550" s="3" t="s">
        <v>985</v>
      </c>
      <c r="G550" s="1">
        <v>57.8</v>
      </c>
      <c r="H550" s="1">
        <v>2</v>
      </c>
      <c r="I550" s="1">
        <v>1</v>
      </c>
      <c r="J550" s="1">
        <v>83</v>
      </c>
      <c r="K550" s="1">
        <v>48</v>
      </c>
    </row>
    <row r="551" spans="1:11" x14ac:dyDescent="0.3">
      <c r="A551" s="1" t="s">
        <v>1246</v>
      </c>
      <c r="B551" s="1" t="s">
        <v>208</v>
      </c>
      <c r="C551" s="1" t="s">
        <v>16</v>
      </c>
      <c r="D551" s="1" t="s">
        <v>210</v>
      </c>
      <c r="E551" s="1" t="s">
        <v>1012</v>
      </c>
      <c r="F551" s="3" t="s">
        <v>985</v>
      </c>
      <c r="G551" s="1">
        <v>59</v>
      </c>
      <c r="H551" s="1">
        <v>5</v>
      </c>
      <c r="I551" s="1">
        <v>0</v>
      </c>
      <c r="J551" s="1">
        <v>78</v>
      </c>
      <c r="K551" s="1">
        <v>46</v>
      </c>
    </row>
    <row r="552" spans="1:11" x14ac:dyDescent="0.3">
      <c r="A552" s="1" t="s">
        <v>1634</v>
      </c>
      <c r="B552" s="1" t="s">
        <v>115</v>
      </c>
      <c r="C552" s="1" t="s">
        <v>16</v>
      </c>
      <c r="D552" s="1" t="s">
        <v>770</v>
      </c>
      <c r="E552" s="1" t="s">
        <v>1012</v>
      </c>
      <c r="F552" s="3" t="s">
        <v>985</v>
      </c>
      <c r="G552" s="1">
        <v>38.5</v>
      </c>
      <c r="H552" s="1">
        <v>0</v>
      </c>
      <c r="I552" s="1">
        <v>0</v>
      </c>
      <c r="J552" s="1">
        <v>13</v>
      </c>
      <c r="K552" s="1">
        <v>5</v>
      </c>
    </row>
    <row r="553" spans="1:11" x14ac:dyDescent="0.3">
      <c r="A553" s="1" t="s">
        <v>1165</v>
      </c>
      <c r="B553" s="1" t="s">
        <v>208</v>
      </c>
      <c r="C553" s="1" t="s">
        <v>16</v>
      </c>
      <c r="D553" s="1" t="s">
        <v>770</v>
      </c>
      <c r="E553" s="1" t="s">
        <v>1007</v>
      </c>
      <c r="F553" s="3" t="s">
        <v>985</v>
      </c>
      <c r="G553" s="1">
        <v>67.400000000000006</v>
      </c>
      <c r="H553" s="1">
        <v>4</v>
      </c>
      <c r="I553" s="1">
        <v>1</v>
      </c>
      <c r="J553" s="1">
        <v>89</v>
      </c>
      <c r="K553" s="1">
        <v>60</v>
      </c>
    </row>
    <row r="554" spans="1:11" x14ac:dyDescent="0.3">
      <c r="A554" s="1" t="s">
        <v>1561</v>
      </c>
      <c r="B554" s="1" t="s">
        <v>76</v>
      </c>
      <c r="C554" s="1" t="s">
        <v>16</v>
      </c>
      <c r="D554" s="1" t="s">
        <v>292</v>
      </c>
      <c r="E554" s="1" t="s">
        <v>1007</v>
      </c>
      <c r="F554" s="3" t="s">
        <v>985</v>
      </c>
      <c r="G554" s="1">
        <v>64.3</v>
      </c>
      <c r="H554" s="1">
        <v>1</v>
      </c>
      <c r="I554" s="1">
        <v>0</v>
      </c>
      <c r="J554" s="1">
        <v>14</v>
      </c>
      <c r="K554" s="1">
        <v>9</v>
      </c>
    </row>
    <row r="555" spans="1:11" x14ac:dyDescent="0.3">
      <c r="A555" s="1" t="s">
        <v>1311</v>
      </c>
      <c r="B555" s="1" t="s">
        <v>115</v>
      </c>
      <c r="C555" s="1" t="s">
        <v>16</v>
      </c>
      <c r="D555" s="1" t="s">
        <v>508</v>
      </c>
      <c r="E555" s="1" t="s">
        <v>1007</v>
      </c>
      <c r="F555" s="3" t="s">
        <v>985</v>
      </c>
      <c r="G555" s="1">
        <v>66</v>
      </c>
      <c r="H555" s="1">
        <v>4</v>
      </c>
      <c r="I555" s="1">
        <v>0</v>
      </c>
      <c r="J555" s="1">
        <v>50</v>
      </c>
      <c r="K555" s="1">
        <v>33</v>
      </c>
    </row>
    <row r="556" spans="1:11" x14ac:dyDescent="0.3">
      <c r="A556" s="1" t="s">
        <v>1442</v>
      </c>
      <c r="B556" s="1" t="s">
        <v>71</v>
      </c>
      <c r="C556" s="1" t="s">
        <v>16</v>
      </c>
      <c r="D556" s="1" t="s">
        <v>292</v>
      </c>
      <c r="E556" s="1" t="s">
        <v>1007</v>
      </c>
      <c r="F556" s="3" t="s">
        <v>985</v>
      </c>
      <c r="G556" s="1">
        <v>56.3</v>
      </c>
      <c r="H556" s="1">
        <v>2</v>
      </c>
      <c r="I556" s="1">
        <v>0</v>
      </c>
      <c r="J556" s="1">
        <v>32</v>
      </c>
      <c r="K556" s="1">
        <v>18</v>
      </c>
    </row>
    <row r="557" spans="1:11" x14ac:dyDescent="0.3">
      <c r="A557" s="1" t="s">
        <v>1207</v>
      </c>
      <c r="B557" s="1" t="s">
        <v>208</v>
      </c>
      <c r="C557" s="1" t="s">
        <v>16</v>
      </c>
      <c r="D557" s="1" t="s">
        <v>218</v>
      </c>
      <c r="E557" s="1" t="s">
        <v>1007</v>
      </c>
      <c r="F557" s="3" t="s">
        <v>985</v>
      </c>
      <c r="G557" s="1">
        <v>92.9</v>
      </c>
      <c r="H557" s="1">
        <v>7</v>
      </c>
      <c r="I557" s="1">
        <v>0</v>
      </c>
      <c r="J557" s="1">
        <v>56</v>
      </c>
      <c r="K557" s="1">
        <v>52</v>
      </c>
    </row>
    <row r="558" spans="1:11" x14ac:dyDescent="0.3">
      <c r="A558" s="1" t="s">
        <v>1142</v>
      </c>
      <c r="B558" s="1" t="s">
        <v>24</v>
      </c>
      <c r="C558" s="1" t="s">
        <v>16</v>
      </c>
      <c r="D558" s="1" t="s">
        <v>508</v>
      </c>
      <c r="E558" s="1" t="s">
        <v>1007</v>
      </c>
      <c r="F558" s="3" t="s">
        <v>985</v>
      </c>
      <c r="G558" s="1">
        <v>80.2</v>
      </c>
      <c r="H558" s="1">
        <v>8</v>
      </c>
      <c r="I558" s="1">
        <v>1</v>
      </c>
      <c r="J558" s="1">
        <v>81</v>
      </c>
      <c r="K558" s="1">
        <v>65</v>
      </c>
    </row>
    <row r="559" spans="1:11" x14ac:dyDescent="0.3">
      <c r="A559" s="1" t="s">
        <v>1695</v>
      </c>
      <c r="B559" s="1" t="s">
        <v>56</v>
      </c>
      <c r="C559" s="1" t="s">
        <v>1043</v>
      </c>
      <c r="D559" s="1" t="s">
        <v>139</v>
      </c>
      <c r="E559" s="1" t="s">
        <v>1036</v>
      </c>
      <c r="F559" s="3" t="s">
        <v>985</v>
      </c>
      <c r="G559" s="1">
        <v>40</v>
      </c>
      <c r="H559" s="1">
        <v>0</v>
      </c>
      <c r="I559" s="1">
        <v>0</v>
      </c>
      <c r="J559" s="1">
        <v>5</v>
      </c>
      <c r="K559" s="1">
        <v>2</v>
      </c>
    </row>
    <row r="560" spans="1:11" x14ac:dyDescent="0.3">
      <c r="A560" s="1" t="s">
        <v>1696</v>
      </c>
      <c r="B560" s="1" t="s">
        <v>4</v>
      </c>
      <c r="C560" s="1" t="s">
        <v>1043</v>
      </c>
      <c r="D560" s="1" t="s">
        <v>139</v>
      </c>
      <c r="E560" s="1" t="s">
        <v>1036</v>
      </c>
      <c r="F560" s="3" t="s">
        <v>985</v>
      </c>
      <c r="G560" s="1">
        <v>25</v>
      </c>
      <c r="H560" s="1">
        <v>0</v>
      </c>
      <c r="I560" s="1">
        <v>0</v>
      </c>
      <c r="J560" s="1">
        <v>8</v>
      </c>
      <c r="K560" s="1">
        <v>2</v>
      </c>
    </row>
    <row r="561" spans="1:11" x14ac:dyDescent="0.3">
      <c r="A561" s="1" t="s">
        <v>1582</v>
      </c>
      <c r="B561" s="1" t="s">
        <v>56</v>
      </c>
      <c r="C561" s="1" t="s">
        <v>1043</v>
      </c>
      <c r="D561" s="1" t="s">
        <v>9</v>
      </c>
      <c r="E561" s="1" t="s">
        <v>1036</v>
      </c>
      <c r="F561" s="3" t="s">
        <v>985</v>
      </c>
      <c r="G561" s="1">
        <v>53.3</v>
      </c>
      <c r="H561" s="1">
        <v>0</v>
      </c>
      <c r="I561" s="1">
        <v>0</v>
      </c>
      <c r="J561" s="1">
        <v>15</v>
      </c>
      <c r="K561" s="1">
        <v>8</v>
      </c>
    </row>
    <row r="562" spans="1:11" x14ac:dyDescent="0.3">
      <c r="A562" s="1" t="s">
        <v>1372</v>
      </c>
      <c r="B562" s="1" t="s">
        <v>40</v>
      </c>
      <c r="C562" s="1" t="s">
        <v>1043</v>
      </c>
      <c r="D562" s="1" t="s">
        <v>154</v>
      </c>
      <c r="E562" s="1" t="s">
        <v>1036</v>
      </c>
      <c r="F562" s="3" t="s">
        <v>985</v>
      </c>
      <c r="G562" s="1">
        <v>100</v>
      </c>
      <c r="H562" s="1">
        <v>2</v>
      </c>
      <c r="I562" s="1">
        <v>1</v>
      </c>
      <c r="J562" s="1">
        <v>25</v>
      </c>
      <c r="K562" s="1">
        <v>25</v>
      </c>
    </row>
    <row r="563" spans="1:11" x14ac:dyDescent="0.3">
      <c r="A563" s="1" t="s">
        <v>1485</v>
      </c>
      <c r="B563" s="1" t="s">
        <v>4</v>
      </c>
      <c r="C563" s="1" t="s">
        <v>1043</v>
      </c>
      <c r="D563" s="1" t="s">
        <v>12</v>
      </c>
      <c r="E563" s="1" t="s">
        <v>1036</v>
      </c>
      <c r="F563" s="3" t="s">
        <v>985</v>
      </c>
      <c r="G563" s="1">
        <v>155.6</v>
      </c>
      <c r="H563" s="1">
        <v>2</v>
      </c>
      <c r="I563" s="1">
        <v>0</v>
      </c>
      <c r="J563" s="1">
        <v>9</v>
      </c>
      <c r="K563" s="1">
        <v>14</v>
      </c>
    </row>
    <row r="564" spans="1:11" x14ac:dyDescent="0.3">
      <c r="A564" s="1" t="s">
        <v>1420</v>
      </c>
      <c r="B564" s="1" t="s">
        <v>53</v>
      </c>
      <c r="C564" s="1" t="s">
        <v>1043</v>
      </c>
      <c r="D564" s="1" t="s">
        <v>12</v>
      </c>
      <c r="E564" s="1" t="s">
        <v>1036</v>
      </c>
      <c r="F564" s="3" t="s">
        <v>985</v>
      </c>
      <c r="G564" s="1">
        <v>133.30000000000001</v>
      </c>
      <c r="H564" s="1">
        <v>0</v>
      </c>
      <c r="I564" s="1">
        <v>2</v>
      </c>
      <c r="J564" s="1">
        <v>15</v>
      </c>
      <c r="K564" s="1">
        <v>20</v>
      </c>
    </row>
    <row r="565" spans="1:11" x14ac:dyDescent="0.3">
      <c r="A565" s="1" t="s">
        <v>1291</v>
      </c>
      <c r="B565" s="1" t="s">
        <v>783</v>
      </c>
      <c r="C565" s="1" t="s">
        <v>5</v>
      </c>
      <c r="D565" s="1" t="s">
        <v>100</v>
      </c>
      <c r="E565" s="1" t="s">
        <v>1036</v>
      </c>
      <c r="F565" s="3" t="s">
        <v>985</v>
      </c>
      <c r="G565" s="1">
        <v>90.2</v>
      </c>
      <c r="H565" s="1">
        <v>3</v>
      </c>
      <c r="I565" s="1">
        <v>0</v>
      </c>
      <c r="J565" s="1">
        <v>41</v>
      </c>
      <c r="K565" s="1">
        <v>37</v>
      </c>
    </row>
    <row r="566" spans="1:11" x14ac:dyDescent="0.3">
      <c r="A566" s="1" t="s">
        <v>1458</v>
      </c>
      <c r="B566" s="1" t="s">
        <v>11</v>
      </c>
      <c r="C566" s="1" t="s">
        <v>1043</v>
      </c>
      <c r="D566" s="1" t="s">
        <v>12</v>
      </c>
      <c r="E566" s="1" t="s">
        <v>1036</v>
      </c>
      <c r="F566" s="3" t="s">
        <v>985</v>
      </c>
      <c r="G566" s="1">
        <v>145.5</v>
      </c>
      <c r="H566" s="1">
        <v>1</v>
      </c>
      <c r="I566" s="1">
        <v>1</v>
      </c>
      <c r="J566" s="1">
        <v>11</v>
      </c>
      <c r="K566" s="1">
        <v>16</v>
      </c>
    </row>
    <row r="567" spans="1:11" x14ac:dyDescent="0.3">
      <c r="A567" s="1" t="s">
        <v>1280</v>
      </c>
      <c r="B567" s="1" t="s">
        <v>56</v>
      </c>
      <c r="C567" s="1" t="s">
        <v>1043</v>
      </c>
      <c r="D567" s="1" t="s">
        <v>12</v>
      </c>
      <c r="E567" s="1" t="s">
        <v>1036</v>
      </c>
      <c r="F567" s="3" t="s">
        <v>985</v>
      </c>
      <c r="G567" s="1">
        <v>130</v>
      </c>
      <c r="H567" s="1">
        <v>3</v>
      </c>
      <c r="I567" s="1">
        <v>1</v>
      </c>
      <c r="J567" s="1">
        <v>30</v>
      </c>
      <c r="K567" s="1">
        <v>39</v>
      </c>
    </row>
    <row r="568" spans="1:11" x14ac:dyDescent="0.3">
      <c r="A568" s="1" t="s">
        <v>1397</v>
      </c>
      <c r="B568" s="1" t="s">
        <v>53</v>
      </c>
      <c r="C568" s="1" t="s">
        <v>1043</v>
      </c>
      <c r="D568" s="1" t="s">
        <v>54</v>
      </c>
      <c r="E568" s="1" t="s">
        <v>1036</v>
      </c>
      <c r="F568" s="3" t="s">
        <v>985</v>
      </c>
      <c r="G568" s="1">
        <v>100</v>
      </c>
      <c r="H568" s="1">
        <v>2</v>
      </c>
      <c r="I568" s="1">
        <v>0</v>
      </c>
      <c r="J568" s="1">
        <v>22</v>
      </c>
      <c r="K568" s="1">
        <v>22</v>
      </c>
    </row>
    <row r="569" spans="1:11" x14ac:dyDescent="0.3">
      <c r="A569" s="1" t="s">
        <v>1093</v>
      </c>
      <c r="B569" s="1" t="s">
        <v>40</v>
      </c>
      <c r="C569" s="1" t="s">
        <v>1043</v>
      </c>
      <c r="D569" s="1" t="s">
        <v>12</v>
      </c>
      <c r="E569" s="1" t="s">
        <v>1047</v>
      </c>
      <c r="F569" s="3" t="s">
        <v>985</v>
      </c>
      <c r="G569" s="1">
        <v>202.6</v>
      </c>
      <c r="H569" s="1">
        <v>6</v>
      </c>
      <c r="I569" s="1">
        <v>6</v>
      </c>
      <c r="J569" s="1">
        <v>39</v>
      </c>
      <c r="K569" s="1">
        <v>79</v>
      </c>
    </row>
    <row r="570" spans="1:11" x14ac:dyDescent="0.3">
      <c r="A570" s="1" t="s">
        <v>1548</v>
      </c>
      <c r="B570" s="1" t="s">
        <v>60</v>
      </c>
      <c r="C570" s="1" t="s">
        <v>1043</v>
      </c>
      <c r="D570" s="1" t="s">
        <v>12</v>
      </c>
      <c r="E570" s="1" t="s">
        <v>1047</v>
      </c>
      <c r="F570" s="3" t="s">
        <v>985</v>
      </c>
      <c r="G570" s="1">
        <v>125</v>
      </c>
      <c r="H570" s="1">
        <v>1</v>
      </c>
      <c r="I570" s="1">
        <v>0</v>
      </c>
      <c r="J570" s="1">
        <v>8</v>
      </c>
      <c r="K570" s="1">
        <v>10</v>
      </c>
    </row>
    <row r="571" spans="1:11" x14ac:dyDescent="0.3">
      <c r="A571" s="1" t="s">
        <v>1308</v>
      </c>
      <c r="B571" s="1" t="s">
        <v>11</v>
      </c>
      <c r="C571" s="1" t="s">
        <v>1043</v>
      </c>
      <c r="D571" s="1" t="s">
        <v>139</v>
      </c>
      <c r="E571" s="1" t="s">
        <v>1047</v>
      </c>
      <c r="F571" s="3" t="s">
        <v>985</v>
      </c>
      <c r="G571" s="1">
        <v>121.4</v>
      </c>
      <c r="H571" s="1">
        <v>1</v>
      </c>
      <c r="I571" s="1">
        <v>2</v>
      </c>
      <c r="J571" s="1">
        <v>28</v>
      </c>
      <c r="K571" s="1">
        <v>34</v>
      </c>
    </row>
    <row r="572" spans="1:11" x14ac:dyDescent="0.3">
      <c r="A572" s="1" t="s">
        <v>1112</v>
      </c>
      <c r="B572" s="1" t="s">
        <v>8</v>
      </c>
      <c r="C572" s="1" t="s">
        <v>1043</v>
      </c>
      <c r="D572" s="1" t="s">
        <v>9</v>
      </c>
      <c r="E572" s="1" t="s">
        <v>1047</v>
      </c>
      <c r="F572" s="3" t="s">
        <v>985</v>
      </c>
      <c r="G572" s="1">
        <v>169.8</v>
      </c>
      <c r="H572" s="1">
        <v>5</v>
      </c>
      <c r="I572" s="1">
        <v>5</v>
      </c>
      <c r="J572" s="1">
        <v>43</v>
      </c>
      <c r="K572" s="1">
        <v>73</v>
      </c>
    </row>
    <row r="573" spans="1:11" x14ac:dyDescent="0.3">
      <c r="A573" s="1" t="s">
        <v>1697</v>
      </c>
      <c r="B573" s="1" t="s">
        <v>4</v>
      </c>
      <c r="C573" s="1" t="s">
        <v>1043</v>
      </c>
      <c r="D573" s="1" t="s">
        <v>46</v>
      </c>
      <c r="E573" s="1" t="s">
        <v>1047</v>
      </c>
      <c r="F573" s="3" t="s">
        <v>985</v>
      </c>
      <c r="G573" s="1">
        <v>28.6</v>
      </c>
      <c r="H573" s="1">
        <v>0</v>
      </c>
      <c r="I573" s="1">
        <v>0</v>
      </c>
      <c r="J573" s="1">
        <v>7</v>
      </c>
      <c r="K573" s="1">
        <v>2</v>
      </c>
    </row>
    <row r="574" spans="1:11" x14ac:dyDescent="0.3">
      <c r="A574" s="1" t="s">
        <v>1159</v>
      </c>
      <c r="B574" s="1" t="s">
        <v>783</v>
      </c>
      <c r="C574" s="1" t="s">
        <v>5</v>
      </c>
      <c r="D574" s="1" t="s">
        <v>12</v>
      </c>
      <c r="E574" s="1" t="s">
        <v>1047</v>
      </c>
      <c r="F574" s="3" t="s">
        <v>985</v>
      </c>
      <c r="G574" s="1">
        <v>193.8</v>
      </c>
      <c r="H574" s="1">
        <v>3</v>
      </c>
      <c r="I574" s="1">
        <v>5</v>
      </c>
      <c r="J574" s="1">
        <v>32</v>
      </c>
      <c r="K574" s="1">
        <v>62</v>
      </c>
    </row>
    <row r="575" spans="1:11" x14ac:dyDescent="0.3">
      <c r="A575" s="1" t="s">
        <v>1110</v>
      </c>
      <c r="B575" s="1" t="s">
        <v>8</v>
      </c>
      <c r="C575" s="1" t="s">
        <v>1043</v>
      </c>
      <c r="D575" s="1" t="s">
        <v>12</v>
      </c>
      <c r="E575" s="1" t="s">
        <v>1047</v>
      </c>
      <c r="F575" s="3" t="s">
        <v>985</v>
      </c>
      <c r="G575" s="1">
        <v>148</v>
      </c>
      <c r="H575" s="1">
        <v>4</v>
      </c>
      <c r="I575" s="1">
        <v>5</v>
      </c>
      <c r="J575" s="1">
        <v>50</v>
      </c>
      <c r="K575" s="1">
        <v>74</v>
      </c>
    </row>
    <row r="576" spans="1:11" x14ac:dyDescent="0.3">
      <c r="A576" s="1" t="s">
        <v>1583</v>
      </c>
      <c r="B576" s="1" t="s">
        <v>56</v>
      </c>
      <c r="C576" s="1" t="s">
        <v>1043</v>
      </c>
      <c r="D576" s="1" t="s">
        <v>64</v>
      </c>
      <c r="E576" s="1" t="s">
        <v>1047</v>
      </c>
      <c r="F576" s="3" t="s">
        <v>985</v>
      </c>
      <c r="G576" s="1">
        <v>80</v>
      </c>
      <c r="H576" s="1">
        <v>1</v>
      </c>
      <c r="I576" s="1">
        <v>0</v>
      </c>
      <c r="J576" s="1">
        <v>10</v>
      </c>
      <c r="K576" s="1">
        <v>8</v>
      </c>
    </row>
    <row r="577" spans="1:11" x14ac:dyDescent="0.3">
      <c r="A577" s="1" t="s">
        <v>1533</v>
      </c>
      <c r="B577" s="1" t="s">
        <v>60</v>
      </c>
      <c r="C577" s="1" t="s">
        <v>1043</v>
      </c>
      <c r="D577" s="1" t="s">
        <v>103</v>
      </c>
      <c r="E577" s="1" t="s">
        <v>1047</v>
      </c>
      <c r="F577" s="3" t="s">
        <v>985</v>
      </c>
      <c r="G577" s="1">
        <v>100</v>
      </c>
      <c r="H577" s="1">
        <v>1</v>
      </c>
      <c r="I577" s="1">
        <v>0</v>
      </c>
      <c r="J577" s="1">
        <v>11</v>
      </c>
      <c r="K577" s="1">
        <v>11</v>
      </c>
    </row>
    <row r="578" spans="1:11" x14ac:dyDescent="0.3">
      <c r="A578" s="1" t="s">
        <v>1657</v>
      </c>
      <c r="B578" s="1" t="s">
        <v>76</v>
      </c>
      <c r="C578" s="1" t="s">
        <v>16</v>
      </c>
      <c r="D578" s="1" t="s">
        <v>154</v>
      </c>
      <c r="E578" s="1" t="s">
        <v>994</v>
      </c>
      <c r="F578" s="3" t="s">
        <v>985</v>
      </c>
      <c r="G578" s="1">
        <v>44.4</v>
      </c>
      <c r="H578" s="1">
        <v>1</v>
      </c>
      <c r="I578" s="1">
        <v>0</v>
      </c>
      <c r="J578" s="1">
        <v>9</v>
      </c>
      <c r="K578" s="1">
        <v>4</v>
      </c>
    </row>
    <row r="579" spans="1:11" x14ac:dyDescent="0.3">
      <c r="A579" s="1" t="s">
        <v>1086</v>
      </c>
      <c r="B579" s="1" t="s">
        <v>76</v>
      </c>
      <c r="C579" s="1" t="s">
        <v>16</v>
      </c>
      <c r="D579" s="1" t="s">
        <v>173</v>
      </c>
      <c r="E579" s="1" t="s">
        <v>994</v>
      </c>
      <c r="F579" s="3" t="s">
        <v>985</v>
      </c>
      <c r="G579" s="1">
        <v>89.2</v>
      </c>
      <c r="H579" s="1">
        <v>11</v>
      </c>
      <c r="I579" s="1">
        <v>1</v>
      </c>
      <c r="J579" s="1">
        <v>93</v>
      </c>
      <c r="K579" s="1">
        <v>83</v>
      </c>
    </row>
    <row r="580" spans="1:11" x14ac:dyDescent="0.3">
      <c r="A580" s="1" t="s">
        <v>1658</v>
      </c>
      <c r="B580" s="1" t="s">
        <v>71</v>
      </c>
      <c r="C580" s="1" t="s">
        <v>16</v>
      </c>
      <c r="D580" s="1" t="s">
        <v>64</v>
      </c>
      <c r="E580" s="1" t="s">
        <v>987</v>
      </c>
      <c r="F580" s="3" t="s">
        <v>1044</v>
      </c>
      <c r="G580" s="1">
        <v>28.6</v>
      </c>
      <c r="H580" s="1">
        <v>0</v>
      </c>
      <c r="I580" s="1">
        <v>0</v>
      </c>
      <c r="J580" s="1">
        <v>14</v>
      </c>
      <c r="K580" s="1">
        <v>4</v>
      </c>
    </row>
    <row r="581" spans="1:11" x14ac:dyDescent="0.3">
      <c r="A581" s="1" t="s">
        <v>1659</v>
      </c>
      <c r="B581" s="1" t="s">
        <v>71</v>
      </c>
      <c r="C581" s="1" t="s">
        <v>5</v>
      </c>
      <c r="D581" s="1" t="s">
        <v>41</v>
      </c>
      <c r="E581" s="1" t="s">
        <v>987</v>
      </c>
      <c r="F581" s="3" t="s">
        <v>1044</v>
      </c>
      <c r="G581" s="1">
        <v>200</v>
      </c>
      <c r="H581" s="1">
        <v>1</v>
      </c>
      <c r="I581" s="1">
        <v>0</v>
      </c>
      <c r="J581" s="1">
        <v>2</v>
      </c>
      <c r="K581" s="1">
        <v>4</v>
      </c>
    </row>
    <row r="582" spans="1:11" x14ac:dyDescent="0.3">
      <c r="A582" s="1" t="s">
        <v>1698</v>
      </c>
      <c r="B582" s="1" t="s">
        <v>71</v>
      </c>
      <c r="C582" s="1" t="s">
        <v>5</v>
      </c>
      <c r="D582" s="1" t="s">
        <v>103</v>
      </c>
      <c r="E582" s="1" t="s">
        <v>987</v>
      </c>
      <c r="F582" s="3" t="s">
        <v>1044</v>
      </c>
      <c r="G582" s="1">
        <v>100</v>
      </c>
      <c r="H582" s="1">
        <v>0</v>
      </c>
      <c r="I582" s="1">
        <v>0</v>
      </c>
      <c r="J582" s="1">
        <v>2</v>
      </c>
      <c r="K582" s="1">
        <v>2</v>
      </c>
    </row>
    <row r="583" spans="1:11" x14ac:dyDescent="0.3">
      <c r="A583" s="1" t="s">
        <v>1386</v>
      </c>
      <c r="B583" s="1" t="s">
        <v>76</v>
      </c>
      <c r="C583" s="1" t="s">
        <v>5</v>
      </c>
      <c r="D583" s="1" t="s">
        <v>12</v>
      </c>
      <c r="E583" s="1" t="s">
        <v>987</v>
      </c>
      <c r="F583" s="3" t="s">
        <v>1044</v>
      </c>
      <c r="G583" s="1">
        <v>126.3</v>
      </c>
      <c r="H583" s="1">
        <v>1</v>
      </c>
      <c r="I583" s="1">
        <v>1</v>
      </c>
      <c r="J583" s="1">
        <v>19</v>
      </c>
      <c r="K583" s="1">
        <v>24</v>
      </c>
    </row>
    <row r="584" spans="1:11" x14ac:dyDescent="0.3">
      <c r="A584" s="1" t="s">
        <v>1373</v>
      </c>
      <c r="B584" s="1" t="s">
        <v>24</v>
      </c>
      <c r="C584" s="1" t="s">
        <v>5</v>
      </c>
      <c r="D584" s="1" t="s">
        <v>116</v>
      </c>
      <c r="E584" s="1" t="s">
        <v>977</v>
      </c>
      <c r="F584" s="3" t="s">
        <v>1044</v>
      </c>
      <c r="G584" s="1">
        <v>92.6</v>
      </c>
      <c r="H584" s="1">
        <v>2</v>
      </c>
      <c r="I584" s="1">
        <v>0</v>
      </c>
      <c r="J584" s="1">
        <v>27</v>
      </c>
      <c r="K584" s="1">
        <v>25</v>
      </c>
    </row>
    <row r="585" spans="1:11" x14ac:dyDescent="0.3">
      <c r="A585" s="1" t="s">
        <v>1714</v>
      </c>
      <c r="B585" s="1" t="s">
        <v>32</v>
      </c>
      <c r="C585" s="1" t="s">
        <v>5</v>
      </c>
      <c r="D585" s="1" t="s">
        <v>116</v>
      </c>
      <c r="E585" s="1" t="s">
        <v>1009</v>
      </c>
      <c r="F585" s="3" t="s">
        <v>1044</v>
      </c>
      <c r="G585" s="1">
        <v>50</v>
      </c>
      <c r="H585" s="1">
        <v>0</v>
      </c>
      <c r="I585" s="1">
        <v>0</v>
      </c>
      <c r="J585" s="1">
        <v>2</v>
      </c>
      <c r="K585" s="1">
        <v>1</v>
      </c>
    </row>
    <row r="586" spans="1:11" x14ac:dyDescent="0.3">
      <c r="A586" s="1" t="s">
        <v>1196</v>
      </c>
      <c r="B586" s="1" t="s">
        <v>76</v>
      </c>
      <c r="C586" s="1" t="s">
        <v>5</v>
      </c>
      <c r="D586" s="1" t="s">
        <v>116</v>
      </c>
      <c r="E586" s="1" t="s">
        <v>1009</v>
      </c>
      <c r="F586" s="3" t="s">
        <v>1044</v>
      </c>
      <c r="G586" s="1">
        <v>166.7</v>
      </c>
      <c r="H586" s="1">
        <v>5</v>
      </c>
      <c r="I586" s="1">
        <v>1</v>
      </c>
      <c r="J586" s="1">
        <v>33</v>
      </c>
      <c r="K586" s="1">
        <v>55</v>
      </c>
    </row>
    <row r="587" spans="1:11" x14ac:dyDescent="0.3">
      <c r="A587" s="1" t="s">
        <v>1715</v>
      </c>
      <c r="B587" s="1" t="s">
        <v>130</v>
      </c>
      <c r="C587" s="1" t="s">
        <v>5</v>
      </c>
      <c r="D587" s="1" t="s">
        <v>116</v>
      </c>
      <c r="E587" s="1" t="s">
        <v>1009</v>
      </c>
      <c r="F587" s="3" t="s">
        <v>1044</v>
      </c>
      <c r="G587" s="1">
        <v>100</v>
      </c>
      <c r="H587" s="1">
        <v>0</v>
      </c>
      <c r="I587" s="1">
        <v>0</v>
      </c>
      <c r="J587" s="1">
        <v>1</v>
      </c>
      <c r="K587" s="1">
        <v>1</v>
      </c>
    </row>
    <row r="588" spans="1:11" x14ac:dyDescent="0.3">
      <c r="A588" s="1" t="s">
        <v>1660</v>
      </c>
      <c r="B588" s="1" t="s">
        <v>15</v>
      </c>
      <c r="C588" s="1" t="s">
        <v>5</v>
      </c>
      <c r="D588" s="1" t="s">
        <v>64</v>
      </c>
      <c r="E588" s="1" t="s">
        <v>1009</v>
      </c>
      <c r="F588" s="3" t="s">
        <v>1044</v>
      </c>
      <c r="G588" s="1">
        <v>200</v>
      </c>
      <c r="H588" s="1">
        <v>0</v>
      </c>
      <c r="I588" s="1">
        <v>0</v>
      </c>
      <c r="J588" s="1">
        <v>2</v>
      </c>
      <c r="K588" s="1">
        <v>4</v>
      </c>
    </row>
    <row r="589" spans="1:11" x14ac:dyDescent="0.3">
      <c r="A589" s="1" t="s">
        <v>1661</v>
      </c>
      <c r="B589" s="1" t="s">
        <v>115</v>
      </c>
      <c r="C589" s="1" t="s">
        <v>16</v>
      </c>
      <c r="D589" s="1" t="s">
        <v>204</v>
      </c>
      <c r="E589" s="1" t="s">
        <v>1021</v>
      </c>
      <c r="F589" s="3" t="s">
        <v>1044</v>
      </c>
      <c r="G589" s="1">
        <v>44.4</v>
      </c>
      <c r="H589" s="1">
        <v>1</v>
      </c>
      <c r="I589" s="1">
        <v>0</v>
      </c>
      <c r="J589" s="1">
        <v>9</v>
      </c>
      <c r="K589" s="1">
        <v>4</v>
      </c>
    </row>
    <row r="590" spans="1:11" x14ac:dyDescent="0.3">
      <c r="A590" s="1" t="s">
        <v>1662</v>
      </c>
      <c r="B590" s="1" t="s">
        <v>115</v>
      </c>
      <c r="C590" s="1" t="s">
        <v>16</v>
      </c>
      <c r="D590" s="1" t="s">
        <v>116</v>
      </c>
      <c r="E590" s="1" t="s">
        <v>1012</v>
      </c>
      <c r="F590" s="3" t="s">
        <v>1044</v>
      </c>
      <c r="G590" s="1">
        <v>28.6</v>
      </c>
      <c r="H590" s="1">
        <v>0</v>
      </c>
      <c r="I590" s="1">
        <v>0</v>
      </c>
      <c r="J590" s="1">
        <v>14</v>
      </c>
      <c r="K590" s="1">
        <v>4</v>
      </c>
    </row>
    <row r="591" spans="1:11" x14ac:dyDescent="0.3">
      <c r="A591" s="1" t="s">
        <v>1755</v>
      </c>
      <c r="B591" s="1" t="s">
        <v>115</v>
      </c>
      <c r="C591" s="1" t="s">
        <v>16</v>
      </c>
      <c r="D591" s="1" t="s">
        <v>116</v>
      </c>
      <c r="E591" s="1" t="s">
        <v>1012</v>
      </c>
      <c r="F591" s="3" t="s">
        <v>1044</v>
      </c>
      <c r="G591" s="1">
        <v>0</v>
      </c>
      <c r="H591" s="1">
        <v>0</v>
      </c>
      <c r="I591" s="1">
        <v>0</v>
      </c>
      <c r="J591" s="1">
        <v>1</v>
      </c>
      <c r="K591" s="1">
        <v>0</v>
      </c>
    </row>
    <row r="592" spans="1:11" x14ac:dyDescent="0.3">
      <c r="A592" s="1" t="s">
        <v>1756</v>
      </c>
      <c r="B592" s="1" t="s">
        <v>115</v>
      </c>
      <c r="C592" s="1" t="s">
        <v>16</v>
      </c>
      <c r="D592" s="1" t="s">
        <v>805</v>
      </c>
      <c r="E592" s="1" t="s">
        <v>1012</v>
      </c>
      <c r="F592" s="3" t="s">
        <v>1044</v>
      </c>
      <c r="G592" s="1">
        <v>0</v>
      </c>
      <c r="H592" s="1">
        <v>0</v>
      </c>
      <c r="I592" s="1">
        <v>0</v>
      </c>
      <c r="J592" s="1">
        <v>5</v>
      </c>
      <c r="K592" s="1">
        <v>0</v>
      </c>
    </row>
    <row r="593" spans="1:11" x14ac:dyDescent="0.3">
      <c r="A593" s="1" t="s">
        <v>1635</v>
      </c>
      <c r="B593" s="1" t="s">
        <v>115</v>
      </c>
      <c r="C593" s="1" t="s">
        <v>16</v>
      </c>
      <c r="D593" s="1" t="s">
        <v>805</v>
      </c>
      <c r="E593" s="1" t="s">
        <v>1012</v>
      </c>
      <c r="F593" s="3" t="s">
        <v>1044</v>
      </c>
      <c r="G593" s="1">
        <v>62.5</v>
      </c>
      <c r="H593" s="1">
        <v>0</v>
      </c>
      <c r="I593" s="1">
        <v>0</v>
      </c>
      <c r="J593" s="1">
        <v>8</v>
      </c>
      <c r="K593" s="1">
        <v>5</v>
      </c>
    </row>
    <row r="594" spans="1:11" x14ac:dyDescent="0.3">
      <c r="A594" s="1" t="s">
        <v>1486</v>
      </c>
      <c r="B594" s="1" t="s">
        <v>56</v>
      </c>
      <c r="C594" s="1" t="s">
        <v>1043</v>
      </c>
      <c r="D594" s="1" t="s">
        <v>103</v>
      </c>
      <c r="E594" s="1" t="s">
        <v>1036</v>
      </c>
      <c r="F594" s="3" t="s">
        <v>1044</v>
      </c>
      <c r="G594" s="1">
        <v>73.7</v>
      </c>
      <c r="H594" s="1">
        <v>0</v>
      </c>
      <c r="I594" s="1">
        <v>0</v>
      </c>
      <c r="J594" s="1">
        <v>19</v>
      </c>
      <c r="K594" s="1">
        <v>14</v>
      </c>
    </row>
    <row r="595" spans="1:11" x14ac:dyDescent="0.3">
      <c r="A595" s="1" t="s">
        <v>1512</v>
      </c>
      <c r="B595" s="1" t="s">
        <v>11</v>
      </c>
      <c r="C595" s="1" t="s">
        <v>1043</v>
      </c>
      <c r="D595" s="1" t="s">
        <v>12</v>
      </c>
      <c r="E595" s="1" t="s">
        <v>1036</v>
      </c>
      <c r="F595" s="3" t="s">
        <v>1044</v>
      </c>
      <c r="G595" s="1">
        <v>85.7</v>
      </c>
      <c r="H595" s="1">
        <v>1</v>
      </c>
      <c r="I595" s="1">
        <v>0</v>
      </c>
      <c r="J595" s="1">
        <v>14</v>
      </c>
      <c r="K595" s="1">
        <v>12</v>
      </c>
    </row>
    <row r="596" spans="1:11" x14ac:dyDescent="0.3">
      <c r="A596" s="1" t="s">
        <v>1636</v>
      </c>
      <c r="B596" s="1" t="s">
        <v>60</v>
      </c>
      <c r="C596" s="1" t="s">
        <v>1043</v>
      </c>
      <c r="D596" s="1" t="s">
        <v>103</v>
      </c>
      <c r="E596" s="1" t="s">
        <v>1036</v>
      </c>
      <c r="F596" s="3" t="s">
        <v>1044</v>
      </c>
      <c r="G596" s="1">
        <v>71.400000000000006</v>
      </c>
      <c r="H596" s="1">
        <v>1</v>
      </c>
      <c r="I596" s="1">
        <v>0</v>
      </c>
      <c r="J596" s="1">
        <v>7</v>
      </c>
      <c r="K596" s="1">
        <v>5</v>
      </c>
    </row>
    <row r="597" spans="1:11" x14ac:dyDescent="0.3">
      <c r="A597" s="1" t="s">
        <v>1042</v>
      </c>
      <c r="B597" s="1" t="s">
        <v>11</v>
      </c>
      <c r="C597" s="1" t="s">
        <v>1043</v>
      </c>
      <c r="D597" s="1" t="s">
        <v>139</v>
      </c>
      <c r="E597" s="1" t="s">
        <v>1036</v>
      </c>
      <c r="F597" s="3" t="s">
        <v>1044</v>
      </c>
      <c r="G597" s="1">
        <v>181.7</v>
      </c>
      <c r="H597" s="1">
        <v>12</v>
      </c>
      <c r="I597" s="1">
        <v>5</v>
      </c>
      <c r="J597" s="1">
        <v>60</v>
      </c>
      <c r="K597" s="1">
        <v>109</v>
      </c>
    </row>
    <row r="598" spans="1:11" x14ac:dyDescent="0.3">
      <c r="A598" s="1" t="s">
        <v>1757</v>
      </c>
      <c r="B598" s="1" t="s">
        <v>60</v>
      </c>
      <c r="C598" s="1" t="s">
        <v>1043</v>
      </c>
      <c r="D598" s="1" t="s">
        <v>12</v>
      </c>
      <c r="E598" s="1" t="s">
        <v>1036</v>
      </c>
      <c r="F598" s="3" t="s">
        <v>1044</v>
      </c>
      <c r="G598" s="1">
        <v>0</v>
      </c>
      <c r="H598" s="1">
        <v>0</v>
      </c>
      <c r="I598" s="1">
        <v>0</v>
      </c>
      <c r="J598" s="1">
        <v>3</v>
      </c>
      <c r="K598" s="1">
        <v>0</v>
      </c>
    </row>
    <row r="599" spans="1:11" x14ac:dyDescent="0.3">
      <c r="A599" s="1" t="s">
        <v>1166</v>
      </c>
      <c r="B599" s="1" t="s">
        <v>56</v>
      </c>
      <c r="C599" s="1" t="s">
        <v>1043</v>
      </c>
      <c r="D599" s="1" t="s">
        <v>12</v>
      </c>
      <c r="E599" s="1" t="s">
        <v>1036</v>
      </c>
      <c r="F599" s="3" t="s">
        <v>1044</v>
      </c>
      <c r="G599" s="1">
        <v>130.4</v>
      </c>
      <c r="H599" s="1">
        <v>6</v>
      </c>
      <c r="I599" s="1">
        <v>2</v>
      </c>
      <c r="J599" s="1">
        <v>46</v>
      </c>
      <c r="K599" s="1">
        <v>60</v>
      </c>
    </row>
    <row r="600" spans="1:11" x14ac:dyDescent="0.3">
      <c r="A600" s="1" t="s">
        <v>1675</v>
      </c>
      <c r="B600" s="1" t="s">
        <v>783</v>
      </c>
      <c r="C600" s="1" t="s">
        <v>5</v>
      </c>
      <c r="D600" s="1" t="s">
        <v>100</v>
      </c>
      <c r="E600" s="1" t="s">
        <v>1036</v>
      </c>
      <c r="F600" s="3" t="s">
        <v>1044</v>
      </c>
      <c r="G600" s="1">
        <v>60</v>
      </c>
      <c r="H600" s="1">
        <v>0</v>
      </c>
      <c r="I600" s="1">
        <v>0</v>
      </c>
      <c r="J600" s="1">
        <v>5</v>
      </c>
      <c r="K600" s="1">
        <v>3</v>
      </c>
    </row>
    <row r="601" spans="1:11" x14ac:dyDescent="0.3">
      <c r="A601" s="1" t="s">
        <v>1266</v>
      </c>
      <c r="B601" s="1" t="s">
        <v>812</v>
      </c>
      <c r="C601" s="1" t="s">
        <v>5</v>
      </c>
      <c r="D601" s="1" t="s">
        <v>12</v>
      </c>
      <c r="E601" s="1" t="s">
        <v>1047</v>
      </c>
      <c r="F601" s="3" t="s">
        <v>1044</v>
      </c>
      <c r="G601" s="1">
        <v>87.5</v>
      </c>
      <c r="H601" s="1">
        <v>4</v>
      </c>
      <c r="I601" s="1">
        <v>1</v>
      </c>
      <c r="J601" s="1">
        <v>48</v>
      </c>
      <c r="K601" s="1">
        <v>42</v>
      </c>
    </row>
    <row r="602" spans="1:11" x14ac:dyDescent="0.3">
      <c r="A602" s="1" t="s">
        <v>1513</v>
      </c>
      <c r="B602" s="1" t="s">
        <v>8</v>
      </c>
      <c r="C602" s="1" t="s">
        <v>1043</v>
      </c>
      <c r="D602" s="1" t="s">
        <v>9</v>
      </c>
      <c r="E602" s="1" t="s">
        <v>1047</v>
      </c>
      <c r="F602" s="3" t="s">
        <v>1044</v>
      </c>
      <c r="G602" s="1">
        <v>200</v>
      </c>
      <c r="H602" s="1">
        <v>1</v>
      </c>
      <c r="I602" s="1">
        <v>1</v>
      </c>
      <c r="J602" s="1">
        <v>6</v>
      </c>
      <c r="K602" s="1">
        <v>12</v>
      </c>
    </row>
    <row r="603" spans="1:11" x14ac:dyDescent="0.3">
      <c r="A603" s="1" t="s">
        <v>1224</v>
      </c>
      <c r="B603" s="1" t="s">
        <v>40</v>
      </c>
      <c r="C603" s="1" t="s">
        <v>1043</v>
      </c>
      <c r="D603" s="1" t="s">
        <v>173</v>
      </c>
      <c r="E603" s="1" t="s">
        <v>1047</v>
      </c>
      <c r="F603" s="3" t="s">
        <v>1044</v>
      </c>
      <c r="G603" s="1">
        <v>166.7</v>
      </c>
      <c r="H603" s="1">
        <v>3</v>
      </c>
      <c r="I603" s="1">
        <v>3</v>
      </c>
      <c r="J603" s="1">
        <v>30</v>
      </c>
      <c r="K603" s="1">
        <v>50</v>
      </c>
    </row>
    <row r="604" spans="1:11" x14ac:dyDescent="0.3">
      <c r="A604" s="1" t="s">
        <v>1699</v>
      </c>
      <c r="B604" s="1" t="s">
        <v>40</v>
      </c>
      <c r="C604" s="1" t="s">
        <v>1043</v>
      </c>
      <c r="D604" s="1" t="s">
        <v>12</v>
      </c>
      <c r="E604" s="1" t="s">
        <v>1047</v>
      </c>
      <c r="F604" s="3" t="s">
        <v>1044</v>
      </c>
      <c r="G604" s="1">
        <v>40</v>
      </c>
      <c r="H604" s="1">
        <v>0</v>
      </c>
      <c r="I604" s="1">
        <v>0</v>
      </c>
      <c r="J604" s="1">
        <v>5</v>
      </c>
      <c r="K604" s="1">
        <v>2</v>
      </c>
    </row>
    <row r="605" spans="1:11" x14ac:dyDescent="0.3">
      <c r="A605" s="1" t="s">
        <v>1340</v>
      </c>
      <c r="B605" s="1" t="s">
        <v>8</v>
      </c>
      <c r="C605" s="1" t="s">
        <v>1043</v>
      </c>
      <c r="D605" s="1" t="s">
        <v>12</v>
      </c>
      <c r="E605" s="1" t="s">
        <v>1047</v>
      </c>
      <c r="F605" s="3" t="s">
        <v>1044</v>
      </c>
      <c r="G605" s="1">
        <v>107.4</v>
      </c>
      <c r="H605" s="1">
        <v>5</v>
      </c>
      <c r="I605" s="1">
        <v>0</v>
      </c>
      <c r="J605" s="1">
        <v>27</v>
      </c>
      <c r="K605" s="1">
        <v>29</v>
      </c>
    </row>
    <row r="606" spans="1:11" x14ac:dyDescent="0.3">
      <c r="A606" s="1" t="s">
        <v>1408</v>
      </c>
      <c r="B606" s="1" t="s">
        <v>4</v>
      </c>
      <c r="C606" s="1" t="s">
        <v>1043</v>
      </c>
      <c r="D606" s="1" t="s">
        <v>12</v>
      </c>
      <c r="E606" s="1" t="s">
        <v>1047</v>
      </c>
      <c r="F606" s="3" t="s">
        <v>1044</v>
      </c>
      <c r="G606" s="1">
        <v>161.5</v>
      </c>
      <c r="H606" s="1">
        <v>2</v>
      </c>
      <c r="I606" s="1">
        <v>1</v>
      </c>
      <c r="J606" s="1">
        <v>13</v>
      </c>
      <c r="K606" s="1">
        <v>21</v>
      </c>
    </row>
    <row r="607" spans="1:11" x14ac:dyDescent="0.3">
      <c r="A607" s="1" t="s">
        <v>1113</v>
      </c>
      <c r="B607" s="1" t="s">
        <v>812</v>
      </c>
      <c r="C607" s="1" t="s">
        <v>5</v>
      </c>
      <c r="D607" s="1" t="s">
        <v>25</v>
      </c>
      <c r="E607" s="1" t="s">
        <v>1047</v>
      </c>
      <c r="F607" s="3" t="s">
        <v>1044</v>
      </c>
      <c r="G607" s="1">
        <v>146</v>
      </c>
      <c r="H607" s="1">
        <v>4</v>
      </c>
      <c r="I607" s="1">
        <v>5</v>
      </c>
      <c r="J607" s="1">
        <v>50</v>
      </c>
      <c r="K607" s="1">
        <v>73</v>
      </c>
    </row>
    <row r="608" spans="1:11" x14ac:dyDescent="0.3">
      <c r="A608" s="1" t="s">
        <v>1716</v>
      </c>
      <c r="B608" s="1" t="s">
        <v>783</v>
      </c>
      <c r="C608" s="1" t="s">
        <v>5</v>
      </c>
      <c r="D608" s="1" t="s">
        <v>12</v>
      </c>
      <c r="E608" s="1" t="s">
        <v>1047</v>
      </c>
      <c r="F608" s="3" t="s">
        <v>1044</v>
      </c>
      <c r="G608" s="1">
        <v>16.7</v>
      </c>
      <c r="H608" s="1">
        <v>0</v>
      </c>
      <c r="I608" s="1">
        <v>0</v>
      </c>
      <c r="J608" s="1">
        <v>6</v>
      </c>
      <c r="K608" s="1">
        <v>1</v>
      </c>
    </row>
    <row r="609" spans="1:11" x14ac:dyDescent="0.3">
      <c r="A609" s="1" t="s">
        <v>1758</v>
      </c>
      <c r="B609" s="1" t="s">
        <v>56</v>
      </c>
      <c r="C609" s="1" t="s">
        <v>1043</v>
      </c>
      <c r="D609" s="1" t="s">
        <v>64</v>
      </c>
      <c r="E609" s="1" t="s">
        <v>1047</v>
      </c>
      <c r="F609" s="3" t="s">
        <v>1044</v>
      </c>
      <c r="G609" s="1">
        <v>0</v>
      </c>
      <c r="H609" s="1">
        <v>0</v>
      </c>
      <c r="I609" s="1">
        <v>0</v>
      </c>
      <c r="J609" s="1">
        <v>3</v>
      </c>
      <c r="K609" s="1">
        <v>0</v>
      </c>
    </row>
    <row r="610" spans="1:11" x14ac:dyDescent="0.3">
      <c r="A610" s="1" t="s">
        <v>1129</v>
      </c>
      <c r="B610" s="1" t="s">
        <v>71</v>
      </c>
      <c r="C610" s="1" t="s">
        <v>16</v>
      </c>
      <c r="D610" s="1" t="s">
        <v>259</v>
      </c>
      <c r="E610" s="1" t="s">
        <v>1016</v>
      </c>
      <c r="F610" s="3" t="s">
        <v>1044</v>
      </c>
      <c r="G610" s="1">
        <v>81.900000000000006</v>
      </c>
      <c r="H610" s="1">
        <v>5</v>
      </c>
      <c r="I610" s="1">
        <v>1</v>
      </c>
      <c r="J610" s="1">
        <v>83</v>
      </c>
      <c r="K610" s="1">
        <v>68</v>
      </c>
    </row>
    <row r="611" spans="1:11" x14ac:dyDescent="0.3">
      <c r="A611" s="1" t="s">
        <v>1663</v>
      </c>
      <c r="B611" s="1" t="s">
        <v>73</v>
      </c>
      <c r="C611" s="1" t="s">
        <v>16</v>
      </c>
      <c r="D611" s="1" t="s">
        <v>259</v>
      </c>
      <c r="E611" s="1" t="s">
        <v>1016</v>
      </c>
      <c r="F611" s="3" t="s">
        <v>1044</v>
      </c>
      <c r="G611" s="1">
        <v>66.7</v>
      </c>
      <c r="H611" s="1">
        <v>0</v>
      </c>
      <c r="I611" s="1">
        <v>0</v>
      </c>
      <c r="J611" s="1">
        <v>6</v>
      </c>
      <c r="K611" s="1">
        <v>4</v>
      </c>
    </row>
    <row r="612" spans="1:11" x14ac:dyDescent="0.3">
      <c r="A612" s="1" t="s">
        <v>1759</v>
      </c>
      <c r="B612" s="1" t="s">
        <v>32</v>
      </c>
      <c r="C612" s="1" t="s">
        <v>16</v>
      </c>
      <c r="D612" s="1" t="s">
        <v>88</v>
      </c>
      <c r="E612" s="1" t="s">
        <v>990</v>
      </c>
      <c r="F612" s="3" t="s">
        <v>1044</v>
      </c>
      <c r="G612" s="1">
        <v>0</v>
      </c>
      <c r="H612" s="1">
        <v>0</v>
      </c>
      <c r="I612" s="1">
        <v>0</v>
      </c>
      <c r="J612" s="1">
        <v>5</v>
      </c>
      <c r="K612" s="1">
        <v>0</v>
      </c>
    </row>
    <row r="613" spans="1:11" x14ac:dyDescent="0.3">
      <c r="A613" s="1" t="s">
        <v>1474</v>
      </c>
      <c r="B613" s="1" t="s">
        <v>115</v>
      </c>
      <c r="C613" s="1" t="s">
        <v>16</v>
      </c>
      <c r="D613" s="1" t="s">
        <v>35</v>
      </c>
      <c r="E613" s="1" t="s">
        <v>990</v>
      </c>
      <c r="F613" s="3" t="s">
        <v>1044</v>
      </c>
      <c r="G613" s="1">
        <v>55.6</v>
      </c>
      <c r="H613" s="1">
        <v>2</v>
      </c>
      <c r="I613" s="1">
        <v>0</v>
      </c>
      <c r="J613" s="1">
        <v>27</v>
      </c>
      <c r="K613" s="1">
        <v>15</v>
      </c>
    </row>
    <row r="614" spans="1:11" x14ac:dyDescent="0.3">
      <c r="A614" s="1" t="s">
        <v>1312</v>
      </c>
      <c r="B614" s="1" t="s">
        <v>32</v>
      </c>
      <c r="C614" s="1" t="s">
        <v>16</v>
      </c>
      <c r="D614" s="1" t="s">
        <v>35</v>
      </c>
      <c r="E614" s="1" t="s">
        <v>990</v>
      </c>
      <c r="F614" s="3" t="s">
        <v>1044</v>
      </c>
      <c r="G614" s="1">
        <v>80.5</v>
      </c>
      <c r="H614" s="1">
        <v>1</v>
      </c>
      <c r="I614" s="1">
        <v>1</v>
      </c>
      <c r="J614" s="1">
        <v>41</v>
      </c>
      <c r="K614" s="1">
        <v>33</v>
      </c>
    </row>
    <row r="615" spans="1:11" x14ac:dyDescent="0.3">
      <c r="A615" s="1" t="s">
        <v>1549</v>
      </c>
      <c r="B615" s="1" t="s">
        <v>115</v>
      </c>
      <c r="C615" s="1" t="s">
        <v>16</v>
      </c>
      <c r="D615" s="1" t="s">
        <v>37</v>
      </c>
      <c r="E615" s="1" t="s">
        <v>990</v>
      </c>
      <c r="F615" s="3" t="s">
        <v>1044</v>
      </c>
      <c r="G615" s="1">
        <v>58.8</v>
      </c>
      <c r="H615" s="1">
        <v>1</v>
      </c>
      <c r="I615" s="1">
        <v>0</v>
      </c>
      <c r="J615" s="1">
        <v>17</v>
      </c>
      <c r="K615" s="1">
        <v>10</v>
      </c>
    </row>
    <row r="616" spans="1:11" x14ac:dyDescent="0.3">
      <c r="A616" s="1" t="s">
        <v>1409</v>
      </c>
      <c r="B616" s="1" t="s">
        <v>32</v>
      </c>
      <c r="C616" s="1" t="s">
        <v>16</v>
      </c>
      <c r="D616" s="1" t="s">
        <v>84</v>
      </c>
      <c r="E616" s="1" t="s">
        <v>990</v>
      </c>
      <c r="F616" s="3" t="s">
        <v>1044</v>
      </c>
      <c r="G616" s="1">
        <v>100</v>
      </c>
      <c r="H616" s="1">
        <v>2</v>
      </c>
      <c r="I616" s="1">
        <v>0</v>
      </c>
      <c r="J616" s="1">
        <v>21</v>
      </c>
      <c r="K616" s="1">
        <v>21</v>
      </c>
    </row>
    <row r="617" spans="1:11" x14ac:dyDescent="0.3">
      <c r="A617" s="1" t="s">
        <v>1760</v>
      </c>
      <c r="B617" s="1" t="s">
        <v>32</v>
      </c>
      <c r="C617" s="1" t="s">
        <v>5</v>
      </c>
      <c r="D617" s="1" t="s">
        <v>826</v>
      </c>
      <c r="E617" s="1" t="s">
        <v>990</v>
      </c>
      <c r="F617" s="3" t="s">
        <v>1044</v>
      </c>
      <c r="G617" s="1">
        <v>0</v>
      </c>
      <c r="H617" s="1">
        <v>0</v>
      </c>
      <c r="I617" s="1">
        <v>0</v>
      </c>
      <c r="J617" s="1">
        <v>1</v>
      </c>
      <c r="K617" s="1">
        <v>0</v>
      </c>
    </row>
    <row r="618" spans="1:11" x14ac:dyDescent="0.3">
      <c r="A618" s="1" t="s">
        <v>1410</v>
      </c>
      <c r="B618" s="1" t="s">
        <v>208</v>
      </c>
      <c r="C618" s="1" t="s">
        <v>16</v>
      </c>
      <c r="D618" s="1" t="s">
        <v>64</v>
      </c>
      <c r="E618" s="1" t="s">
        <v>987</v>
      </c>
      <c r="F618" s="3" t="s">
        <v>1065</v>
      </c>
      <c r="G618" s="1">
        <v>80.8</v>
      </c>
      <c r="H618" s="1">
        <v>1</v>
      </c>
      <c r="I618" s="1">
        <v>0</v>
      </c>
      <c r="J618" s="1">
        <v>26</v>
      </c>
      <c r="K618" s="1">
        <v>21</v>
      </c>
    </row>
    <row r="619" spans="1:11" x14ac:dyDescent="0.3">
      <c r="A619" s="1" t="s">
        <v>1358</v>
      </c>
      <c r="B619" s="1" t="s">
        <v>208</v>
      </c>
      <c r="C619" s="1" t="s">
        <v>16</v>
      </c>
      <c r="D619" s="1" t="s">
        <v>17</v>
      </c>
      <c r="E619" s="1" t="s">
        <v>987</v>
      </c>
      <c r="F619" s="3" t="s">
        <v>1065</v>
      </c>
      <c r="G619" s="1">
        <v>168.8</v>
      </c>
      <c r="H619" s="1">
        <v>3</v>
      </c>
      <c r="I619" s="1">
        <v>0</v>
      </c>
      <c r="J619" s="1">
        <v>16</v>
      </c>
      <c r="K619" s="1">
        <v>27</v>
      </c>
    </row>
    <row r="620" spans="1:11" x14ac:dyDescent="0.3">
      <c r="A620" s="1" t="s">
        <v>1064</v>
      </c>
      <c r="B620" s="1" t="s">
        <v>208</v>
      </c>
      <c r="C620" s="1" t="s">
        <v>16</v>
      </c>
      <c r="D620" s="1" t="s">
        <v>41</v>
      </c>
      <c r="E620" s="1" t="s">
        <v>987</v>
      </c>
      <c r="F620" s="3" t="s">
        <v>1065</v>
      </c>
      <c r="G620" s="1">
        <v>95</v>
      </c>
      <c r="H620" s="1">
        <v>10</v>
      </c>
      <c r="I620" s="1">
        <v>1</v>
      </c>
      <c r="J620" s="1">
        <v>100</v>
      </c>
      <c r="K620" s="1">
        <v>95</v>
      </c>
    </row>
    <row r="621" spans="1:11" x14ac:dyDescent="0.3">
      <c r="A621" s="1" t="s">
        <v>1072</v>
      </c>
      <c r="B621" s="1" t="s">
        <v>208</v>
      </c>
      <c r="C621" s="1" t="s">
        <v>16</v>
      </c>
      <c r="D621" s="1" t="s">
        <v>25</v>
      </c>
      <c r="E621" s="1" t="s">
        <v>987</v>
      </c>
      <c r="F621" s="3" t="s">
        <v>1065</v>
      </c>
      <c r="G621" s="1">
        <v>91.8</v>
      </c>
      <c r="H621" s="1">
        <v>7</v>
      </c>
      <c r="I621" s="1">
        <v>2</v>
      </c>
      <c r="J621" s="1">
        <v>98</v>
      </c>
      <c r="K621" s="1">
        <v>90</v>
      </c>
    </row>
    <row r="622" spans="1:11" x14ac:dyDescent="0.3">
      <c r="A622" s="1" t="s">
        <v>1117</v>
      </c>
      <c r="B622" s="1" t="s">
        <v>208</v>
      </c>
      <c r="C622" s="1" t="s">
        <v>16</v>
      </c>
      <c r="D622" s="1" t="s">
        <v>78</v>
      </c>
      <c r="E622" s="1" t="s">
        <v>981</v>
      </c>
      <c r="F622" s="3" t="s">
        <v>1065</v>
      </c>
      <c r="G622" s="1">
        <v>72.7</v>
      </c>
      <c r="H622" s="1">
        <v>3</v>
      </c>
      <c r="I622" s="1">
        <v>1</v>
      </c>
      <c r="J622" s="1">
        <v>99</v>
      </c>
      <c r="K622" s="1">
        <v>72</v>
      </c>
    </row>
    <row r="623" spans="1:11" x14ac:dyDescent="0.3">
      <c r="A623" s="1" t="s">
        <v>1761</v>
      </c>
      <c r="B623" s="1" t="s">
        <v>76</v>
      </c>
      <c r="C623" s="1" t="s">
        <v>16</v>
      </c>
      <c r="D623" s="1" t="s">
        <v>835</v>
      </c>
      <c r="E623" s="1" t="s">
        <v>1009</v>
      </c>
      <c r="F623" s="3" t="s">
        <v>1065</v>
      </c>
      <c r="G623" s="1">
        <v>0</v>
      </c>
      <c r="H623" s="1">
        <v>0</v>
      </c>
      <c r="I623" s="1">
        <v>0</v>
      </c>
      <c r="J623" s="1">
        <v>1</v>
      </c>
      <c r="K623" s="1">
        <v>0</v>
      </c>
    </row>
    <row r="624" spans="1:11" x14ac:dyDescent="0.3">
      <c r="A624" s="1" t="s">
        <v>1717</v>
      </c>
      <c r="B624" s="1" t="s">
        <v>76</v>
      </c>
      <c r="C624" s="1" t="s">
        <v>5</v>
      </c>
      <c r="D624" s="1" t="s">
        <v>287</v>
      </c>
      <c r="E624" s="1" t="s">
        <v>1021</v>
      </c>
      <c r="F624" s="3" t="s">
        <v>1065</v>
      </c>
      <c r="G624" s="1">
        <v>33.299999999999997</v>
      </c>
      <c r="H624" s="1">
        <v>0</v>
      </c>
      <c r="I624" s="1">
        <v>0</v>
      </c>
      <c r="J624" s="1">
        <v>3</v>
      </c>
      <c r="K624" s="1">
        <v>1</v>
      </c>
    </row>
    <row r="625" spans="1:11" x14ac:dyDescent="0.3">
      <c r="A625" s="1" t="s">
        <v>1180</v>
      </c>
      <c r="B625" s="1" t="s">
        <v>208</v>
      </c>
      <c r="C625" s="1" t="s">
        <v>16</v>
      </c>
      <c r="D625" s="1" t="s">
        <v>770</v>
      </c>
      <c r="E625" s="1" t="s">
        <v>1007</v>
      </c>
      <c r="F625" s="3" t="s">
        <v>1065</v>
      </c>
      <c r="G625" s="1">
        <v>79.2</v>
      </c>
      <c r="H625" s="1">
        <v>2</v>
      </c>
      <c r="I625" s="1">
        <v>1</v>
      </c>
      <c r="J625" s="1">
        <v>72</v>
      </c>
      <c r="K625" s="1">
        <v>57</v>
      </c>
    </row>
    <row r="626" spans="1:11" x14ac:dyDescent="0.3">
      <c r="A626" s="1" t="s">
        <v>1281</v>
      </c>
      <c r="B626" s="1" t="s">
        <v>208</v>
      </c>
      <c r="C626" s="1" t="s">
        <v>16</v>
      </c>
      <c r="D626" s="1" t="s">
        <v>128</v>
      </c>
      <c r="E626" s="1" t="s">
        <v>1007</v>
      </c>
      <c r="F626" s="3" t="s">
        <v>1065</v>
      </c>
      <c r="G626" s="1">
        <v>83</v>
      </c>
      <c r="H626" s="1">
        <v>0</v>
      </c>
      <c r="I626" s="1">
        <v>1</v>
      </c>
      <c r="J626" s="1">
        <v>47</v>
      </c>
      <c r="K626" s="1">
        <v>39</v>
      </c>
    </row>
    <row r="627" spans="1:11" x14ac:dyDescent="0.3">
      <c r="A627" s="1" t="s">
        <v>1078</v>
      </c>
      <c r="B627" s="1" t="s">
        <v>208</v>
      </c>
      <c r="C627" s="1" t="s">
        <v>16</v>
      </c>
      <c r="D627" s="1" t="s">
        <v>128</v>
      </c>
      <c r="E627" s="1" t="s">
        <v>1007</v>
      </c>
      <c r="F627" s="3" t="s">
        <v>1065</v>
      </c>
      <c r="G627" s="1">
        <v>94.5</v>
      </c>
      <c r="H627" s="1">
        <v>5</v>
      </c>
      <c r="I627" s="1">
        <v>2</v>
      </c>
      <c r="J627" s="1">
        <v>91</v>
      </c>
      <c r="K627" s="1">
        <v>86</v>
      </c>
    </row>
    <row r="628" spans="1:11" x14ac:dyDescent="0.3">
      <c r="A628" s="1" t="s">
        <v>1603</v>
      </c>
      <c r="B628" s="1" t="s">
        <v>208</v>
      </c>
      <c r="C628" s="1" t="s">
        <v>16</v>
      </c>
      <c r="D628" s="1" t="s">
        <v>210</v>
      </c>
      <c r="E628" s="1" t="s">
        <v>1007</v>
      </c>
      <c r="F628" s="3" t="s">
        <v>1065</v>
      </c>
      <c r="G628" s="1">
        <v>50</v>
      </c>
      <c r="H628" s="1">
        <v>1</v>
      </c>
      <c r="I628" s="1">
        <v>0</v>
      </c>
      <c r="J628" s="1">
        <v>14</v>
      </c>
      <c r="K628" s="1">
        <v>7</v>
      </c>
    </row>
    <row r="629" spans="1:11" x14ac:dyDescent="0.3">
      <c r="A629" s="1" t="s">
        <v>1130</v>
      </c>
      <c r="B629" s="1" t="s">
        <v>208</v>
      </c>
      <c r="C629" s="1" t="s">
        <v>16</v>
      </c>
      <c r="D629" s="1" t="s">
        <v>210</v>
      </c>
      <c r="E629" s="1" t="s">
        <v>1007</v>
      </c>
      <c r="F629" s="3" t="s">
        <v>1065</v>
      </c>
      <c r="G629" s="1">
        <v>90.7</v>
      </c>
      <c r="H629" s="1">
        <v>3</v>
      </c>
      <c r="I629" s="1">
        <v>1</v>
      </c>
      <c r="J629" s="1">
        <v>75</v>
      </c>
      <c r="K629" s="1">
        <v>68</v>
      </c>
    </row>
    <row r="630" spans="1:11" x14ac:dyDescent="0.3">
      <c r="A630" s="1" t="s">
        <v>1366</v>
      </c>
      <c r="B630" s="1" t="s">
        <v>208</v>
      </c>
      <c r="C630" s="1" t="s">
        <v>5</v>
      </c>
      <c r="D630" s="1" t="s">
        <v>210</v>
      </c>
      <c r="E630" s="1" t="s">
        <v>1007</v>
      </c>
      <c r="F630" s="3" t="s">
        <v>1065</v>
      </c>
      <c r="G630" s="1">
        <v>113</v>
      </c>
      <c r="H630" s="1">
        <v>0</v>
      </c>
      <c r="I630" s="1">
        <v>2</v>
      </c>
      <c r="J630" s="1">
        <v>23</v>
      </c>
      <c r="K630" s="1">
        <v>26</v>
      </c>
    </row>
    <row r="631" spans="1:11" x14ac:dyDescent="0.3">
      <c r="A631" s="1" t="s">
        <v>1497</v>
      </c>
      <c r="B631" s="1" t="s">
        <v>60</v>
      </c>
      <c r="C631" s="1" t="s">
        <v>1043</v>
      </c>
      <c r="D631" s="1" t="s">
        <v>64</v>
      </c>
      <c r="E631" s="1" t="s">
        <v>1036</v>
      </c>
      <c r="F631" s="3" t="s">
        <v>1065</v>
      </c>
      <c r="G631" s="1">
        <v>86.7</v>
      </c>
      <c r="H631" s="1">
        <v>1</v>
      </c>
      <c r="I631" s="1">
        <v>0</v>
      </c>
      <c r="J631" s="1">
        <v>15</v>
      </c>
      <c r="K631" s="1">
        <v>13</v>
      </c>
    </row>
    <row r="632" spans="1:11" x14ac:dyDescent="0.3">
      <c r="A632" s="1" t="s">
        <v>1550</v>
      </c>
      <c r="B632" s="1" t="s">
        <v>11</v>
      </c>
      <c r="C632" s="1" t="s">
        <v>1043</v>
      </c>
      <c r="D632" s="1" t="s">
        <v>139</v>
      </c>
      <c r="E632" s="1" t="s">
        <v>1036</v>
      </c>
      <c r="F632" s="3" t="s">
        <v>1065</v>
      </c>
      <c r="G632" s="1">
        <v>111.1</v>
      </c>
      <c r="H632" s="1">
        <v>1</v>
      </c>
      <c r="I632" s="1">
        <v>0</v>
      </c>
      <c r="J632" s="1">
        <v>9</v>
      </c>
      <c r="K632" s="1">
        <v>10</v>
      </c>
    </row>
    <row r="633" spans="1:11" x14ac:dyDescent="0.3">
      <c r="A633" s="1" t="s">
        <v>1172</v>
      </c>
      <c r="B633" s="1" t="s">
        <v>4</v>
      </c>
      <c r="C633" s="1" t="s">
        <v>1043</v>
      </c>
      <c r="D633" s="1" t="s">
        <v>12</v>
      </c>
      <c r="E633" s="1" t="s">
        <v>1036</v>
      </c>
      <c r="F633" s="3" t="s">
        <v>1065</v>
      </c>
      <c r="G633" s="1">
        <v>123.4</v>
      </c>
      <c r="H633" s="1">
        <v>5</v>
      </c>
      <c r="I633" s="1">
        <v>1</v>
      </c>
      <c r="J633" s="1">
        <v>47</v>
      </c>
      <c r="K633" s="1">
        <v>58</v>
      </c>
    </row>
    <row r="634" spans="1:11" x14ac:dyDescent="0.3">
      <c r="A634" s="1" t="s">
        <v>1664</v>
      </c>
      <c r="B634" s="1" t="s">
        <v>812</v>
      </c>
      <c r="C634" s="1" t="s">
        <v>5</v>
      </c>
      <c r="D634" s="1" t="s">
        <v>12</v>
      </c>
      <c r="E634" s="1" t="s">
        <v>1036</v>
      </c>
      <c r="F634" s="3" t="s">
        <v>1065</v>
      </c>
      <c r="G634" s="1">
        <v>66.7</v>
      </c>
      <c r="H634" s="1">
        <v>1</v>
      </c>
      <c r="I634" s="1">
        <v>0</v>
      </c>
      <c r="J634" s="1">
        <v>6</v>
      </c>
      <c r="K634" s="1">
        <v>4</v>
      </c>
    </row>
    <row r="635" spans="1:11" x14ac:dyDescent="0.3">
      <c r="A635" s="1" t="s">
        <v>1637</v>
      </c>
      <c r="B635" s="1" t="s">
        <v>40</v>
      </c>
      <c r="C635" s="1" t="s">
        <v>1043</v>
      </c>
      <c r="D635" s="1" t="s">
        <v>173</v>
      </c>
      <c r="E635" s="1" t="s">
        <v>1036</v>
      </c>
      <c r="F635" s="3" t="s">
        <v>1065</v>
      </c>
      <c r="G635" s="1">
        <v>100</v>
      </c>
      <c r="H635" s="1">
        <v>1</v>
      </c>
      <c r="I635" s="1">
        <v>0</v>
      </c>
      <c r="J635" s="1">
        <v>5</v>
      </c>
      <c r="K635" s="1">
        <v>5</v>
      </c>
    </row>
    <row r="636" spans="1:11" x14ac:dyDescent="0.3">
      <c r="A636" s="1" t="s">
        <v>1230</v>
      </c>
      <c r="B636" s="1" t="s">
        <v>8</v>
      </c>
      <c r="C636" s="1" t="s">
        <v>1043</v>
      </c>
      <c r="D636" s="1" t="s">
        <v>12</v>
      </c>
      <c r="E636" s="1" t="s">
        <v>1036</v>
      </c>
      <c r="F636" s="3" t="s">
        <v>1065</v>
      </c>
      <c r="G636" s="1">
        <v>153.1</v>
      </c>
      <c r="H636" s="1">
        <v>2</v>
      </c>
      <c r="I636" s="1">
        <v>3</v>
      </c>
      <c r="J636" s="1">
        <v>32</v>
      </c>
      <c r="K636" s="1">
        <v>49</v>
      </c>
    </row>
    <row r="637" spans="1:11" x14ac:dyDescent="0.3">
      <c r="A637" s="1" t="s">
        <v>1514</v>
      </c>
      <c r="B637" s="1" t="s">
        <v>783</v>
      </c>
      <c r="C637" s="1" t="s">
        <v>5</v>
      </c>
      <c r="D637" s="1" t="s">
        <v>300</v>
      </c>
      <c r="E637" s="1" t="s">
        <v>1036</v>
      </c>
      <c r="F637" s="3" t="s">
        <v>1065</v>
      </c>
      <c r="G637" s="1">
        <v>60</v>
      </c>
      <c r="H637" s="1">
        <v>0</v>
      </c>
      <c r="I637" s="1">
        <v>0</v>
      </c>
      <c r="J637" s="1">
        <v>20</v>
      </c>
      <c r="K637" s="1">
        <v>12</v>
      </c>
    </row>
    <row r="638" spans="1:11" x14ac:dyDescent="0.3">
      <c r="A638" s="1" t="s">
        <v>1443</v>
      </c>
      <c r="B638" s="1" t="s">
        <v>40</v>
      </c>
      <c r="C638" s="1" t="s">
        <v>1043</v>
      </c>
      <c r="D638" s="1" t="s">
        <v>12</v>
      </c>
      <c r="E638" s="1" t="s">
        <v>1036</v>
      </c>
      <c r="F638" s="3" t="s">
        <v>1065</v>
      </c>
      <c r="G638" s="1">
        <v>163.6</v>
      </c>
      <c r="H638" s="1">
        <v>3</v>
      </c>
      <c r="I638" s="1">
        <v>0</v>
      </c>
      <c r="J638" s="1">
        <v>11</v>
      </c>
      <c r="K638" s="1">
        <v>18</v>
      </c>
    </row>
    <row r="639" spans="1:11" x14ac:dyDescent="0.3">
      <c r="A639" s="1" t="s">
        <v>1498</v>
      </c>
      <c r="B639" s="1" t="s">
        <v>4</v>
      </c>
      <c r="C639" s="1" t="s">
        <v>1043</v>
      </c>
      <c r="D639" s="1" t="s">
        <v>46</v>
      </c>
      <c r="E639" s="1" t="s">
        <v>1047</v>
      </c>
      <c r="F639" s="3" t="s">
        <v>1065</v>
      </c>
      <c r="G639" s="1">
        <v>59.1</v>
      </c>
      <c r="H639" s="1">
        <v>1</v>
      </c>
      <c r="I639" s="1">
        <v>0</v>
      </c>
      <c r="J639" s="1">
        <v>22</v>
      </c>
      <c r="K639" s="1">
        <v>13</v>
      </c>
    </row>
    <row r="640" spans="1:11" x14ac:dyDescent="0.3">
      <c r="A640" s="1" t="s">
        <v>1192</v>
      </c>
      <c r="B640" s="1" t="s">
        <v>812</v>
      </c>
      <c r="C640" s="1" t="s">
        <v>5</v>
      </c>
      <c r="D640" s="1" t="s">
        <v>54</v>
      </c>
      <c r="E640" s="1" t="s">
        <v>1047</v>
      </c>
      <c r="F640" s="3" t="s">
        <v>1065</v>
      </c>
      <c r="G640" s="1">
        <v>164.7</v>
      </c>
      <c r="H640" s="1">
        <v>5</v>
      </c>
      <c r="I640" s="1">
        <v>3</v>
      </c>
      <c r="J640" s="1">
        <v>34</v>
      </c>
      <c r="K640" s="1">
        <v>56</v>
      </c>
    </row>
    <row r="641" spans="1:11" x14ac:dyDescent="0.3">
      <c r="A641" s="1" t="s">
        <v>1076</v>
      </c>
      <c r="B641" s="1" t="s">
        <v>56</v>
      </c>
      <c r="C641" s="1" t="s">
        <v>1043</v>
      </c>
      <c r="D641" s="1" t="s">
        <v>12</v>
      </c>
      <c r="E641" s="1" t="s">
        <v>1047</v>
      </c>
      <c r="F641" s="3" t="s">
        <v>1065</v>
      </c>
      <c r="G641" s="1">
        <v>181.3</v>
      </c>
      <c r="H641" s="1">
        <v>8</v>
      </c>
      <c r="I641" s="1">
        <v>5</v>
      </c>
      <c r="J641" s="1">
        <v>48</v>
      </c>
      <c r="K641" s="1">
        <v>87</v>
      </c>
    </row>
    <row r="642" spans="1:11" x14ac:dyDescent="0.3">
      <c r="A642" s="1" t="s">
        <v>1421</v>
      </c>
      <c r="B642" s="1" t="s">
        <v>783</v>
      </c>
      <c r="C642" s="1" t="s">
        <v>5</v>
      </c>
      <c r="D642" s="1" t="s">
        <v>12</v>
      </c>
      <c r="E642" s="1" t="s">
        <v>1047</v>
      </c>
      <c r="F642" s="3" t="s">
        <v>1065</v>
      </c>
      <c r="G642" s="1">
        <v>111.1</v>
      </c>
      <c r="H642" s="1">
        <v>1</v>
      </c>
      <c r="I642" s="1">
        <v>1</v>
      </c>
      <c r="J642" s="1">
        <v>18</v>
      </c>
      <c r="K642" s="1">
        <v>20</v>
      </c>
    </row>
    <row r="643" spans="1:11" x14ac:dyDescent="0.3">
      <c r="A643" s="1" t="s">
        <v>1359</v>
      </c>
      <c r="B643" s="1" t="s">
        <v>8</v>
      </c>
      <c r="C643" s="1" t="s">
        <v>1043</v>
      </c>
      <c r="D643" s="1" t="s">
        <v>9</v>
      </c>
      <c r="E643" s="1" t="s">
        <v>1047</v>
      </c>
      <c r="F643" s="3" t="s">
        <v>1065</v>
      </c>
      <c r="G643" s="1">
        <v>90</v>
      </c>
      <c r="H643" s="1">
        <v>3</v>
      </c>
      <c r="I643" s="1">
        <v>0</v>
      </c>
      <c r="J643" s="1">
        <v>30</v>
      </c>
      <c r="K643" s="1">
        <v>27</v>
      </c>
    </row>
    <row r="644" spans="1:11" x14ac:dyDescent="0.3">
      <c r="A644" s="1" t="s">
        <v>1638</v>
      </c>
      <c r="B644" s="1" t="s">
        <v>24</v>
      </c>
      <c r="C644" s="1" t="s">
        <v>16</v>
      </c>
      <c r="D644" s="1" t="s">
        <v>180</v>
      </c>
      <c r="E644" s="1" t="s">
        <v>994</v>
      </c>
      <c r="F644" s="3" t="s">
        <v>1065</v>
      </c>
      <c r="G644" s="1">
        <v>62.5</v>
      </c>
      <c r="H644" s="1">
        <v>1</v>
      </c>
      <c r="I644" s="1">
        <v>0</v>
      </c>
      <c r="J644" s="1">
        <v>8</v>
      </c>
      <c r="K644" s="1">
        <v>5</v>
      </c>
    </row>
    <row r="645" spans="1:11" x14ac:dyDescent="0.3">
      <c r="A645" s="1" t="s">
        <v>1718</v>
      </c>
      <c r="B645" s="1" t="s">
        <v>24</v>
      </c>
      <c r="C645" s="1" t="s">
        <v>16</v>
      </c>
      <c r="D645" s="1" t="s">
        <v>532</v>
      </c>
      <c r="E645" s="1" t="s">
        <v>994</v>
      </c>
      <c r="F645" s="3" t="s">
        <v>1065</v>
      </c>
      <c r="G645" s="1">
        <v>16.7</v>
      </c>
      <c r="H645" s="1">
        <v>0</v>
      </c>
      <c r="I645" s="1">
        <v>0</v>
      </c>
      <c r="J645" s="1">
        <v>6</v>
      </c>
      <c r="K645" s="1">
        <v>1</v>
      </c>
    </row>
    <row r="646" spans="1:11" x14ac:dyDescent="0.3">
      <c r="A646" s="1" t="s">
        <v>1393</v>
      </c>
      <c r="B646" s="1" t="s">
        <v>24</v>
      </c>
      <c r="C646" s="1" t="s">
        <v>16</v>
      </c>
      <c r="D646" s="1" t="s">
        <v>176</v>
      </c>
      <c r="E646" s="1" t="s">
        <v>994</v>
      </c>
      <c r="F646" s="3" t="s">
        <v>1065</v>
      </c>
      <c r="G646" s="1">
        <v>51.1</v>
      </c>
      <c r="H646" s="1">
        <v>2</v>
      </c>
      <c r="I646" s="1">
        <v>0</v>
      </c>
      <c r="J646" s="1">
        <v>45</v>
      </c>
      <c r="K646" s="1">
        <v>23</v>
      </c>
    </row>
    <row r="647" spans="1:11" x14ac:dyDescent="0.3">
      <c r="A647" s="1" t="s">
        <v>1562</v>
      </c>
      <c r="B647" s="1" t="s">
        <v>24</v>
      </c>
      <c r="C647" s="1" t="s">
        <v>16</v>
      </c>
      <c r="D647" s="1" t="s">
        <v>530</v>
      </c>
      <c r="E647" s="1" t="s">
        <v>994</v>
      </c>
      <c r="F647" s="3" t="s">
        <v>1065</v>
      </c>
      <c r="G647" s="1">
        <v>64.3</v>
      </c>
      <c r="H647" s="1">
        <v>1</v>
      </c>
      <c r="I647" s="1">
        <v>0</v>
      </c>
      <c r="J647" s="1">
        <v>14</v>
      </c>
      <c r="K647" s="1">
        <v>9</v>
      </c>
    </row>
    <row r="648" spans="1:11" x14ac:dyDescent="0.3">
      <c r="A648" s="1" t="s">
        <v>1534</v>
      </c>
      <c r="B648" s="1" t="s">
        <v>24</v>
      </c>
      <c r="C648" s="1" t="s">
        <v>16</v>
      </c>
      <c r="D648" s="1" t="s">
        <v>535</v>
      </c>
      <c r="E648" s="1" t="s">
        <v>994</v>
      </c>
      <c r="F648" s="3" t="s">
        <v>1065</v>
      </c>
      <c r="G648" s="1">
        <v>40.700000000000003</v>
      </c>
      <c r="H648" s="1">
        <v>1</v>
      </c>
      <c r="I648" s="1">
        <v>0</v>
      </c>
      <c r="J648" s="1">
        <v>27</v>
      </c>
      <c r="K648" s="1">
        <v>11</v>
      </c>
    </row>
    <row r="649" spans="1:11" x14ac:dyDescent="0.3">
      <c r="A649" s="1" t="s">
        <v>1202</v>
      </c>
      <c r="B649" s="1" t="s">
        <v>24</v>
      </c>
      <c r="C649" s="1" t="s">
        <v>5</v>
      </c>
      <c r="D649" s="1" t="s">
        <v>535</v>
      </c>
      <c r="E649" s="1" t="s">
        <v>994</v>
      </c>
      <c r="F649" s="3" t="s">
        <v>1065</v>
      </c>
      <c r="G649" s="1">
        <v>155.9</v>
      </c>
      <c r="H649" s="1">
        <v>5</v>
      </c>
      <c r="I649" s="1">
        <v>2</v>
      </c>
      <c r="J649" s="1">
        <v>34</v>
      </c>
      <c r="K649" s="1">
        <v>53</v>
      </c>
    </row>
    <row r="650" spans="1:11" x14ac:dyDescent="0.3">
      <c r="A650" s="1" t="s">
        <v>1252</v>
      </c>
      <c r="B650" s="1" t="s">
        <v>15</v>
      </c>
      <c r="C650" s="1" t="s">
        <v>16</v>
      </c>
      <c r="D650" s="1" t="s">
        <v>103</v>
      </c>
      <c r="E650" s="1" t="s">
        <v>987</v>
      </c>
      <c r="F650" s="3" t="s">
        <v>1037</v>
      </c>
      <c r="G650" s="1">
        <v>91.7</v>
      </c>
      <c r="H650" s="1">
        <v>4</v>
      </c>
      <c r="I650" s="1">
        <v>1</v>
      </c>
      <c r="J650" s="1">
        <v>48</v>
      </c>
      <c r="K650" s="1">
        <v>44</v>
      </c>
    </row>
    <row r="651" spans="1:11" x14ac:dyDescent="0.3">
      <c r="A651" s="1" t="s">
        <v>1639</v>
      </c>
      <c r="B651" s="1" t="s">
        <v>115</v>
      </c>
      <c r="C651" s="1" t="s">
        <v>16</v>
      </c>
      <c r="D651" s="1" t="s">
        <v>568</v>
      </c>
      <c r="E651" s="1" t="s">
        <v>1021</v>
      </c>
      <c r="F651" s="3" t="s">
        <v>1037</v>
      </c>
      <c r="G651" s="1">
        <v>55.6</v>
      </c>
      <c r="H651" s="1">
        <v>0</v>
      </c>
      <c r="I651" s="1">
        <v>0</v>
      </c>
      <c r="J651" s="1">
        <v>9</v>
      </c>
      <c r="K651" s="1">
        <v>5</v>
      </c>
    </row>
    <row r="652" spans="1:11" x14ac:dyDescent="0.3">
      <c r="A652" s="1" t="s">
        <v>1535</v>
      </c>
      <c r="B652" s="1" t="s">
        <v>115</v>
      </c>
      <c r="C652" s="1" t="s">
        <v>16</v>
      </c>
      <c r="D652" s="1" t="s">
        <v>568</v>
      </c>
      <c r="E652" s="1" t="s">
        <v>1021</v>
      </c>
      <c r="F652" s="3" t="s">
        <v>1037</v>
      </c>
      <c r="G652" s="1">
        <v>52.4</v>
      </c>
      <c r="H652" s="1">
        <v>2</v>
      </c>
      <c r="I652" s="1">
        <v>0</v>
      </c>
      <c r="J652" s="1">
        <v>21</v>
      </c>
      <c r="K652" s="1">
        <v>11</v>
      </c>
    </row>
    <row r="653" spans="1:11" x14ac:dyDescent="0.3">
      <c r="A653" s="1" t="s">
        <v>1762</v>
      </c>
      <c r="B653" s="1" t="s">
        <v>115</v>
      </c>
      <c r="C653" s="1" t="s">
        <v>16</v>
      </c>
      <c r="D653" s="1" t="s">
        <v>568</v>
      </c>
      <c r="E653" s="1" t="s">
        <v>1021</v>
      </c>
      <c r="F653" s="3" t="s">
        <v>1037</v>
      </c>
      <c r="G653" s="1">
        <v>0</v>
      </c>
      <c r="H653" s="1">
        <v>0</v>
      </c>
      <c r="I653" s="1">
        <v>0</v>
      </c>
      <c r="J653" s="1">
        <v>2</v>
      </c>
      <c r="K653" s="1">
        <v>0</v>
      </c>
    </row>
    <row r="654" spans="1:11" x14ac:dyDescent="0.3">
      <c r="A654" s="1" t="s">
        <v>1665</v>
      </c>
      <c r="B654" s="1" t="s">
        <v>15</v>
      </c>
      <c r="C654" s="1" t="s">
        <v>16</v>
      </c>
      <c r="D654" s="1" t="s">
        <v>568</v>
      </c>
      <c r="E654" s="1" t="s">
        <v>1021</v>
      </c>
      <c r="F654" s="3" t="s">
        <v>1037</v>
      </c>
      <c r="G654" s="1">
        <v>36.4</v>
      </c>
      <c r="H654" s="1">
        <v>0</v>
      </c>
      <c r="I654" s="1">
        <v>0</v>
      </c>
      <c r="J654" s="1">
        <v>11</v>
      </c>
      <c r="K654" s="1">
        <v>4</v>
      </c>
    </row>
    <row r="655" spans="1:11" x14ac:dyDescent="0.3">
      <c r="A655" s="1" t="s">
        <v>1271</v>
      </c>
      <c r="B655" s="1" t="s">
        <v>115</v>
      </c>
      <c r="C655" s="1" t="s">
        <v>16</v>
      </c>
      <c r="D655" s="1" t="s">
        <v>568</v>
      </c>
      <c r="E655" s="1" t="s">
        <v>1007</v>
      </c>
      <c r="F655" s="3" t="s">
        <v>1037</v>
      </c>
      <c r="G655" s="1">
        <v>78.8</v>
      </c>
      <c r="H655" s="1">
        <v>3</v>
      </c>
      <c r="I655" s="1">
        <v>0</v>
      </c>
      <c r="J655" s="1">
        <v>52</v>
      </c>
      <c r="K655" s="1">
        <v>41</v>
      </c>
    </row>
    <row r="656" spans="1:11" x14ac:dyDescent="0.3">
      <c r="A656" s="1" t="s">
        <v>1124</v>
      </c>
      <c r="B656" s="1" t="s">
        <v>115</v>
      </c>
      <c r="C656" s="1" t="s">
        <v>16</v>
      </c>
      <c r="D656" s="1" t="s">
        <v>568</v>
      </c>
      <c r="E656" s="1" t="s">
        <v>1007</v>
      </c>
      <c r="F656" s="3" t="s">
        <v>1037</v>
      </c>
      <c r="G656" s="1">
        <v>94.5</v>
      </c>
      <c r="H656" s="1">
        <v>7</v>
      </c>
      <c r="I656" s="1">
        <v>0</v>
      </c>
      <c r="J656" s="1">
        <v>73</v>
      </c>
      <c r="K656" s="1">
        <v>69</v>
      </c>
    </row>
    <row r="657" spans="1:11" x14ac:dyDescent="0.3">
      <c r="A657" s="1" t="s">
        <v>1398</v>
      </c>
      <c r="B657" s="1" t="s">
        <v>71</v>
      </c>
      <c r="C657" s="1" t="s">
        <v>16</v>
      </c>
      <c r="D657" s="1" t="s">
        <v>568</v>
      </c>
      <c r="E657" s="1" t="s">
        <v>1007</v>
      </c>
      <c r="F657" s="3" t="s">
        <v>1037</v>
      </c>
      <c r="G657" s="1">
        <v>91.7</v>
      </c>
      <c r="H657" s="1">
        <v>2</v>
      </c>
      <c r="I657" s="1">
        <v>0</v>
      </c>
      <c r="J657" s="1">
        <v>24</v>
      </c>
      <c r="K657" s="1">
        <v>22</v>
      </c>
    </row>
    <row r="658" spans="1:11" x14ac:dyDescent="0.3">
      <c r="A658" s="1" t="s">
        <v>1763</v>
      </c>
      <c r="B658" s="1" t="s">
        <v>73</v>
      </c>
      <c r="C658" s="1" t="s">
        <v>16</v>
      </c>
      <c r="D658" s="1" t="s">
        <v>568</v>
      </c>
      <c r="E658" s="1" t="s">
        <v>1007</v>
      </c>
      <c r="F658" s="3" t="s">
        <v>1037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</row>
    <row r="659" spans="1:11" x14ac:dyDescent="0.3">
      <c r="A659" s="1" t="s">
        <v>1551</v>
      </c>
      <c r="B659" s="1" t="s">
        <v>264</v>
      </c>
      <c r="C659" s="1" t="s">
        <v>5</v>
      </c>
      <c r="D659" s="1" t="s">
        <v>763</v>
      </c>
      <c r="E659" s="1" t="s">
        <v>1007</v>
      </c>
      <c r="F659" s="3" t="s">
        <v>1037</v>
      </c>
      <c r="G659" s="1">
        <v>66.7</v>
      </c>
      <c r="H659" s="1">
        <v>1</v>
      </c>
      <c r="I659" s="1">
        <v>0</v>
      </c>
      <c r="J659" s="1">
        <v>15</v>
      </c>
      <c r="K659" s="1">
        <v>10</v>
      </c>
    </row>
    <row r="660" spans="1:11" x14ac:dyDescent="0.3">
      <c r="A660" s="1" t="s">
        <v>1318</v>
      </c>
      <c r="B660" s="1" t="s">
        <v>115</v>
      </c>
      <c r="C660" s="1" t="s">
        <v>16</v>
      </c>
      <c r="D660" s="1" t="s">
        <v>763</v>
      </c>
      <c r="E660" s="1" t="s">
        <v>1007</v>
      </c>
      <c r="F660" s="3" t="s">
        <v>1037</v>
      </c>
      <c r="G660" s="1">
        <v>80</v>
      </c>
      <c r="H660" s="1">
        <v>1</v>
      </c>
      <c r="I660" s="1">
        <v>0</v>
      </c>
      <c r="J660" s="1">
        <v>40</v>
      </c>
      <c r="K660" s="1">
        <v>32</v>
      </c>
    </row>
    <row r="661" spans="1:11" x14ac:dyDescent="0.3">
      <c r="A661" s="1" t="s">
        <v>1499</v>
      </c>
      <c r="B661" s="1" t="s">
        <v>264</v>
      </c>
      <c r="C661" s="1" t="s">
        <v>16</v>
      </c>
      <c r="D661" s="1" t="s">
        <v>763</v>
      </c>
      <c r="E661" s="1" t="s">
        <v>1007</v>
      </c>
      <c r="F661" s="3" t="s">
        <v>1037</v>
      </c>
      <c r="G661" s="1">
        <v>52</v>
      </c>
      <c r="H661" s="1">
        <v>0</v>
      </c>
      <c r="I661" s="1">
        <v>0</v>
      </c>
      <c r="J661" s="1">
        <v>25</v>
      </c>
      <c r="K661" s="1">
        <v>13</v>
      </c>
    </row>
    <row r="662" spans="1:11" x14ac:dyDescent="0.3">
      <c r="A662" s="1" t="s">
        <v>1058</v>
      </c>
      <c r="B662" s="1" t="s">
        <v>115</v>
      </c>
      <c r="C662" s="1" t="s">
        <v>16</v>
      </c>
      <c r="D662" s="1" t="s">
        <v>761</v>
      </c>
      <c r="E662" s="1" t="s">
        <v>1036</v>
      </c>
      <c r="F662" s="3" t="s">
        <v>1037</v>
      </c>
      <c r="G662" s="1">
        <v>101</v>
      </c>
      <c r="H662" s="1">
        <v>6</v>
      </c>
      <c r="I662" s="1">
        <v>2</v>
      </c>
      <c r="J662" s="1">
        <v>100</v>
      </c>
      <c r="K662" s="1">
        <v>101</v>
      </c>
    </row>
    <row r="663" spans="1:11" x14ac:dyDescent="0.3">
      <c r="A663" s="1" t="s">
        <v>1035</v>
      </c>
      <c r="B663" s="1" t="s">
        <v>264</v>
      </c>
      <c r="C663" s="1" t="s">
        <v>16</v>
      </c>
      <c r="D663" s="1" t="s">
        <v>761</v>
      </c>
      <c r="E663" s="1" t="s">
        <v>1036</v>
      </c>
      <c r="F663" s="3" t="s">
        <v>1037</v>
      </c>
      <c r="G663" s="1">
        <v>95.8</v>
      </c>
      <c r="H663" s="1">
        <v>6</v>
      </c>
      <c r="I663" s="1">
        <v>4</v>
      </c>
      <c r="J663" s="1">
        <v>119</v>
      </c>
      <c r="K663" s="1">
        <v>114</v>
      </c>
    </row>
    <row r="664" spans="1:11" x14ac:dyDescent="0.3">
      <c r="A664" s="1" t="s">
        <v>1640</v>
      </c>
      <c r="B664" s="1" t="s">
        <v>208</v>
      </c>
      <c r="C664" s="1" t="s">
        <v>5</v>
      </c>
      <c r="D664" s="1" t="s">
        <v>122</v>
      </c>
      <c r="E664" s="1" t="s">
        <v>1036</v>
      </c>
      <c r="F664" s="3" t="s">
        <v>1037</v>
      </c>
      <c r="G664" s="1">
        <v>62.5</v>
      </c>
      <c r="H664" s="1">
        <v>1</v>
      </c>
      <c r="I664" s="1">
        <v>0</v>
      </c>
      <c r="J664" s="1">
        <v>8</v>
      </c>
      <c r="K664" s="1">
        <v>5</v>
      </c>
    </row>
    <row r="665" spans="1:11" x14ac:dyDescent="0.3">
      <c r="A665" s="1" t="s">
        <v>1094</v>
      </c>
      <c r="B665" s="1" t="s">
        <v>32</v>
      </c>
      <c r="C665" s="1" t="s">
        <v>5</v>
      </c>
      <c r="D665" s="1" t="s">
        <v>122</v>
      </c>
      <c r="E665" s="1" t="s">
        <v>1036</v>
      </c>
      <c r="F665" s="3" t="s">
        <v>1037</v>
      </c>
      <c r="G665" s="1">
        <v>171.7</v>
      </c>
      <c r="H665" s="1">
        <v>4</v>
      </c>
      <c r="I665" s="1">
        <v>6</v>
      </c>
      <c r="J665" s="1">
        <v>46</v>
      </c>
      <c r="K665" s="1">
        <v>79</v>
      </c>
    </row>
    <row r="666" spans="1:11" x14ac:dyDescent="0.3">
      <c r="A666" s="1" t="s">
        <v>1764</v>
      </c>
      <c r="B666" s="1" t="s">
        <v>60</v>
      </c>
      <c r="C666" s="1" t="s">
        <v>1043</v>
      </c>
      <c r="D666" s="1" t="s">
        <v>300</v>
      </c>
      <c r="E666" s="1" t="s">
        <v>1047</v>
      </c>
      <c r="F666" s="3" t="s">
        <v>1037</v>
      </c>
      <c r="G666" s="1">
        <v>0</v>
      </c>
      <c r="H666" s="1">
        <v>0</v>
      </c>
      <c r="I666" s="1">
        <v>0</v>
      </c>
      <c r="J666" s="1">
        <v>4</v>
      </c>
      <c r="K666" s="1">
        <v>0</v>
      </c>
    </row>
    <row r="667" spans="1:11" x14ac:dyDescent="0.3">
      <c r="A667" s="1" t="s">
        <v>1700</v>
      </c>
      <c r="B667" s="1" t="s">
        <v>56</v>
      </c>
      <c r="C667" s="1" t="s">
        <v>1043</v>
      </c>
      <c r="D667" s="1" t="s">
        <v>300</v>
      </c>
      <c r="E667" s="1" t="s">
        <v>1047</v>
      </c>
      <c r="F667" s="3" t="s">
        <v>1037</v>
      </c>
      <c r="G667" s="1">
        <v>40</v>
      </c>
      <c r="H667" s="1">
        <v>0</v>
      </c>
      <c r="I667" s="1">
        <v>0</v>
      </c>
      <c r="J667" s="1">
        <v>5</v>
      </c>
      <c r="K667" s="1">
        <v>2</v>
      </c>
    </row>
    <row r="668" spans="1:11" x14ac:dyDescent="0.3">
      <c r="A668" s="1" t="s">
        <v>1536</v>
      </c>
      <c r="B668" s="1" t="s">
        <v>8</v>
      </c>
      <c r="C668" s="1" t="s">
        <v>1043</v>
      </c>
      <c r="D668" s="1" t="s">
        <v>9</v>
      </c>
      <c r="E668" s="1" t="s">
        <v>1047</v>
      </c>
      <c r="F668" s="3" t="s">
        <v>1037</v>
      </c>
      <c r="G668" s="1">
        <v>122.2</v>
      </c>
      <c r="H668" s="1">
        <v>2</v>
      </c>
      <c r="I668" s="1">
        <v>0</v>
      </c>
      <c r="J668" s="1">
        <v>9</v>
      </c>
      <c r="K668" s="1">
        <v>11</v>
      </c>
    </row>
    <row r="669" spans="1:11" x14ac:dyDescent="0.3">
      <c r="A669" s="1" t="s">
        <v>1131</v>
      </c>
      <c r="B669" s="1" t="s">
        <v>40</v>
      </c>
      <c r="C669" s="1" t="s">
        <v>1043</v>
      </c>
      <c r="D669" s="1" t="s">
        <v>154</v>
      </c>
      <c r="E669" s="1" t="s">
        <v>1047</v>
      </c>
      <c r="F669" s="3" t="s">
        <v>1037</v>
      </c>
      <c r="G669" s="1">
        <v>178.9</v>
      </c>
      <c r="H669" s="1">
        <v>6</v>
      </c>
      <c r="I669" s="1">
        <v>3</v>
      </c>
      <c r="J669" s="1">
        <v>38</v>
      </c>
      <c r="K669" s="1">
        <v>68</v>
      </c>
    </row>
    <row r="670" spans="1:11" x14ac:dyDescent="0.3">
      <c r="A670" s="1" t="s">
        <v>1218</v>
      </c>
      <c r="B670" s="1" t="s">
        <v>60</v>
      </c>
      <c r="C670" s="1" t="s">
        <v>1043</v>
      </c>
      <c r="D670" s="1" t="s">
        <v>80</v>
      </c>
      <c r="E670" s="1" t="s">
        <v>1047</v>
      </c>
      <c r="F670" s="3" t="s">
        <v>1037</v>
      </c>
      <c r="G670" s="1">
        <v>110.9</v>
      </c>
      <c r="H670" s="1">
        <v>7</v>
      </c>
      <c r="I670" s="1">
        <v>0</v>
      </c>
      <c r="J670" s="1">
        <v>46</v>
      </c>
      <c r="K670" s="1">
        <v>51</v>
      </c>
    </row>
    <row r="671" spans="1:11" x14ac:dyDescent="0.3">
      <c r="A671" s="1" t="s">
        <v>1584</v>
      </c>
      <c r="B671" s="1" t="s">
        <v>56</v>
      </c>
      <c r="C671" s="1" t="s">
        <v>1043</v>
      </c>
      <c r="D671" s="1" t="s">
        <v>80</v>
      </c>
      <c r="E671" s="1" t="s">
        <v>1047</v>
      </c>
      <c r="F671" s="3" t="s">
        <v>1037</v>
      </c>
      <c r="G671" s="1">
        <v>53.3</v>
      </c>
      <c r="H671" s="1">
        <v>0</v>
      </c>
      <c r="I671" s="1">
        <v>0</v>
      </c>
      <c r="J671" s="1">
        <v>15</v>
      </c>
      <c r="K671" s="1">
        <v>8</v>
      </c>
    </row>
    <row r="672" spans="1:11" x14ac:dyDescent="0.3">
      <c r="A672" s="1" t="s">
        <v>1613</v>
      </c>
      <c r="B672" s="1" t="s">
        <v>60</v>
      </c>
      <c r="C672" s="1" t="s">
        <v>1043</v>
      </c>
      <c r="D672" s="1" t="s">
        <v>103</v>
      </c>
      <c r="E672" s="1" t="s">
        <v>1047</v>
      </c>
      <c r="F672" s="3" t="s">
        <v>1037</v>
      </c>
      <c r="G672" s="1">
        <v>120</v>
      </c>
      <c r="H672" s="1">
        <v>1</v>
      </c>
      <c r="I672" s="1">
        <v>0</v>
      </c>
      <c r="J672" s="1">
        <v>5</v>
      </c>
      <c r="K672" s="1">
        <v>6</v>
      </c>
    </row>
    <row r="673" spans="1:11" x14ac:dyDescent="0.3">
      <c r="A673" s="1" t="s">
        <v>1114</v>
      </c>
      <c r="B673" s="1" t="s">
        <v>4</v>
      </c>
      <c r="C673" s="1" t="s">
        <v>1043</v>
      </c>
      <c r="D673" s="1" t="s">
        <v>80</v>
      </c>
      <c r="E673" s="1" t="s">
        <v>1047</v>
      </c>
      <c r="F673" s="3" t="s">
        <v>1037</v>
      </c>
      <c r="G673" s="1">
        <v>165.9</v>
      </c>
      <c r="H673" s="1">
        <v>8</v>
      </c>
      <c r="I673" s="1">
        <v>2</v>
      </c>
      <c r="J673" s="1">
        <v>44</v>
      </c>
      <c r="K673" s="1">
        <v>73</v>
      </c>
    </row>
    <row r="674" spans="1:11" x14ac:dyDescent="0.3">
      <c r="A674" s="1" t="s">
        <v>1537</v>
      </c>
      <c r="B674" s="1" t="s">
        <v>878</v>
      </c>
      <c r="C674" s="1" t="s">
        <v>1043</v>
      </c>
      <c r="D674" s="1" t="s">
        <v>12</v>
      </c>
      <c r="E674" s="1" t="s">
        <v>1047</v>
      </c>
      <c r="F674" s="3" t="s">
        <v>1037</v>
      </c>
      <c r="G674" s="1">
        <v>84.6</v>
      </c>
      <c r="H674" s="1">
        <v>0</v>
      </c>
      <c r="I674" s="1">
        <v>0</v>
      </c>
      <c r="J674" s="1">
        <v>13</v>
      </c>
      <c r="K674" s="1">
        <v>11</v>
      </c>
    </row>
    <row r="675" spans="1:11" x14ac:dyDescent="0.3">
      <c r="A675" s="1" t="s">
        <v>1701</v>
      </c>
      <c r="B675" s="1" t="s">
        <v>11</v>
      </c>
      <c r="C675" s="1" t="s">
        <v>1043</v>
      </c>
      <c r="D675" s="1" t="s">
        <v>139</v>
      </c>
      <c r="E675" s="1" t="s">
        <v>1047</v>
      </c>
      <c r="F675" s="3" t="s">
        <v>1037</v>
      </c>
      <c r="G675" s="1">
        <v>33.299999999999997</v>
      </c>
      <c r="H675" s="1">
        <v>0</v>
      </c>
      <c r="I675" s="1">
        <v>0</v>
      </c>
      <c r="J675" s="1">
        <v>6</v>
      </c>
      <c r="K675" s="1">
        <v>2</v>
      </c>
    </row>
    <row r="676" spans="1:11" x14ac:dyDescent="0.3">
      <c r="A676" s="1" t="s">
        <v>1247</v>
      </c>
      <c r="B676" s="1" t="s">
        <v>878</v>
      </c>
      <c r="C676" s="1" t="s">
        <v>1043</v>
      </c>
      <c r="D676" s="1" t="s">
        <v>300</v>
      </c>
      <c r="E676" s="1" t="s">
        <v>1016</v>
      </c>
      <c r="F676" s="3" t="s">
        <v>1037</v>
      </c>
      <c r="G676" s="1">
        <v>160.69999999999999</v>
      </c>
      <c r="H676" s="1">
        <v>3</v>
      </c>
      <c r="I676" s="1">
        <v>2</v>
      </c>
      <c r="J676" s="1">
        <v>28</v>
      </c>
      <c r="K676" s="1">
        <v>45</v>
      </c>
    </row>
    <row r="677" spans="1:11" x14ac:dyDescent="0.3">
      <c r="A677" s="1" t="s">
        <v>1231</v>
      </c>
      <c r="B677" s="1" t="s">
        <v>4</v>
      </c>
      <c r="C677" s="1" t="s">
        <v>1043</v>
      </c>
      <c r="D677" s="1" t="s">
        <v>41</v>
      </c>
      <c r="E677" s="1" t="s">
        <v>1016</v>
      </c>
      <c r="F677" s="3" t="s">
        <v>1037</v>
      </c>
      <c r="G677" s="1">
        <v>140</v>
      </c>
      <c r="H677" s="1">
        <v>2</v>
      </c>
      <c r="I677" s="1">
        <v>3</v>
      </c>
      <c r="J677" s="1">
        <v>35</v>
      </c>
      <c r="K677" s="1">
        <v>49</v>
      </c>
    </row>
    <row r="678" spans="1:11" x14ac:dyDescent="0.3">
      <c r="A678" s="1" t="s">
        <v>1248</v>
      </c>
      <c r="B678" s="1" t="s">
        <v>8</v>
      </c>
      <c r="C678" s="1" t="s">
        <v>1043</v>
      </c>
      <c r="D678" s="1" t="s">
        <v>78</v>
      </c>
      <c r="E678" s="1" t="s">
        <v>1016</v>
      </c>
      <c r="F678" s="3" t="s">
        <v>1037</v>
      </c>
      <c r="G678" s="1">
        <v>150</v>
      </c>
      <c r="H678" s="1">
        <v>3</v>
      </c>
      <c r="I678" s="1">
        <v>3</v>
      </c>
      <c r="J678" s="1">
        <v>30</v>
      </c>
      <c r="K678" s="1">
        <v>45</v>
      </c>
    </row>
    <row r="679" spans="1:11" x14ac:dyDescent="0.3">
      <c r="A679" s="1" t="s">
        <v>1719</v>
      </c>
      <c r="B679" s="1" t="s">
        <v>40</v>
      </c>
      <c r="C679" s="1" t="s">
        <v>1043</v>
      </c>
      <c r="D679" s="1" t="s">
        <v>78</v>
      </c>
      <c r="E679" s="1" t="s">
        <v>1016</v>
      </c>
      <c r="F679" s="3" t="s">
        <v>1037</v>
      </c>
      <c r="G679" s="1">
        <v>50</v>
      </c>
      <c r="H679" s="1">
        <v>0</v>
      </c>
      <c r="I679" s="1">
        <v>0</v>
      </c>
      <c r="J679" s="1">
        <v>2</v>
      </c>
      <c r="K679" s="1">
        <v>1</v>
      </c>
    </row>
    <row r="680" spans="1:11" x14ac:dyDescent="0.3">
      <c r="A680" s="1" t="s">
        <v>1428</v>
      </c>
      <c r="B680" s="1" t="s">
        <v>56</v>
      </c>
      <c r="C680" s="1" t="s">
        <v>1043</v>
      </c>
      <c r="D680" s="1" t="s">
        <v>64</v>
      </c>
      <c r="E680" s="1" t="s">
        <v>1016</v>
      </c>
      <c r="F680" s="3" t="s">
        <v>1037</v>
      </c>
      <c r="G680" s="1">
        <v>190</v>
      </c>
      <c r="H680" s="1">
        <v>2</v>
      </c>
      <c r="I680" s="1">
        <v>1</v>
      </c>
      <c r="J680" s="1">
        <v>10</v>
      </c>
      <c r="K680" s="1">
        <v>19</v>
      </c>
    </row>
    <row r="681" spans="1:11" x14ac:dyDescent="0.3">
      <c r="A681" s="1" t="s">
        <v>1500</v>
      </c>
      <c r="B681" s="1" t="s">
        <v>11</v>
      </c>
      <c r="C681" s="1" t="s">
        <v>1043</v>
      </c>
      <c r="D681" s="1" t="s">
        <v>300</v>
      </c>
      <c r="E681" s="1" t="s">
        <v>1016</v>
      </c>
      <c r="F681" s="3" t="s">
        <v>1037</v>
      </c>
      <c r="G681" s="1">
        <v>108.3</v>
      </c>
      <c r="H681" s="1">
        <v>2</v>
      </c>
      <c r="I681" s="1">
        <v>0</v>
      </c>
      <c r="J681" s="1">
        <v>12</v>
      </c>
      <c r="K681" s="1">
        <v>13</v>
      </c>
    </row>
    <row r="682" spans="1:11" x14ac:dyDescent="0.3">
      <c r="A682" s="1" t="s">
        <v>1239</v>
      </c>
      <c r="B682" s="1" t="s">
        <v>24</v>
      </c>
      <c r="C682" s="1" t="s">
        <v>16</v>
      </c>
      <c r="D682" s="1" t="s">
        <v>41</v>
      </c>
      <c r="E682" s="1" t="s">
        <v>990</v>
      </c>
      <c r="F682" s="3" t="s">
        <v>1037</v>
      </c>
      <c r="G682" s="1">
        <v>78.7</v>
      </c>
      <c r="H682" s="1">
        <v>3</v>
      </c>
      <c r="I682" s="1">
        <v>0</v>
      </c>
      <c r="J682" s="1">
        <v>61</v>
      </c>
      <c r="K682" s="1">
        <v>48</v>
      </c>
    </row>
    <row r="683" spans="1:11" x14ac:dyDescent="0.3">
      <c r="A683" s="1" t="s">
        <v>1676</v>
      </c>
      <c r="B683" s="1" t="s">
        <v>115</v>
      </c>
      <c r="C683" s="1" t="s">
        <v>5</v>
      </c>
      <c r="D683" s="1" t="s">
        <v>80</v>
      </c>
      <c r="E683" s="1" t="s">
        <v>987</v>
      </c>
      <c r="F683" s="3" t="s">
        <v>1209</v>
      </c>
      <c r="G683" s="1">
        <v>75</v>
      </c>
      <c r="H683" s="1">
        <v>0</v>
      </c>
      <c r="I683" s="1">
        <v>0</v>
      </c>
      <c r="J683" s="1">
        <v>4</v>
      </c>
      <c r="K683" s="1">
        <v>3</v>
      </c>
    </row>
    <row r="684" spans="1:11" x14ac:dyDescent="0.3">
      <c r="A684" s="1" t="s">
        <v>1538</v>
      </c>
      <c r="B684" s="1" t="s">
        <v>208</v>
      </c>
      <c r="C684" s="1" t="s">
        <v>16</v>
      </c>
      <c r="D684" s="1" t="s">
        <v>126</v>
      </c>
      <c r="E684" s="1" t="s">
        <v>1012</v>
      </c>
      <c r="F684" s="3" t="s">
        <v>1209</v>
      </c>
      <c r="G684" s="1">
        <v>122.2</v>
      </c>
      <c r="H684" s="1">
        <v>0</v>
      </c>
      <c r="I684" s="1">
        <v>0</v>
      </c>
      <c r="J684" s="1">
        <v>9</v>
      </c>
      <c r="K684" s="1">
        <v>11</v>
      </c>
    </row>
    <row r="685" spans="1:11" x14ac:dyDescent="0.3">
      <c r="A685" s="1" t="s">
        <v>1765</v>
      </c>
      <c r="B685" s="1" t="s">
        <v>208</v>
      </c>
      <c r="C685" s="1" t="s">
        <v>16</v>
      </c>
      <c r="D685" s="1" t="s">
        <v>770</v>
      </c>
      <c r="E685" s="1" t="s">
        <v>1007</v>
      </c>
      <c r="F685" s="3" t="s">
        <v>1209</v>
      </c>
      <c r="G685" s="1">
        <v>0</v>
      </c>
      <c r="H685" s="1">
        <v>0</v>
      </c>
      <c r="I685" s="1">
        <v>0</v>
      </c>
      <c r="J685" s="1">
        <v>2</v>
      </c>
      <c r="K685" s="1">
        <v>0</v>
      </c>
    </row>
    <row r="686" spans="1:11" x14ac:dyDescent="0.3">
      <c r="A686" s="1" t="s">
        <v>1666</v>
      </c>
      <c r="B686" s="1" t="s">
        <v>208</v>
      </c>
      <c r="C686" s="1" t="s">
        <v>16</v>
      </c>
      <c r="D686" s="1" t="s">
        <v>770</v>
      </c>
      <c r="E686" s="1" t="s">
        <v>1007</v>
      </c>
      <c r="F686" s="3" t="s">
        <v>1209</v>
      </c>
      <c r="G686" s="1">
        <v>33.299999999999997</v>
      </c>
      <c r="H686" s="1">
        <v>0</v>
      </c>
      <c r="I686" s="1">
        <v>0</v>
      </c>
      <c r="J686" s="1">
        <v>12</v>
      </c>
      <c r="K686" s="1">
        <v>4</v>
      </c>
    </row>
    <row r="687" spans="1:11" x14ac:dyDescent="0.3">
      <c r="A687" s="1" t="s">
        <v>1341</v>
      </c>
      <c r="B687" s="1" t="s">
        <v>24</v>
      </c>
      <c r="C687" s="1" t="s">
        <v>5</v>
      </c>
      <c r="D687" s="1" t="s">
        <v>290</v>
      </c>
      <c r="E687" s="1" t="s">
        <v>1007</v>
      </c>
      <c r="F687" s="3" t="s">
        <v>1209</v>
      </c>
      <c r="G687" s="1">
        <v>103.6</v>
      </c>
      <c r="H687" s="1">
        <v>3</v>
      </c>
      <c r="I687" s="1">
        <v>0</v>
      </c>
      <c r="J687" s="1">
        <v>28</v>
      </c>
      <c r="K687" s="1">
        <v>29</v>
      </c>
    </row>
    <row r="688" spans="1:11" x14ac:dyDescent="0.3">
      <c r="A688" s="1" t="s">
        <v>1563</v>
      </c>
      <c r="B688" s="1" t="s">
        <v>76</v>
      </c>
      <c r="C688" s="1" t="s">
        <v>5</v>
      </c>
      <c r="D688" s="1" t="s">
        <v>218</v>
      </c>
      <c r="E688" s="1" t="s">
        <v>1007</v>
      </c>
      <c r="F688" s="3" t="s">
        <v>1209</v>
      </c>
      <c r="G688" s="1">
        <v>112.5</v>
      </c>
      <c r="H688" s="1">
        <v>1</v>
      </c>
      <c r="I688" s="1">
        <v>0</v>
      </c>
      <c r="J688" s="1">
        <v>8</v>
      </c>
      <c r="K688" s="1">
        <v>9</v>
      </c>
    </row>
    <row r="689" spans="1:11" x14ac:dyDescent="0.3">
      <c r="A689" s="1" t="s">
        <v>1641</v>
      </c>
      <c r="B689" s="1" t="s">
        <v>208</v>
      </c>
      <c r="C689" s="1" t="s">
        <v>5</v>
      </c>
      <c r="D689" s="1" t="s">
        <v>218</v>
      </c>
      <c r="E689" s="1" t="s">
        <v>1007</v>
      </c>
      <c r="F689" s="3" t="s">
        <v>1209</v>
      </c>
      <c r="G689" s="1">
        <v>166.7</v>
      </c>
      <c r="H689" s="1">
        <v>1</v>
      </c>
      <c r="I689" s="1">
        <v>0</v>
      </c>
      <c r="J689" s="1">
        <v>3</v>
      </c>
      <c r="K689" s="1">
        <v>5</v>
      </c>
    </row>
    <row r="690" spans="1:11" x14ac:dyDescent="0.3">
      <c r="A690" s="1" t="s">
        <v>1208</v>
      </c>
      <c r="B690" s="1" t="s">
        <v>135</v>
      </c>
      <c r="C690" s="1" t="s">
        <v>5</v>
      </c>
      <c r="D690" s="1" t="s">
        <v>290</v>
      </c>
      <c r="E690" s="1" t="s">
        <v>1007</v>
      </c>
      <c r="F690" s="3" t="s">
        <v>1209</v>
      </c>
      <c r="G690" s="1">
        <v>115.6</v>
      </c>
      <c r="H690" s="1">
        <v>4</v>
      </c>
      <c r="I690" s="1">
        <v>1</v>
      </c>
      <c r="J690" s="1">
        <v>45</v>
      </c>
      <c r="K690" s="1">
        <v>52</v>
      </c>
    </row>
    <row r="691" spans="1:11" x14ac:dyDescent="0.3">
      <c r="A691" s="1" t="s">
        <v>1295</v>
      </c>
      <c r="B691" s="1" t="s">
        <v>73</v>
      </c>
      <c r="C691" s="1" t="s">
        <v>5</v>
      </c>
      <c r="D691" s="1" t="s">
        <v>290</v>
      </c>
      <c r="E691" s="1" t="s">
        <v>1007</v>
      </c>
      <c r="F691" s="3" t="s">
        <v>1209</v>
      </c>
      <c r="G691" s="1">
        <v>156.5</v>
      </c>
      <c r="H691" s="1">
        <v>3</v>
      </c>
      <c r="I691" s="1">
        <v>2</v>
      </c>
      <c r="J691" s="1">
        <v>23</v>
      </c>
      <c r="K691" s="1">
        <v>36</v>
      </c>
    </row>
    <row r="692" spans="1:11" x14ac:dyDescent="0.3">
      <c r="A692" s="1" t="s">
        <v>1387</v>
      </c>
      <c r="B692" s="1" t="s">
        <v>60</v>
      </c>
      <c r="C692" s="1" t="s">
        <v>1043</v>
      </c>
      <c r="D692" s="1" t="s">
        <v>530</v>
      </c>
      <c r="E692" s="1" t="s">
        <v>1036</v>
      </c>
      <c r="F692" s="3" t="s">
        <v>1209</v>
      </c>
      <c r="G692" s="1">
        <v>104.3</v>
      </c>
      <c r="H692" s="1">
        <v>1</v>
      </c>
      <c r="I692" s="1">
        <v>1</v>
      </c>
      <c r="J692" s="1">
        <v>23</v>
      </c>
      <c r="K692" s="1">
        <v>24</v>
      </c>
    </row>
    <row r="693" spans="1:11" x14ac:dyDescent="0.3">
      <c r="A693" s="1" t="s">
        <v>1642</v>
      </c>
      <c r="B693" s="1" t="s">
        <v>8</v>
      </c>
      <c r="C693" s="1" t="s">
        <v>1043</v>
      </c>
      <c r="D693" s="1" t="s">
        <v>180</v>
      </c>
      <c r="E693" s="1" t="s">
        <v>1036</v>
      </c>
      <c r="F693" s="3" t="s">
        <v>1209</v>
      </c>
      <c r="G693" s="1">
        <v>45.5</v>
      </c>
      <c r="H693" s="1">
        <v>0</v>
      </c>
      <c r="I693" s="1">
        <v>0</v>
      </c>
      <c r="J693" s="1">
        <v>11</v>
      </c>
      <c r="K693" s="1">
        <v>5</v>
      </c>
    </row>
    <row r="694" spans="1:11" x14ac:dyDescent="0.3">
      <c r="A694" s="1" t="s">
        <v>1515</v>
      </c>
      <c r="B694" s="1" t="s">
        <v>60</v>
      </c>
      <c r="C694" s="1" t="s">
        <v>1043</v>
      </c>
      <c r="D694" s="1" t="s">
        <v>180</v>
      </c>
      <c r="E694" s="1" t="s">
        <v>1036</v>
      </c>
      <c r="F694" s="3" t="s">
        <v>1209</v>
      </c>
      <c r="G694" s="1">
        <v>100</v>
      </c>
      <c r="H694" s="1">
        <v>1</v>
      </c>
      <c r="I694" s="1">
        <v>0</v>
      </c>
      <c r="J694" s="1">
        <v>12</v>
      </c>
      <c r="K694" s="1">
        <v>12</v>
      </c>
    </row>
    <row r="695" spans="1:11" x14ac:dyDescent="0.3">
      <c r="A695" s="1" t="s">
        <v>1267</v>
      </c>
      <c r="B695" s="1" t="s">
        <v>40</v>
      </c>
      <c r="C695" s="1" t="s">
        <v>1043</v>
      </c>
      <c r="D695" s="1" t="s">
        <v>530</v>
      </c>
      <c r="E695" s="1" t="s">
        <v>1036</v>
      </c>
      <c r="F695" s="3" t="s">
        <v>1209</v>
      </c>
      <c r="G695" s="1">
        <v>161.5</v>
      </c>
      <c r="H695" s="1">
        <v>3</v>
      </c>
      <c r="I695" s="1">
        <v>3</v>
      </c>
      <c r="J695" s="1">
        <v>26</v>
      </c>
      <c r="K695" s="1">
        <v>42</v>
      </c>
    </row>
    <row r="696" spans="1:11" x14ac:dyDescent="0.3">
      <c r="A696" s="1" t="s">
        <v>1319</v>
      </c>
      <c r="B696" s="1" t="s">
        <v>11</v>
      </c>
      <c r="C696" s="1" t="s">
        <v>1043</v>
      </c>
      <c r="D696" s="1" t="s">
        <v>530</v>
      </c>
      <c r="E696" s="1" t="s">
        <v>1036</v>
      </c>
      <c r="F696" s="3" t="s">
        <v>1209</v>
      </c>
      <c r="G696" s="1">
        <v>246.2</v>
      </c>
      <c r="H696" s="1">
        <v>3</v>
      </c>
      <c r="I696" s="1">
        <v>2</v>
      </c>
      <c r="J696" s="1">
        <v>13</v>
      </c>
      <c r="K696" s="1">
        <v>32</v>
      </c>
    </row>
    <row r="697" spans="1:11" x14ac:dyDescent="0.3">
      <c r="A697" s="1" t="s">
        <v>1614</v>
      </c>
      <c r="B697" s="1" t="s">
        <v>8</v>
      </c>
      <c r="C697" s="1" t="s">
        <v>1043</v>
      </c>
      <c r="D697" s="1" t="s">
        <v>535</v>
      </c>
      <c r="E697" s="1" t="s">
        <v>1036</v>
      </c>
      <c r="F697" s="3" t="s">
        <v>1209</v>
      </c>
      <c r="G697" s="1">
        <v>85.7</v>
      </c>
      <c r="H697" s="1">
        <v>1</v>
      </c>
      <c r="I697" s="1">
        <v>0</v>
      </c>
      <c r="J697" s="1">
        <v>7</v>
      </c>
      <c r="K697" s="1">
        <v>6</v>
      </c>
    </row>
    <row r="698" spans="1:11" x14ac:dyDescent="0.3">
      <c r="A698" s="1" t="s">
        <v>1564</v>
      </c>
      <c r="B698" s="1" t="s">
        <v>4</v>
      </c>
      <c r="C698" s="1" t="s">
        <v>1043</v>
      </c>
      <c r="D698" s="1" t="s">
        <v>898</v>
      </c>
      <c r="E698" s="1" t="s">
        <v>1036</v>
      </c>
      <c r="F698" s="3" t="s">
        <v>1209</v>
      </c>
      <c r="G698" s="1">
        <v>64.3</v>
      </c>
      <c r="H698" s="1">
        <v>0</v>
      </c>
      <c r="I698" s="1">
        <v>0</v>
      </c>
      <c r="J698" s="1">
        <v>14</v>
      </c>
      <c r="K698" s="1">
        <v>9</v>
      </c>
    </row>
    <row r="699" spans="1:11" x14ac:dyDescent="0.3">
      <c r="A699" s="1" t="s">
        <v>1565</v>
      </c>
      <c r="B699" s="1" t="s">
        <v>40</v>
      </c>
      <c r="C699" s="1" t="s">
        <v>1043</v>
      </c>
      <c r="D699" s="1" t="s">
        <v>898</v>
      </c>
      <c r="E699" s="1" t="s">
        <v>1036</v>
      </c>
      <c r="F699" s="3" t="s">
        <v>1209</v>
      </c>
      <c r="G699" s="1">
        <v>60</v>
      </c>
      <c r="H699" s="1">
        <v>1</v>
      </c>
      <c r="I699" s="1">
        <v>0</v>
      </c>
      <c r="J699" s="1">
        <v>15</v>
      </c>
      <c r="K699" s="1">
        <v>9</v>
      </c>
    </row>
    <row r="700" spans="1:11" x14ac:dyDescent="0.3">
      <c r="A700" s="1" t="s">
        <v>1286</v>
      </c>
      <c r="B700" s="1" t="s">
        <v>878</v>
      </c>
      <c r="C700" s="1" t="s">
        <v>1043</v>
      </c>
      <c r="D700" s="1" t="s">
        <v>180</v>
      </c>
      <c r="E700" s="1" t="s">
        <v>1036</v>
      </c>
      <c r="F700" s="3" t="s">
        <v>1209</v>
      </c>
      <c r="G700" s="1">
        <v>105.6</v>
      </c>
      <c r="H700" s="1">
        <v>2</v>
      </c>
      <c r="I700" s="1">
        <v>1</v>
      </c>
      <c r="J700" s="1">
        <v>36</v>
      </c>
      <c r="K700" s="1">
        <v>38</v>
      </c>
    </row>
    <row r="701" spans="1:11" x14ac:dyDescent="0.3">
      <c r="A701" s="1" t="s">
        <v>1411</v>
      </c>
      <c r="B701" s="1" t="s">
        <v>56</v>
      </c>
      <c r="C701" s="1" t="s">
        <v>1043</v>
      </c>
      <c r="D701" s="1" t="s">
        <v>902</v>
      </c>
      <c r="E701" s="1" t="s">
        <v>1036</v>
      </c>
      <c r="F701" s="3" t="s">
        <v>1209</v>
      </c>
      <c r="G701" s="1">
        <v>105</v>
      </c>
      <c r="H701" s="1">
        <v>2</v>
      </c>
      <c r="I701" s="1">
        <v>1</v>
      </c>
      <c r="J701" s="1">
        <v>20</v>
      </c>
      <c r="K701" s="1">
        <v>21</v>
      </c>
    </row>
    <row r="702" spans="1:11" x14ac:dyDescent="0.3">
      <c r="A702" s="1" t="s">
        <v>1287</v>
      </c>
      <c r="B702" s="1" t="s">
        <v>4</v>
      </c>
      <c r="C702" s="1" t="s">
        <v>1043</v>
      </c>
      <c r="D702" s="1" t="s">
        <v>532</v>
      </c>
      <c r="E702" s="1" t="s">
        <v>1036</v>
      </c>
      <c r="F702" s="3" t="s">
        <v>1209</v>
      </c>
      <c r="G702" s="1">
        <v>118.8</v>
      </c>
      <c r="H702" s="1">
        <v>2</v>
      </c>
      <c r="I702" s="1">
        <v>2</v>
      </c>
      <c r="J702" s="1">
        <v>32</v>
      </c>
      <c r="K702" s="1">
        <v>38</v>
      </c>
    </row>
    <row r="703" spans="1:11" x14ac:dyDescent="0.3">
      <c r="A703" s="1" t="s">
        <v>1452</v>
      </c>
      <c r="B703" s="1" t="s">
        <v>8</v>
      </c>
      <c r="C703" s="1" t="s">
        <v>1043</v>
      </c>
      <c r="D703" s="1" t="s">
        <v>180</v>
      </c>
      <c r="E703" s="1" t="s">
        <v>1047</v>
      </c>
      <c r="F703" s="3" t="s">
        <v>1209</v>
      </c>
      <c r="G703" s="1">
        <v>85</v>
      </c>
      <c r="H703" s="1">
        <v>2</v>
      </c>
      <c r="I703" s="1">
        <v>0</v>
      </c>
      <c r="J703" s="1">
        <v>20</v>
      </c>
      <c r="K703" s="1">
        <v>17</v>
      </c>
    </row>
    <row r="704" spans="1:11" x14ac:dyDescent="0.3">
      <c r="A704" s="1" t="s">
        <v>1444</v>
      </c>
      <c r="B704" s="1" t="s">
        <v>56</v>
      </c>
      <c r="C704" s="1" t="s">
        <v>1043</v>
      </c>
      <c r="D704" s="1" t="s">
        <v>535</v>
      </c>
      <c r="E704" s="1" t="s">
        <v>1047</v>
      </c>
      <c r="F704" s="3" t="s">
        <v>1209</v>
      </c>
      <c r="G704" s="1">
        <v>94.7</v>
      </c>
      <c r="H704" s="1">
        <v>0</v>
      </c>
      <c r="I704" s="1">
        <v>1</v>
      </c>
      <c r="J704" s="1">
        <v>19</v>
      </c>
      <c r="K704" s="1">
        <v>18</v>
      </c>
    </row>
    <row r="705" spans="1:11" x14ac:dyDescent="0.3">
      <c r="A705" s="1" t="s">
        <v>1677</v>
      </c>
      <c r="B705" s="1" t="s">
        <v>878</v>
      </c>
      <c r="C705" s="1" t="s">
        <v>1043</v>
      </c>
      <c r="D705" s="1" t="s">
        <v>535</v>
      </c>
      <c r="E705" s="1" t="s">
        <v>1047</v>
      </c>
      <c r="F705" s="3" t="s">
        <v>1209</v>
      </c>
      <c r="G705" s="1">
        <v>60</v>
      </c>
      <c r="H705" s="1">
        <v>0</v>
      </c>
      <c r="I705" s="1">
        <v>0</v>
      </c>
      <c r="J705" s="1">
        <v>5</v>
      </c>
      <c r="K705" s="1">
        <v>3</v>
      </c>
    </row>
    <row r="706" spans="1:11" x14ac:dyDescent="0.3">
      <c r="A706" s="1" t="s">
        <v>1210</v>
      </c>
      <c r="B706" s="1" t="s">
        <v>60</v>
      </c>
      <c r="C706" s="1" t="s">
        <v>1043</v>
      </c>
      <c r="D706" s="1" t="s">
        <v>176</v>
      </c>
      <c r="E706" s="1" t="s">
        <v>1047</v>
      </c>
      <c r="F706" s="3" t="s">
        <v>1209</v>
      </c>
      <c r="G706" s="1">
        <v>173.3</v>
      </c>
      <c r="H706" s="1">
        <v>1</v>
      </c>
      <c r="I706" s="1">
        <v>5</v>
      </c>
      <c r="J706" s="1">
        <v>30</v>
      </c>
      <c r="K706" s="1">
        <v>52</v>
      </c>
    </row>
    <row r="707" spans="1:11" x14ac:dyDescent="0.3">
      <c r="A707" s="1" t="s">
        <v>1296</v>
      </c>
      <c r="B707" s="1" t="s">
        <v>11</v>
      </c>
      <c r="C707" s="1" t="s">
        <v>1043</v>
      </c>
      <c r="D707" s="1" t="s">
        <v>176</v>
      </c>
      <c r="E707" s="1" t="s">
        <v>1047</v>
      </c>
      <c r="F707" s="3" t="s">
        <v>1209</v>
      </c>
      <c r="G707" s="1">
        <v>112.5</v>
      </c>
      <c r="H707" s="1">
        <v>3</v>
      </c>
      <c r="I707" s="1">
        <v>2</v>
      </c>
      <c r="J707" s="1">
        <v>32</v>
      </c>
      <c r="K707" s="1">
        <v>36</v>
      </c>
    </row>
    <row r="708" spans="1:11" x14ac:dyDescent="0.3">
      <c r="A708" s="1" t="s">
        <v>1261</v>
      </c>
      <c r="B708" s="1" t="s">
        <v>15</v>
      </c>
      <c r="C708" s="1" t="s">
        <v>16</v>
      </c>
      <c r="D708" s="1" t="s">
        <v>407</v>
      </c>
      <c r="E708" s="1" t="s">
        <v>1016</v>
      </c>
      <c r="F708" s="3" t="s">
        <v>1209</v>
      </c>
      <c r="G708" s="1">
        <v>58.1</v>
      </c>
      <c r="H708" s="1">
        <v>1</v>
      </c>
      <c r="I708" s="1">
        <v>1</v>
      </c>
      <c r="J708" s="1">
        <v>74</v>
      </c>
      <c r="K708" s="1">
        <v>43</v>
      </c>
    </row>
    <row r="709" spans="1:11" x14ac:dyDescent="0.3">
      <c r="A709" s="1" t="s">
        <v>1604</v>
      </c>
      <c r="B709" s="1" t="s">
        <v>15</v>
      </c>
      <c r="C709" s="1" t="s">
        <v>5</v>
      </c>
      <c r="D709" s="1" t="s">
        <v>911</v>
      </c>
      <c r="E709" s="1" t="s">
        <v>990</v>
      </c>
      <c r="F709" s="3" t="s">
        <v>1209</v>
      </c>
      <c r="G709" s="1">
        <v>100</v>
      </c>
      <c r="H709" s="1">
        <v>0</v>
      </c>
      <c r="I709" s="1">
        <v>1</v>
      </c>
      <c r="J709" s="1">
        <v>7</v>
      </c>
      <c r="K709" s="1">
        <v>7</v>
      </c>
    </row>
    <row r="710" spans="1:11" x14ac:dyDescent="0.3">
      <c r="A710" s="1" t="s">
        <v>1667</v>
      </c>
      <c r="B710" s="1" t="s">
        <v>115</v>
      </c>
      <c r="C710" s="1" t="s">
        <v>5</v>
      </c>
      <c r="D710" s="1" t="s">
        <v>116</v>
      </c>
      <c r="E710" s="1" t="s">
        <v>990</v>
      </c>
      <c r="F710" s="3" t="s">
        <v>1209</v>
      </c>
      <c r="G710" s="1">
        <v>36.4</v>
      </c>
      <c r="H710" s="1">
        <v>0</v>
      </c>
      <c r="I710" s="1">
        <v>0</v>
      </c>
      <c r="J710" s="1">
        <v>11</v>
      </c>
      <c r="K710" s="1">
        <v>4</v>
      </c>
    </row>
    <row r="711" spans="1:11" x14ac:dyDescent="0.3">
      <c r="A711" s="1" t="s">
        <v>1475</v>
      </c>
      <c r="B711" s="1" t="s">
        <v>115</v>
      </c>
      <c r="C711" s="1" t="s">
        <v>16</v>
      </c>
      <c r="D711" s="1" t="s">
        <v>116</v>
      </c>
      <c r="E711" s="1" t="s">
        <v>990</v>
      </c>
      <c r="F711" s="3" t="s">
        <v>1209</v>
      </c>
      <c r="G711" s="1">
        <v>68.2</v>
      </c>
      <c r="H711" s="1">
        <v>1</v>
      </c>
      <c r="I711" s="1">
        <v>0</v>
      </c>
      <c r="J711" s="1">
        <v>22</v>
      </c>
      <c r="K711" s="1">
        <v>15</v>
      </c>
    </row>
    <row r="712" spans="1:11" x14ac:dyDescent="0.3">
      <c r="A712" s="1" t="s">
        <v>1668</v>
      </c>
      <c r="B712" s="1" t="s">
        <v>115</v>
      </c>
      <c r="C712" s="1" t="s">
        <v>16</v>
      </c>
      <c r="D712" s="1" t="s">
        <v>116</v>
      </c>
      <c r="E712" s="1" t="s">
        <v>990</v>
      </c>
      <c r="F712" s="3" t="s">
        <v>1209</v>
      </c>
      <c r="G712" s="1">
        <v>66.7</v>
      </c>
      <c r="H712" s="1">
        <v>0</v>
      </c>
      <c r="I712" s="1">
        <v>0</v>
      </c>
      <c r="J712" s="1">
        <v>6</v>
      </c>
      <c r="K712" s="1">
        <v>4</v>
      </c>
    </row>
    <row r="713" spans="1:11" x14ac:dyDescent="0.3">
      <c r="A713" s="1" t="s">
        <v>1374</v>
      </c>
      <c r="B713" s="1" t="s">
        <v>115</v>
      </c>
      <c r="C713" s="1" t="s">
        <v>16</v>
      </c>
      <c r="D713" s="1" t="s">
        <v>568</v>
      </c>
      <c r="E713" s="1" t="s">
        <v>994</v>
      </c>
      <c r="F713" s="3" t="s">
        <v>1209</v>
      </c>
      <c r="G713" s="1">
        <v>83.3</v>
      </c>
      <c r="H713" s="1">
        <v>3</v>
      </c>
      <c r="I713" s="1">
        <v>0</v>
      </c>
      <c r="J713" s="1">
        <v>30</v>
      </c>
      <c r="K713" s="1">
        <v>25</v>
      </c>
    </row>
    <row r="714" spans="1:11" x14ac:dyDescent="0.3">
      <c r="A714" s="1" t="s">
        <v>1585</v>
      </c>
      <c r="B714" s="1" t="s">
        <v>76</v>
      </c>
      <c r="C714" s="1" t="s">
        <v>16</v>
      </c>
      <c r="D714" s="1" t="s">
        <v>78</v>
      </c>
      <c r="E714" s="1" t="s">
        <v>981</v>
      </c>
      <c r="F714" s="3" t="s">
        <v>1106</v>
      </c>
      <c r="G714" s="1">
        <v>80</v>
      </c>
      <c r="H714" s="1">
        <v>1</v>
      </c>
      <c r="I714" s="1">
        <v>0</v>
      </c>
      <c r="J714" s="1">
        <v>10</v>
      </c>
      <c r="K714" s="1">
        <v>8</v>
      </c>
    </row>
    <row r="715" spans="1:11" x14ac:dyDescent="0.3">
      <c r="A715" s="1" t="s">
        <v>1350</v>
      </c>
      <c r="B715" s="1" t="s">
        <v>76</v>
      </c>
      <c r="C715" s="1" t="s">
        <v>16</v>
      </c>
      <c r="D715" s="1" t="s">
        <v>107</v>
      </c>
      <c r="E715" s="1" t="s">
        <v>981</v>
      </c>
      <c r="F715" s="3" t="s">
        <v>1106</v>
      </c>
      <c r="G715" s="1">
        <v>68.3</v>
      </c>
      <c r="H715" s="1">
        <v>3</v>
      </c>
      <c r="I715" s="1">
        <v>0</v>
      </c>
      <c r="J715" s="1">
        <v>41</v>
      </c>
      <c r="K715" s="1">
        <v>28</v>
      </c>
    </row>
    <row r="716" spans="1:11" x14ac:dyDescent="0.3">
      <c r="A716" s="1" t="s">
        <v>1678</v>
      </c>
      <c r="B716" s="1" t="s">
        <v>76</v>
      </c>
      <c r="C716" s="1" t="s">
        <v>16</v>
      </c>
      <c r="D716" s="1" t="s">
        <v>17</v>
      </c>
      <c r="E716" s="1" t="s">
        <v>981</v>
      </c>
      <c r="F716" s="3" t="s">
        <v>1106</v>
      </c>
      <c r="G716" s="1">
        <v>23.1</v>
      </c>
      <c r="H716" s="1">
        <v>0</v>
      </c>
      <c r="I716" s="1">
        <v>0</v>
      </c>
      <c r="J716" s="1">
        <v>13</v>
      </c>
      <c r="K716" s="1">
        <v>3</v>
      </c>
    </row>
    <row r="717" spans="1:11" x14ac:dyDescent="0.3">
      <c r="A717" s="1" t="s">
        <v>1539</v>
      </c>
      <c r="B717" s="1" t="s">
        <v>76</v>
      </c>
      <c r="C717" s="1" t="s">
        <v>16</v>
      </c>
      <c r="D717" s="1" t="s">
        <v>19</v>
      </c>
      <c r="E717" s="1" t="s">
        <v>981</v>
      </c>
      <c r="F717" s="3" t="s">
        <v>1106</v>
      </c>
      <c r="G717" s="1">
        <v>137.5</v>
      </c>
      <c r="H717" s="1">
        <v>1</v>
      </c>
      <c r="I717" s="1">
        <v>0</v>
      </c>
      <c r="J717" s="1">
        <v>8</v>
      </c>
      <c r="K717" s="1">
        <v>11</v>
      </c>
    </row>
    <row r="718" spans="1:11" x14ac:dyDescent="0.3">
      <c r="A718" s="1" t="s">
        <v>1679</v>
      </c>
      <c r="B718" s="1" t="s">
        <v>115</v>
      </c>
      <c r="C718" s="1" t="s">
        <v>16</v>
      </c>
      <c r="D718" s="1" t="s">
        <v>116</v>
      </c>
      <c r="E718" s="1" t="s">
        <v>1021</v>
      </c>
      <c r="F718" s="3" t="s">
        <v>1106</v>
      </c>
      <c r="G718" s="1">
        <v>60</v>
      </c>
      <c r="H718" s="1">
        <v>0</v>
      </c>
      <c r="I718" s="1">
        <v>0</v>
      </c>
      <c r="J718" s="1">
        <v>5</v>
      </c>
      <c r="K718" s="1">
        <v>3</v>
      </c>
    </row>
    <row r="719" spans="1:11" x14ac:dyDescent="0.3">
      <c r="A719" s="1" t="s">
        <v>1445</v>
      </c>
      <c r="B719" s="1" t="s">
        <v>115</v>
      </c>
      <c r="C719" s="1" t="s">
        <v>16</v>
      </c>
      <c r="D719" s="1" t="s">
        <v>116</v>
      </c>
      <c r="E719" s="1" t="s">
        <v>1021</v>
      </c>
      <c r="F719" s="3" t="s">
        <v>1106</v>
      </c>
      <c r="G719" s="1">
        <v>78.3</v>
      </c>
      <c r="H719" s="1">
        <v>0</v>
      </c>
      <c r="I719" s="1">
        <v>0</v>
      </c>
      <c r="J719" s="1">
        <v>23</v>
      </c>
      <c r="K719" s="1">
        <v>18</v>
      </c>
    </row>
    <row r="720" spans="1:11" x14ac:dyDescent="0.3">
      <c r="A720" s="1" t="s">
        <v>1320</v>
      </c>
      <c r="B720" s="1" t="s">
        <v>115</v>
      </c>
      <c r="C720" s="1" t="s">
        <v>16</v>
      </c>
      <c r="D720" s="1" t="s">
        <v>116</v>
      </c>
      <c r="E720" s="1" t="s">
        <v>1021</v>
      </c>
      <c r="F720" s="3" t="s">
        <v>1106</v>
      </c>
      <c r="G720" s="1">
        <v>100</v>
      </c>
      <c r="H720" s="1">
        <v>3</v>
      </c>
      <c r="I720" s="1">
        <v>0</v>
      </c>
      <c r="J720" s="1">
        <v>32</v>
      </c>
      <c r="K720" s="1">
        <v>32</v>
      </c>
    </row>
    <row r="721" spans="1:11" x14ac:dyDescent="0.3">
      <c r="A721" s="1" t="s">
        <v>1766</v>
      </c>
      <c r="B721" s="1" t="s">
        <v>115</v>
      </c>
      <c r="C721" s="1" t="s">
        <v>16</v>
      </c>
      <c r="D721" s="1" t="s">
        <v>568</v>
      </c>
      <c r="E721" s="1" t="s">
        <v>1021</v>
      </c>
      <c r="F721" s="3" t="s">
        <v>1106</v>
      </c>
      <c r="G721" s="1">
        <v>0</v>
      </c>
      <c r="H721" s="1">
        <v>0</v>
      </c>
      <c r="I721" s="1">
        <v>0</v>
      </c>
      <c r="J721" s="1">
        <v>2</v>
      </c>
      <c r="K721" s="1">
        <v>0</v>
      </c>
    </row>
    <row r="722" spans="1:11" x14ac:dyDescent="0.3">
      <c r="A722" s="1" t="s">
        <v>1429</v>
      </c>
      <c r="B722" s="1" t="s">
        <v>115</v>
      </c>
      <c r="C722" s="1" t="s">
        <v>16</v>
      </c>
      <c r="D722" s="1" t="s">
        <v>568</v>
      </c>
      <c r="E722" s="1" t="s">
        <v>1021</v>
      </c>
      <c r="F722" s="3" t="s">
        <v>1106</v>
      </c>
      <c r="G722" s="1">
        <v>61.3</v>
      </c>
      <c r="H722" s="1">
        <v>1</v>
      </c>
      <c r="I722" s="1">
        <v>1</v>
      </c>
      <c r="J722" s="1">
        <v>31</v>
      </c>
      <c r="K722" s="1">
        <v>19</v>
      </c>
    </row>
    <row r="723" spans="1:11" x14ac:dyDescent="0.3">
      <c r="A723" s="1" t="s">
        <v>1680</v>
      </c>
      <c r="B723" s="1" t="s">
        <v>115</v>
      </c>
      <c r="C723" s="1" t="s">
        <v>16</v>
      </c>
      <c r="D723" s="1" t="s">
        <v>926</v>
      </c>
      <c r="E723" s="1" t="s">
        <v>1012</v>
      </c>
      <c r="F723" s="3" t="s">
        <v>1106</v>
      </c>
      <c r="G723" s="1">
        <v>37.5</v>
      </c>
      <c r="H723" s="1">
        <v>0</v>
      </c>
      <c r="I723" s="1">
        <v>0</v>
      </c>
      <c r="J723" s="1">
        <v>8</v>
      </c>
      <c r="K723" s="1">
        <v>3</v>
      </c>
    </row>
    <row r="724" spans="1:11" x14ac:dyDescent="0.3">
      <c r="A724" s="1" t="s">
        <v>1399</v>
      </c>
      <c r="B724" s="1" t="s">
        <v>115</v>
      </c>
      <c r="C724" s="1" t="s">
        <v>16</v>
      </c>
      <c r="D724" s="1" t="s">
        <v>926</v>
      </c>
      <c r="E724" s="1" t="s">
        <v>1012</v>
      </c>
      <c r="F724" s="3" t="s">
        <v>1106</v>
      </c>
      <c r="G724" s="1">
        <v>78.599999999999994</v>
      </c>
      <c r="H724" s="1">
        <v>2</v>
      </c>
      <c r="I724" s="1">
        <v>0</v>
      </c>
      <c r="J724" s="1">
        <v>28</v>
      </c>
      <c r="K724" s="1">
        <v>22</v>
      </c>
    </row>
    <row r="725" spans="1:11" x14ac:dyDescent="0.3">
      <c r="A725" s="1" t="s">
        <v>1173</v>
      </c>
      <c r="B725" s="1" t="s">
        <v>71</v>
      </c>
      <c r="C725" s="1" t="s">
        <v>16</v>
      </c>
      <c r="D725" s="1" t="s">
        <v>926</v>
      </c>
      <c r="E725" s="1" t="s">
        <v>1012</v>
      </c>
      <c r="F725" s="3" t="s">
        <v>1106</v>
      </c>
      <c r="G725" s="1">
        <v>81.7</v>
      </c>
      <c r="H725" s="1">
        <v>4</v>
      </c>
      <c r="I725" s="1">
        <v>0</v>
      </c>
      <c r="J725" s="1">
        <v>71</v>
      </c>
      <c r="K725" s="1">
        <v>58</v>
      </c>
    </row>
    <row r="726" spans="1:11" x14ac:dyDescent="0.3">
      <c r="A726" s="1" t="s">
        <v>1400</v>
      </c>
      <c r="B726" s="1" t="s">
        <v>73</v>
      </c>
      <c r="C726" s="1" t="s">
        <v>16</v>
      </c>
      <c r="D726" s="1" t="s">
        <v>926</v>
      </c>
      <c r="E726" s="1" t="s">
        <v>1007</v>
      </c>
      <c r="F726" s="3" t="s">
        <v>1106</v>
      </c>
      <c r="G726" s="1">
        <v>95.7</v>
      </c>
      <c r="H726" s="1">
        <v>2</v>
      </c>
      <c r="I726" s="1">
        <v>0</v>
      </c>
      <c r="J726" s="1">
        <v>23</v>
      </c>
      <c r="K726" s="1">
        <v>22</v>
      </c>
    </row>
    <row r="727" spans="1:11" x14ac:dyDescent="0.3">
      <c r="A727" s="1" t="s">
        <v>1767</v>
      </c>
      <c r="B727" s="1" t="s">
        <v>71</v>
      </c>
      <c r="C727" s="1" t="s">
        <v>16</v>
      </c>
      <c r="D727" s="1" t="s">
        <v>926</v>
      </c>
      <c r="E727" s="1" t="s">
        <v>1007</v>
      </c>
      <c r="F727" s="3" t="s">
        <v>1106</v>
      </c>
      <c r="G727" s="1">
        <v>0</v>
      </c>
      <c r="H727" s="1">
        <v>0</v>
      </c>
      <c r="I727" s="1">
        <v>0</v>
      </c>
      <c r="J727" s="1">
        <v>1</v>
      </c>
      <c r="K727" s="1">
        <v>0</v>
      </c>
    </row>
    <row r="728" spans="1:11" x14ac:dyDescent="0.3">
      <c r="A728" s="1" t="s">
        <v>1540</v>
      </c>
      <c r="B728" s="1" t="s">
        <v>277</v>
      </c>
      <c r="C728" s="1" t="s">
        <v>16</v>
      </c>
      <c r="D728" s="1" t="s">
        <v>926</v>
      </c>
      <c r="E728" s="1" t="s">
        <v>1007</v>
      </c>
      <c r="F728" s="3" t="s">
        <v>1106</v>
      </c>
      <c r="G728" s="1">
        <v>37.9</v>
      </c>
      <c r="H728" s="1">
        <v>0</v>
      </c>
      <c r="I728" s="1">
        <v>0</v>
      </c>
      <c r="J728" s="1">
        <v>29</v>
      </c>
      <c r="K728" s="1">
        <v>11</v>
      </c>
    </row>
    <row r="729" spans="1:11" x14ac:dyDescent="0.3">
      <c r="A729" s="1" t="s">
        <v>1388</v>
      </c>
      <c r="B729" s="1" t="s">
        <v>71</v>
      </c>
      <c r="C729" s="1" t="s">
        <v>16</v>
      </c>
      <c r="D729" s="1" t="s">
        <v>259</v>
      </c>
      <c r="E729" s="1" t="s">
        <v>1007</v>
      </c>
      <c r="F729" s="3" t="s">
        <v>1106</v>
      </c>
      <c r="G729" s="1">
        <v>88.9</v>
      </c>
      <c r="H729" s="1">
        <v>5</v>
      </c>
      <c r="I729" s="1">
        <v>0</v>
      </c>
      <c r="J729" s="1">
        <v>27</v>
      </c>
      <c r="K729" s="1">
        <v>24</v>
      </c>
    </row>
    <row r="730" spans="1:11" x14ac:dyDescent="0.3">
      <c r="A730" s="1" t="s">
        <v>1367</v>
      </c>
      <c r="B730" s="1" t="s">
        <v>73</v>
      </c>
      <c r="C730" s="1" t="s">
        <v>16</v>
      </c>
      <c r="D730" s="1" t="s">
        <v>259</v>
      </c>
      <c r="E730" s="1" t="s">
        <v>1007</v>
      </c>
      <c r="F730" s="3" t="s">
        <v>1106</v>
      </c>
      <c r="G730" s="1">
        <v>60.5</v>
      </c>
      <c r="H730" s="1">
        <v>1</v>
      </c>
      <c r="I730" s="1">
        <v>1</v>
      </c>
      <c r="J730" s="1">
        <v>43</v>
      </c>
      <c r="K730" s="1">
        <v>26</v>
      </c>
    </row>
    <row r="731" spans="1:11" x14ac:dyDescent="0.3">
      <c r="A731" s="1" t="s">
        <v>1566</v>
      </c>
      <c r="B731" s="1" t="s">
        <v>71</v>
      </c>
      <c r="C731" s="1" t="s">
        <v>16</v>
      </c>
      <c r="D731" s="1" t="s">
        <v>259</v>
      </c>
      <c r="E731" s="1" t="s">
        <v>1007</v>
      </c>
      <c r="F731" s="3" t="s">
        <v>1106</v>
      </c>
      <c r="G731" s="1">
        <v>33.299999999999997</v>
      </c>
      <c r="H731" s="1">
        <v>0</v>
      </c>
      <c r="I731" s="1">
        <v>0</v>
      </c>
      <c r="J731" s="1">
        <v>27</v>
      </c>
      <c r="K731" s="1">
        <v>9</v>
      </c>
    </row>
    <row r="732" spans="1:11" x14ac:dyDescent="0.3">
      <c r="A732" s="1" t="s">
        <v>1453</v>
      </c>
      <c r="B732" s="1" t="s">
        <v>60</v>
      </c>
      <c r="C732" s="1" t="s">
        <v>1043</v>
      </c>
      <c r="D732" s="1" t="s">
        <v>54</v>
      </c>
      <c r="E732" s="1" t="s">
        <v>1036</v>
      </c>
      <c r="F732" s="3" t="s">
        <v>1106</v>
      </c>
      <c r="G732" s="1">
        <v>106.3</v>
      </c>
      <c r="H732" s="1">
        <v>2</v>
      </c>
      <c r="I732" s="1">
        <v>0</v>
      </c>
      <c r="J732" s="1">
        <v>16</v>
      </c>
      <c r="K732" s="1">
        <v>17</v>
      </c>
    </row>
    <row r="733" spans="1:11" x14ac:dyDescent="0.3">
      <c r="A733" s="1" t="s">
        <v>1225</v>
      </c>
      <c r="B733" s="1" t="s">
        <v>40</v>
      </c>
      <c r="C733" s="1" t="s">
        <v>1043</v>
      </c>
      <c r="D733" s="1" t="s">
        <v>173</v>
      </c>
      <c r="E733" s="1" t="s">
        <v>1036</v>
      </c>
      <c r="F733" s="3" t="s">
        <v>1106</v>
      </c>
      <c r="G733" s="1">
        <v>185.2</v>
      </c>
      <c r="H733" s="1">
        <v>3</v>
      </c>
      <c r="I733" s="1">
        <v>4</v>
      </c>
      <c r="J733" s="1">
        <v>27</v>
      </c>
      <c r="K733" s="1">
        <v>50</v>
      </c>
    </row>
    <row r="734" spans="1:11" x14ac:dyDescent="0.3">
      <c r="A734" s="1" t="s">
        <v>1615</v>
      </c>
      <c r="B734" s="1" t="s">
        <v>878</v>
      </c>
      <c r="C734" s="1" t="s">
        <v>1043</v>
      </c>
      <c r="D734" s="1" t="s">
        <v>54</v>
      </c>
      <c r="E734" s="1" t="s">
        <v>1036</v>
      </c>
      <c r="F734" s="3" t="s">
        <v>1106</v>
      </c>
      <c r="G734" s="1">
        <v>60</v>
      </c>
      <c r="H734" s="1">
        <v>1</v>
      </c>
      <c r="I734" s="1">
        <v>0</v>
      </c>
      <c r="J734" s="1">
        <v>10</v>
      </c>
      <c r="K734" s="1">
        <v>6</v>
      </c>
    </row>
    <row r="735" spans="1:11" x14ac:dyDescent="0.3">
      <c r="A735" s="1" t="s">
        <v>1304</v>
      </c>
      <c r="B735" s="1" t="s">
        <v>8</v>
      </c>
      <c r="C735" s="1" t="s">
        <v>1043</v>
      </c>
      <c r="D735" s="1" t="s">
        <v>9</v>
      </c>
      <c r="E735" s="1" t="s">
        <v>1036</v>
      </c>
      <c r="F735" s="3" t="s">
        <v>1106</v>
      </c>
      <c r="G735" s="1">
        <v>194.4</v>
      </c>
      <c r="H735" s="1">
        <v>3</v>
      </c>
      <c r="I735" s="1">
        <v>2</v>
      </c>
      <c r="J735" s="1">
        <v>18</v>
      </c>
      <c r="K735" s="1">
        <v>35</v>
      </c>
    </row>
    <row r="736" spans="1:11" x14ac:dyDescent="0.3">
      <c r="A736" s="1" t="s">
        <v>1313</v>
      </c>
      <c r="B736" s="1" t="s">
        <v>11</v>
      </c>
      <c r="C736" s="1" t="s">
        <v>1043</v>
      </c>
      <c r="D736" s="1" t="s">
        <v>54</v>
      </c>
      <c r="E736" s="1" t="s">
        <v>1036</v>
      </c>
      <c r="F736" s="3" t="s">
        <v>1106</v>
      </c>
      <c r="G736" s="1">
        <v>137.5</v>
      </c>
      <c r="H736" s="1">
        <v>3</v>
      </c>
      <c r="I736" s="1">
        <v>2</v>
      </c>
      <c r="J736" s="1">
        <v>24</v>
      </c>
      <c r="K736" s="1">
        <v>33</v>
      </c>
    </row>
    <row r="737" spans="1:11" x14ac:dyDescent="0.3">
      <c r="A737" s="1" t="s">
        <v>1643</v>
      </c>
      <c r="B737" s="1" t="s">
        <v>4</v>
      </c>
      <c r="C737" s="1" t="s">
        <v>1043</v>
      </c>
      <c r="D737" s="1" t="s">
        <v>46</v>
      </c>
      <c r="E737" s="1" t="s">
        <v>1036</v>
      </c>
      <c r="F737" s="3" t="s">
        <v>1106</v>
      </c>
      <c r="G737" s="1">
        <v>62.5</v>
      </c>
      <c r="H737" s="1">
        <v>0</v>
      </c>
      <c r="I737" s="1">
        <v>0</v>
      </c>
      <c r="J737" s="1">
        <v>8</v>
      </c>
      <c r="K737" s="1">
        <v>5</v>
      </c>
    </row>
    <row r="738" spans="1:11" x14ac:dyDescent="0.3">
      <c r="A738" s="1" t="s">
        <v>1394</v>
      </c>
      <c r="B738" s="1" t="s">
        <v>56</v>
      </c>
      <c r="C738" s="1" t="s">
        <v>1043</v>
      </c>
      <c r="D738" s="1" t="s">
        <v>64</v>
      </c>
      <c r="E738" s="1" t="s">
        <v>1036</v>
      </c>
      <c r="F738" s="3" t="s">
        <v>1106</v>
      </c>
      <c r="G738" s="1">
        <v>135.30000000000001</v>
      </c>
      <c r="H738" s="1">
        <v>2</v>
      </c>
      <c r="I738" s="1">
        <v>1</v>
      </c>
      <c r="J738" s="1">
        <v>17</v>
      </c>
      <c r="K738" s="1">
        <v>23</v>
      </c>
    </row>
    <row r="739" spans="1:11" x14ac:dyDescent="0.3">
      <c r="A739" s="1" t="s">
        <v>1181</v>
      </c>
      <c r="B739" s="1" t="s">
        <v>60</v>
      </c>
      <c r="C739" s="1" t="s">
        <v>1043</v>
      </c>
      <c r="D739" s="1" t="s">
        <v>103</v>
      </c>
      <c r="E739" s="1" t="s">
        <v>1036</v>
      </c>
      <c r="F739" s="3" t="s">
        <v>1106</v>
      </c>
      <c r="G739" s="1">
        <v>135.69999999999999</v>
      </c>
      <c r="H739" s="1">
        <v>5</v>
      </c>
      <c r="I739" s="1">
        <v>3</v>
      </c>
      <c r="J739" s="1">
        <v>42</v>
      </c>
      <c r="K739" s="1">
        <v>57</v>
      </c>
    </row>
    <row r="740" spans="1:11" x14ac:dyDescent="0.3">
      <c r="A740" s="1" t="s">
        <v>1105</v>
      </c>
      <c r="B740" s="1" t="s">
        <v>40</v>
      </c>
      <c r="C740" s="1" t="s">
        <v>1043</v>
      </c>
      <c r="D740" s="1" t="s">
        <v>54</v>
      </c>
      <c r="E740" s="1" t="s">
        <v>1036</v>
      </c>
      <c r="F740" s="3" t="s">
        <v>1106</v>
      </c>
      <c r="G740" s="1">
        <v>181</v>
      </c>
      <c r="H740" s="1">
        <v>10</v>
      </c>
      <c r="I740" s="1">
        <v>2</v>
      </c>
      <c r="J740" s="1">
        <v>42</v>
      </c>
      <c r="K740" s="1">
        <v>76</v>
      </c>
    </row>
    <row r="741" spans="1:11" x14ac:dyDescent="0.3">
      <c r="A741" s="1" t="s">
        <v>1297</v>
      </c>
      <c r="B741" s="1" t="s">
        <v>4</v>
      </c>
      <c r="C741" s="1" t="s">
        <v>1043</v>
      </c>
      <c r="D741" s="1" t="s">
        <v>54</v>
      </c>
      <c r="E741" s="1" t="s">
        <v>1047</v>
      </c>
      <c r="F741" s="3" t="s">
        <v>1106</v>
      </c>
      <c r="G741" s="1">
        <v>120</v>
      </c>
      <c r="H741" s="1">
        <v>3</v>
      </c>
      <c r="I741" s="1">
        <v>1</v>
      </c>
      <c r="J741" s="1">
        <v>30</v>
      </c>
      <c r="K741" s="1">
        <v>36</v>
      </c>
    </row>
    <row r="742" spans="1:11" x14ac:dyDescent="0.3">
      <c r="A742" s="1" t="s">
        <v>1135</v>
      </c>
      <c r="B742" s="1" t="s">
        <v>8</v>
      </c>
      <c r="C742" s="1" t="s">
        <v>1043</v>
      </c>
      <c r="D742" s="1" t="s">
        <v>54</v>
      </c>
      <c r="E742" s="1" t="s">
        <v>1047</v>
      </c>
      <c r="F742" s="3" t="s">
        <v>1106</v>
      </c>
      <c r="G742" s="1">
        <v>183.3</v>
      </c>
      <c r="H742" s="1">
        <v>6</v>
      </c>
      <c r="I742" s="1">
        <v>4</v>
      </c>
      <c r="J742" s="1">
        <v>36</v>
      </c>
      <c r="K742" s="1">
        <v>66</v>
      </c>
    </row>
    <row r="743" spans="1:11" x14ac:dyDescent="0.3">
      <c r="A743" s="1" t="s">
        <v>1768</v>
      </c>
      <c r="B743" s="1" t="s">
        <v>11</v>
      </c>
      <c r="C743" s="1" t="s">
        <v>1043</v>
      </c>
      <c r="D743" s="1" t="s">
        <v>139</v>
      </c>
      <c r="E743" s="1" t="s">
        <v>1047</v>
      </c>
      <c r="F743" s="3" t="s">
        <v>1106</v>
      </c>
      <c r="G743" s="1">
        <v>0</v>
      </c>
      <c r="H743" s="1">
        <v>0</v>
      </c>
      <c r="I743" s="1">
        <v>0</v>
      </c>
      <c r="J743" s="1">
        <v>3</v>
      </c>
      <c r="K743" s="1">
        <v>0</v>
      </c>
    </row>
    <row r="744" spans="1:11" x14ac:dyDescent="0.3">
      <c r="A744" s="1" t="s">
        <v>1702</v>
      </c>
      <c r="B744" s="1" t="s">
        <v>32</v>
      </c>
      <c r="C744" s="1" t="s">
        <v>16</v>
      </c>
      <c r="D744" s="1" t="s">
        <v>88</v>
      </c>
      <c r="E744" s="1" t="s">
        <v>1016</v>
      </c>
      <c r="F744" s="3" t="s">
        <v>1106</v>
      </c>
      <c r="G744" s="1">
        <v>40</v>
      </c>
      <c r="H744" s="1">
        <v>0</v>
      </c>
      <c r="I744" s="1">
        <v>0</v>
      </c>
      <c r="J744" s="1">
        <v>5</v>
      </c>
      <c r="K744" s="1">
        <v>2</v>
      </c>
    </row>
    <row r="745" spans="1:11" x14ac:dyDescent="0.3">
      <c r="A745" s="1" t="s">
        <v>1136</v>
      </c>
      <c r="B745" s="1" t="s">
        <v>32</v>
      </c>
      <c r="C745" s="1" t="s">
        <v>16</v>
      </c>
      <c r="D745" s="1" t="s">
        <v>33</v>
      </c>
      <c r="E745" s="1" t="s">
        <v>1016</v>
      </c>
      <c r="F745" s="3" t="s">
        <v>1106</v>
      </c>
      <c r="G745" s="1">
        <v>75.900000000000006</v>
      </c>
      <c r="H745" s="1">
        <v>6</v>
      </c>
      <c r="I745" s="1">
        <v>0</v>
      </c>
      <c r="J745" s="1">
        <v>87</v>
      </c>
      <c r="K745" s="1">
        <v>66</v>
      </c>
    </row>
    <row r="746" spans="1:11" x14ac:dyDescent="0.3">
      <c r="A746" s="1" t="s">
        <v>1681</v>
      </c>
      <c r="B746" s="1" t="s">
        <v>115</v>
      </c>
      <c r="C746" s="1" t="s">
        <v>16</v>
      </c>
      <c r="D746" s="1" t="s">
        <v>948</v>
      </c>
      <c r="E746" s="1" t="s">
        <v>990</v>
      </c>
      <c r="F746" s="3" t="s">
        <v>1106</v>
      </c>
      <c r="G746" s="1">
        <v>42.9</v>
      </c>
      <c r="H746" s="1">
        <v>0</v>
      </c>
      <c r="I746" s="1">
        <v>0</v>
      </c>
      <c r="J746" s="1">
        <v>7</v>
      </c>
      <c r="K746" s="1">
        <v>3</v>
      </c>
    </row>
    <row r="747" spans="1:11" x14ac:dyDescent="0.3">
      <c r="A747" s="1" t="s">
        <v>1720</v>
      </c>
      <c r="B747" s="1" t="s">
        <v>32</v>
      </c>
      <c r="C747" s="1" t="s">
        <v>16</v>
      </c>
      <c r="D747" s="1" t="s">
        <v>33</v>
      </c>
      <c r="E747" s="1" t="s">
        <v>990</v>
      </c>
      <c r="F747" s="3" t="s">
        <v>1106</v>
      </c>
      <c r="G747" s="1">
        <v>33.299999999999997</v>
      </c>
      <c r="H747" s="1">
        <v>0</v>
      </c>
      <c r="I747" s="1">
        <v>0</v>
      </c>
      <c r="J747" s="1">
        <v>3</v>
      </c>
      <c r="K747" s="1">
        <v>1</v>
      </c>
    </row>
    <row r="748" spans="1:11" x14ac:dyDescent="0.3">
      <c r="A748" s="1" t="s">
        <v>1389</v>
      </c>
      <c r="B748" s="1" t="s">
        <v>115</v>
      </c>
      <c r="C748" s="1" t="s">
        <v>16</v>
      </c>
      <c r="D748" s="1" t="s">
        <v>35</v>
      </c>
      <c r="E748" s="1" t="s">
        <v>990</v>
      </c>
      <c r="F748" s="3" t="s">
        <v>1106</v>
      </c>
      <c r="G748" s="1">
        <v>66.7</v>
      </c>
      <c r="H748" s="1">
        <v>1</v>
      </c>
      <c r="I748" s="1">
        <v>0</v>
      </c>
      <c r="J748" s="1">
        <v>36</v>
      </c>
      <c r="K748" s="1">
        <v>24</v>
      </c>
    </row>
    <row r="749" spans="1:11" x14ac:dyDescent="0.3">
      <c r="A749" s="1" t="s">
        <v>1721</v>
      </c>
      <c r="B749" s="1" t="s">
        <v>32</v>
      </c>
      <c r="C749" s="1" t="s">
        <v>16</v>
      </c>
      <c r="D749" s="1" t="s">
        <v>35</v>
      </c>
      <c r="E749" s="1" t="s">
        <v>990</v>
      </c>
      <c r="F749" s="3" t="s">
        <v>1106</v>
      </c>
      <c r="G749" s="1">
        <v>33.299999999999997</v>
      </c>
      <c r="H749" s="1">
        <v>0</v>
      </c>
      <c r="I749" s="1">
        <v>0</v>
      </c>
      <c r="J749" s="1">
        <v>3</v>
      </c>
      <c r="K749" s="1">
        <v>1</v>
      </c>
    </row>
    <row r="750" spans="1:11" x14ac:dyDescent="0.3">
      <c r="A750" s="1" t="s">
        <v>1123</v>
      </c>
      <c r="B750" s="1" t="s">
        <v>115</v>
      </c>
      <c r="C750" s="1" t="s">
        <v>16</v>
      </c>
      <c r="D750" s="1" t="s">
        <v>635</v>
      </c>
      <c r="E750" s="1" t="s">
        <v>990</v>
      </c>
      <c r="F750" s="3" t="s">
        <v>1106</v>
      </c>
      <c r="G750" s="1">
        <v>109.4</v>
      </c>
      <c r="H750" s="1">
        <v>6</v>
      </c>
      <c r="I750" s="1">
        <v>1</v>
      </c>
      <c r="J750" s="1">
        <v>64</v>
      </c>
      <c r="K750" s="1">
        <v>70</v>
      </c>
    </row>
    <row r="751" spans="1:11" x14ac:dyDescent="0.3">
      <c r="A751" s="1" t="s">
        <v>1282</v>
      </c>
      <c r="B751" s="1" t="s">
        <v>32</v>
      </c>
      <c r="C751" s="1" t="s">
        <v>16</v>
      </c>
      <c r="D751" s="1" t="s">
        <v>84</v>
      </c>
      <c r="E751" s="1" t="s">
        <v>990</v>
      </c>
      <c r="F751" s="3" t="s">
        <v>1106</v>
      </c>
      <c r="G751" s="1">
        <v>63.9</v>
      </c>
      <c r="H751" s="1">
        <v>2</v>
      </c>
      <c r="I751" s="1">
        <v>0</v>
      </c>
      <c r="J751" s="1">
        <v>61</v>
      </c>
      <c r="K751" s="1">
        <v>39</v>
      </c>
    </row>
    <row r="752" spans="1:11" x14ac:dyDescent="0.3">
      <c r="A752" s="1" t="s">
        <v>1769</v>
      </c>
      <c r="B752" s="1" t="s">
        <v>115</v>
      </c>
      <c r="C752" s="1" t="s">
        <v>16</v>
      </c>
      <c r="D752" s="1" t="s">
        <v>88</v>
      </c>
      <c r="E752" s="1" t="s">
        <v>990</v>
      </c>
      <c r="F752" s="3" t="s">
        <v>1106</v>
      </c>
      <c r="G752" s="1">
        <v>0</v>
      </c>
      <c r="H752" s="1">
        <v>0</v>
      </c>
      <c r="I752" s="1">
        <v>0</v>
      </c>
      <c r="J752" s="1">
        <v>2</v>
      </c>
      <c r="K752" s="1">
        <v>0</v>
      </c>
    </row>
    <row r="753" spans="1:11" x14ac:dyDescent="0.3">
      <c r="A753" s="1" t="s">
        <v>1342</v>
      </c>
      <c r="B753" s="1" t="s">
        <v>32</v>
      </c>
      <c r="C753" s="1" t="s">
        <v>16</v>
      </c>
      <c r="D753" s="1" t="s">
        <v>88</v>
      </c>
      <c r="E753" s="1" t="s">
        <v>990</v>
      </c>
      <c r="F753" s="3" t="s">
        <v>1106</v>
      </c>
      <c r="G753" s="1">
        <v>67.400000000000006</v>
      </c>
      <c r="H753" s="1">
        <v>5</v>
      </c>
      <c r="I753" s="1">
        <v>0</v>
      </c>
      <c r="J753" s="1">
        <v>43</v>
      </c>
      <c r="K753" s="1">
        <v>29</v>
      </c>
    </row>
    <row r="754" spans="1:11" x14ac:dyDescent="0.3">
      <c r="A754" s="1" t="s">
        <v>1586</v>
      </c>
      <c r="B754" s="1" t="s">
        <v>32</v>
      </c>
      <c r="C754" s="1" t="s">
        <v>5</v>
      </c>
      <c r="D754" s="1" t="s">
        <v>84</v>
      </c>
      <c r="E754" s="1" t="s">
        <v>990</v>
      </c>
      <c r="F754" s="3" t="s">
        <v>1106</v>
      </c>
      <c r="G754" s="1">
        <v>100</v>
      </c>
      <c r="H754" s="1">
        <v>1</v>
      </c>
      <c r="I754" s="1">
        <v>0</v>
      </c>
      <c r="J754" s="1">
        <v>8</v>
      </c>
      <c r="K754" s="1">
        <v>8</v>
      </c>
    </row>
    <row r="755" spans="1:11" x14ac:dyDescent="0.3">
      <c r="A755" s="1" t="s">
        <v>1211</v>
      </c>
      <c r="B755" s="1" t="s">
        <v>71</v>
      </c>
      <c r="C755" s="1" t="s">
        <v>16</v>
      </c>
      <c r="D755" s="1" t="s">
        <v>46</v>
      </c>
      <c r="E755" s="1" t="s">
        <v>981</v>
      </c>
      <c r="F755" s="3" t="s">
        <v>1212</v>
      </c>
      <c r="G755" s="1">
        <v>85.2</v>
      </c>
      <c r="H755" s="1">
        <v>3</v>
      </c>
      <c r="I755" s="1">
        <v>1</v>
      </c>
      <c r="J755" s="1">
        <v>61</v>
      </c>
      <c r="K755" s="1">
        <v>52</v>
      </c>
    </row>
    <row r="756" spans="1:11" x14ac:dyDescent="0.3">
      <c r="A756" s="1" t="s">
        <v>1722</v>
      </c>
      <c r="B756" s="1" t="s">
        <v>32</v>
      </c>
      <c r="C756" s="1" t="s">
        <v>16</v>
      </c>
      <c r="D756" s="1" t="s">
        <v>54</v>
      </c>
      <c r="E756" s="1" t="s">
        <v>977</v>
      </c>
      <c r="F756" s="3" t="s">
        <v>1212</v>
      </c>
      <c r="G756" s="1">
        <v>25</v>
      </c>
      <c r="H756" s="1">
        <v>0</v>
      </c>
      <c r="I756" s="1">
        <v>0</v>
      </c>
      <c r="J756" s="1">
        <v>4</v>
      </c>
      <c r="K756" s="1">
        <v>1</v>
      </c>
    </row>
    <row r="757" spans="1:11" x14ac:dyDescent="0.3">
      <c r="A757" s="1" t="s">
        <v>1334</v>
      </c>
      <c r="B757" s="1" t="s">
        <v>71</v>
      </c>
      <c r="C757" s="1" t="s">
        <v>5</v>
      </c>
      <c r="D757" s="1" t="s">
        <v>530</v>
      </c>
      <c r="E757" s="1" t="s">
        <v>1009</v>
      </c>
      <c r="F757" s="3" t="s">
        <v>1212</v>
      </c>
      <c r="G757" s="1">
        <v>187.5</v>
      </c>
      <c r="H757" s="1">
        <v>2</v>
      </c>
      <c r="I757" s="1">
        <v>1</v>
      </c>
      <c r="J757" s="1">
        <v>16</v>
      </c>
      <c r="K757" s="1">
        <v>30</v>
      </c>
    </row>
    <row r="758" spans="1:11" x14ac:dyDescent="0.3">
      <c r="A758" s="1" t="s">
        <v>1587</v>
      </c>
      <c r="B758" s="1" t="s">
        <v>32</v>
      </c>
      <c r="C758" s="1" t="s">
        <v>5</v>
      </c>
      <c r="D758" s="1" t="s">
        <v>535</v>
      </c>
      <c r="E758" s="1" t="s">
        <v>1009</v>
      </c>
      <c r="F758" s="3" t="s">
        <v>1212</v>
      </c>
      <c r="G758" s="1">
        <v>160</v>
      </c>
      <c r="H758" s="1">
        <v>0</v>
      </c>
      <c r="I758" s="1">
        <v>1</v>
      </c>
      <c r="J758" s="1">
        <v>5</v>
      </c>
      <c r="K758" s="1">
        <v>8</v>
      </c>
    </row>
    <row r="759" spans="1:11" x14ac:dyDescent="0.3">
      <c r="A759" s="1" t="s">
        <v>1226</v>
      </c>
      <c r="B759" s="1" t="s">
        <v>24</v>
      </c>
      <c r="C759" s="1" t="s">
        <v>5</v>
      </c>
      <c r="D759" s="1" t="s">
        <v>535</v>
      </c>
      <c r="E759" s="1" t="s">
        <v>1009</v>
      </c>
      <c r="F759" s="3" t="s">
        <v>1212</v>
      </c>
      <c r="G759" s="1">
        <v>125</v>
      </c>
      <c r="H759" s="1">
        <v>7</v>
      </c>
      <c r="I759" s="1">
        <v>2</v>
      </c>
      <c r="J759" s="1">
        <v>40</v>
      </c>
      <c r="K759" s="1">
        <v>50</v>
      </c>
    </row>
    <row r="760" spans="1:11" x14ac:dyDescent="0.3">
      <c r="A760" s="1" t="s">
        <v>1588</v>
      </c>
      <c r="B760" s="1" t="s">
        <v>24</v>
      </c>
      <c r="C760" s="1" t="s">
        <v>16</v>
      </c>
      <c r="D760" s="1" t="s">
        <v>963</v>
      </c>
      <c r="E760" s="1" t="s">
        <v>1007</v>
      </c>
      <c r="F760" s="3" t="s">
        <v>1212</v>
      </c>
      <c r="G760" s="4">
        <v>88.9</v>
      </c>
      <c r="H760" s="1">
        <v>0</v>
      </c>
      <c r="I760" s="1">
        <v>0</v>
      </c>
      <c r="J760" s="1">
        <v>9</v>
      </c>
      <c r="K760" s="1">
        <v>8</v>
      </c>
    </row>
  </sheetData>
  <autoFilter ref="A1:K760" xr:uid="{1116DEAE-5219-4A08-83A0-ED7D3DF4A63C}">
    <sortState ref="A2:K760">
      <sortCondition ref="A1:A76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2DF0-6244-4D83-B10D-3BC609264362}">
  <dimension ref="A1:AP760"/>
  <sheetViews>
    <sheetView workbookViewId="0">
      <selection activeCell="L5" sqref="A5:XFD5"/>
    </sheetView>
  </sheetViews>
  <sheetFormatPr defaultRowHeight="14.4" x14ac:dyDescent="0.3"/>
  <cols>
    <col min="1" max="1" width="13.6640625" bestFit="1" customWidth="1"/>
    <col min="2" max="2" width="14" bestFit="1" customWidth="1"/>
    <col min="3" max="3" width="11.44140625" bestFit="1" customWidth="1"/>
    <col min="4" max="4" width="19.88671875" bestFit="1" customWidth="1"/>
    <col min="5" max="5" width="11.21875" bestFit="1" customWidth="1"/>
    <col min="6" max="6" width="9.109375" bestFit="1" customWidth="1"/>
    <col min="7" max="7" width="14.5546875" bestFit="1" customWidth="1"/>
    <col min="8" max="8" width="10" bestFit="1" customWidth="1"/>
    <col min="9" max="9" width="9.5546875" bestFit="1" customWidth="1"/>
    <col min="10" max="10" width="9.21875" bestFit="1" customWidth="1"/>
    <col min="11" max="11" width="9.109375" bestFit="1" customWidth="1"/>
    <col min="12" max="12" width="13.33203125" bestFit="1" customWidth="1"/>
    <col min="13" max="13" width="13.109375" bestFit="1" customWidth="1"/>
    <col min="14" max="14" width="13.6640625" bestFit="1" customWidth="1"/>
    <col min="15" max="15" width="13.33203125" bestFit="1" customWidth="1"/>
    <col min="16" max="16" width="18.88671875" bestFit="1" customWidth="1"/>
    <col min="17" max="17" width="25" bestFit="1" customWidth="1"/>
    <col min="18" max="18" width="20.6640625" bestFit="1" customWidth="1"/>
    <col min="19" max="19" width="19.33203125" bestFit="1" customWidth="1"/>
    <col min="20" max="20" width="19" bestFit="1" customWidth="1"/>
    <col min="21" max="21" width="22.88671875" bestFit="1" customWidth="1"/>
    <col min="22" max="22" width="23.33203125" bestFit="1" customWidth="1"/>
    <col min="23" max="23" width="23" bestFit="1" customWidth="1"/>
    <col min="24" max="24" width="20" bestFit="1" customWidth="1"/>
    <col min="25" max="25" width="20.5546875" bestFit="1" customWidth="1"/>
    <col min="26" max="26" width="19.44140625" bestFit="1" customWidth="1"/>
    <col min="27" max="27" width="24.33203125" bestFit="1" customWidth="1"/>
    <col min="28" max="28" width="25" bestFit="1" customWidth="1"/>
    <col min="29" max="29" width="24.6640625" bestFit="1" customWidth="1"/>
    <col min="30" max="30" width="19.88671875" bestFit="1" customWidth="1"/>
    <col min="31" max="31" width="19.6640625" bestFit="1" customWidth="1"/>
    <col min="32" max="32" width="19.33203125" bestFit="1" customWidth="1"/>
    <col min="33" max="33" width="24.21875" bestFit="1" customWidth="1"/>
    <col min="34" max="34" width="24.77734375" bestFit="1" customWidth="1"/>
    <col min="35" max="35" width="24.44140625" bestFit="1" customWidth="1"/>
    <col min="36" max="36" width="18.21875" bestFit="1" customWidth="1"/>
    <col min="37" max="37" width="23.33203125" bestFit="1" customWidth="1"/>
    <col min="38" max="38" width="18.109375" bestFit="1" customWidth="1"/>
    <col min="39" max="39" width="17.6640625" bestFit="1" customWidth="1"/>
    <col min="40" max="40" width="23.33203125" bestFit="1" customWidth="1"/>
    <col min="41" max="41" width="21.44140625" bestFit="1" customWidth="1"/>
    <col min="42" max="42" width="22.109375" bestFit="1" customWidth="1"/>
  </cols>
  <sheetData>
    <row r="1" spans="1:42" x14ac:dyDescent="0.3">
      <c r="A1" s="5" t="s">
        <v>966</v>
      </c>
      <c r="B1" s="5" t="s">
        <v>967</v>
      </c>
      <c r="C1" s="5" t="s">
        <v>0</v>
      </c>
      <c r="D1" s="5" t="s">
        <v>1</v>
      </c>
      <c r="E1" s="5" t="s">
        <v>968</v>
      </c>
      <c r="F1" s="5" t="s">
        <v>969</v>
      </c>
      <c r="G1" s="5" t="s">
        <v>970</v>
      </c>
      <c r="H1" s="5" t="s">
        <v>971</v>
      </c>
      <c r="I1" s="5" t="s">
        <v>972</v>
      </c>
      <c r="J1" s="5" t="s">
        <v>973</v>
      </c>
      <c r="K1" s="5" t="s">
        <v>974</v>
      </c>
      <c r="L1" s="5" t="s">
        <v>975</v>
      </c>
      <c r="M1" s="5" t="s">
        <v>1770</v>
      </c>
      <c r="N1" s="5" t="s">
        <v>1771</v>
      </c>
      <c r="O1" s="5" t="s">
        <v>1772</v>
      </c>
      <c r="P1" s="5" t="s">
        <v>1773</v>
      </c>
      <c r="Q1" s="5" t="s">
        <v>1774</v>
      </c>
      <c r="R1" s="5" t="s">
        <v>1775</v>
      </c>
      <c r="S1" s="5" t="s">
        <v>1776</v>
      </c>
      <c r="T1" s="5" t="s">
        <v>1777</v>
      </c>
      <c r="U1" s="5" t="s">
        <v>1778</v>
      </c>
      <c r="V1" s="5" t="s">
        <v>1779</v>
      </c>
      <c r="W1" s="5" t="s">
        <v>1780</v>
      </c>
      <c r="X1" s="5" t="s">
        <v>1781</v>
      </c>
      <c r="Y1" s="5" t="s">
        <v>1782</v>
      </c>
      <c r="Z1" s="5" t="s">
        <v>1783</v>
      </c>
      <c r="AA1" s="5" t="s">
        <v>1784</v>
      </c>
      <c r="AB1" s="5" t="s">
        <v>1785</v>
      </c>
      <c r="AC1" s="5" t="s">
        <v>1786</v>
      </c>
      <c r="AD1" s="5" t="s">
        <v>1787</v>
      </c>
      <c r="AE1" s="5" t="s">
        <v>1788</v>
      </c>
      <c r="AF1" s="5" t="s">
        <v>1789</v>
      </c>
      <c r="AG1" s="5" t="s">
        <v>1790</v>
      </c>
      <c r="AH1" s="5" t="s">
        <v>1791</v>
      </c>
      <c r="AI1" s="5" t="s">
        <v>1792</v>
      </c>
      <c r="AJ1" s="5" t="s">
        <v>1793</v>
      </c>
      <c r="AK1" s="5" t="s">
        <v>1794</v>
      </c>
      <c r="AL1" s="5" t="s">
        <v>1795</v>
      </c>
      <c r="AM1" s="5" t="s">
        <v>1796</v>
      </c>
      <c r="AN1" s="5" t="s">
        <v>1797</v>
      </c>
      <c r="AO1" s="5" t="s">
        <v>1798</v>
      </c>
      <c r="AP1" s="5" t="s">
        <v>1799</v>
      </c>
    </row>
    <row r="2" spans="1:42" x14ac:dyDescent="0.3">
      <c r="A2" t="s">
        <v>1616</v>
      </c>
      <c r="B2" t="s">
        <v>4</v>
      </c>
      <c r="C2" t="s">
        <v>1043</v>
      </c>
      <c r="D2" t="s">
        <v>6</v>
      </c>
      <c r="E2" t="s">
        <v>1047</v>
      </c>
      <c r="F2">
        <v>2026</v>
      </c>
      <c r="G2">
        <v>83.3</v>
      </c>
      <c r="H2">
        <v>0</v>
      </c>
      <c r="I2">
        <v>0</v>
      </c>
      <c r="J2">
        <v>6</v>
      </c>
      <c r="K2">
        <v>5</v>
      </c>
      <c r="L2" t="s">
        <v>1327</v>
      </c>
      <c r="M2">
        <v>35.973614775725594</v>
      </c>
      <c r="N2">
        <v>303</v>
      </c>
      <c r="O2">
        <v>0</v>
      </c>
      <c r="P2">
        <v>58.2</v>
      </c>
      <c r="Q2">
        <v>130.66</v>
      </c>
      <c r="R2">
        <v>22.226385224274409</v>
      </c>
      <c r="S2">
        <v>152</v>
      </c>
      <c r="T2">
        <v>5</v>
      </c>
      <c r="U2">
        <v>20.68965517241379</v>
      </c>
      <c r="V2">
        <v>73</v>
      </c>
      <c r="W2">
        <v>0</v>
      </c>
      <c r="X2">
        <v>26.556862745098041</v>
      </c>
      <c r="Y2">
        <v>109</v>
      </c>
      <c r="Z2">
        <v>0</v>
      </c>
      <c r="AA2">
        <v>114.6301960784314</v>
      </c>
      <c r="AB2">
        <v>350</v>
      </c>
      <c r="AC2">
        <v>0</v>
      </c>
      <c r="AD2">
        <v>27.9758064516129</v>
      </c>
      <c r="AE2">
        <v>105</v>
      </c>
      <c r="AF2">
        <v>0</v>
      </c>
      <c r="AG2">
        <v>110.46935483870971</v>
      </c>
      <c r="AH2">
        <v>280</v>
      </c>
      <c r="AI2">
        <v>0</v>
      </c>
      <c r="AJ2">
        <v>35</v>
      </c>
      <c r="AK2">
        <v>134.6</v>
      </c>
      <c r="AL2">
        <v>2596</v>
      </c>
      <c r="AM2">
        <v>959</v>
      </c>
      <c r="AN2">
        <v>3555</v>
      </c>
      <c r="AO2">
        <v>45</v>
      </c>
      <c r="AP2">
        <v>913</v>
      </c>
    </row>
    <row r="3" spans="1:42" x14ac:dyDescent="0.3">
      <c r="A3" t="s">
        <v>1298</v>
      </c>
      <c r="B3" t="s">
        <v>8</v>
      </c>
      <c r="C3" t="s">
        <v>1043</v>
      </c>
      <c r="D3" t="s">
        <v>9</v>
      </c>
      <c r="E3" t="s">
        <v>1047</v>
      </c>
      <c r="F3">
        <v>2026</v>
      </c>
      <c r="G3">
        <v>134.6</v>
      </c>
      <c r="H3">
        <v>5</v>
      </c>
      <c r="I3">
        <v>1</v>
      </c>
      <c r="J3">
        <v>26</v>
      </c>
      <c r="K3">
        <v>35</v>
      </c>
      <c r="L3" t="s">
        <v>979</v>
      </c>
      <c r="M3">
        <v>35.974900924702773</v>
      </c>
      <c r="N3">
        <v>303</v>
      </c>
      <c r="O3">
        <v>0</v>
      </c>
      <c r="P3">
        <v>38.36</v>
      </c>
      <c r="Q3">
        <v>122.748</v>
      </c>
      <c r="R3">
        <v>2.385099075297227</v>
      </c>
      <c r="S3">
        <v>131</v>
      </c>
      <c r="T3">
        <v>1</v>
      </c>
      <c r="U3">
        <v>28.567567567567568</v>
      </c>
      <c r="V3">
        <v>74</v>
      </c>
      <c r="W3">
        <v>0</v>
      </c>
      <c r="X3">
        <v>26.556862745098041</v>
      </c>
      <c r="Y3">
        <v>109</v>
      </c>
      <c r="Z3">
        <v>0</v>
      </c>
      <c r="AA3">
        <v>114.6301960784314</v>
      </c>
      <c r="AB3">
        <v>350</v>
      </c>
      <c r="AC3">
        <v>0</v>
      </c>
      <c r="AD3">
        <v>27.9758064516129</v>
      </c>
      <c r="AE3">
        <v>105</v>
      </c>
      <c r="AF3">
        <v>0</v>
      </c>
      <c r="AG3">
        <v>110.46935483870971</v>
      </c>
      <c r="AH3">
        <v>280</v>
      </c>
      <c r="AI3">
        <v>0</v>
      </c>
      <c r="AL3">
        <v>2591</v>
      </c>
      <c r="AM3">
        <v>958</v>
      </c>
      <c r="AN3">
        <v>3549</v>
      </c>
      <c r="AO3">
        <v>118</v>
      </c>
      <c r="AP3">
        <v>907</v>
      </c>
    </row>
    <row r="4" spans="1:42" x14ac:dyDescent="0.3">
      <c r="A4" t="s">
        <v>1095</v>
      </c>
      <c r="B4" t="s">
        <v>11</v>
      </c>
      <c r="C4" t="s">
        <v>1043</v>
      </c>
      <c r="D4" t="s">
        <v>12</v>
      </c>
      <c r="E4" t="s">
        <v>1016</v>
      </c>
      <c r="F4">
        <v>2026</v>
      </c>
      <c r="G4">
        <v>205.3</v>
      </c>
      <c r="H4">
        <v>6</v>
      </c>
      <c r="I4">
        <v>6</v>
      </c>
      <c r="J4">
        <v>38</v>
      </c>
      <c r="K4">
        <v>78</v>
      </c>
      <c r="L4" t="s">
        <v>979</v>
      </c>
      <c r="M4">
        <v>35.919312169312171</v>
      </c>
      <c r="N4">
        <v>303</v>
      </c>
      <c r="O4">
        <v>0</v>
      </c>
      <c r="P4">
        <v>31.203883495145629</v>
      </c>
      <c r="Q4">
        <v>120.5689320388349</v>
      </c>
      <c r="R4">
        <v>-4.7154286741665388</v>
      </c>
      <c r="S4">
        <v>162</v>
      </c>
      <c r="T4">
        <v>0</v>
      </c>
      <c r="U4">
        <v>31.852941176470591</v>
      </c>
      <c r="V4">
        <v>109</v>
      </c>
      <c r="W4">
        <v>0</v>
      </c>
      <c r="X4">
        <v>26.556862745098041</v>
      </c>
      <c r="Y4">
        <v>109</v>
      </c>
      <c r="Z4">
        <v>0</v>
      </c>
      <c r="AA4">
        <v>114.6301960784314</v>
      </c>
      <c r="AB4">
        <v>350</v>
      </c>
      <c r="AC4">
        <v>0</v>
      </c>
      <c r="AD4">
        <v>34.313432835820898</v>
      </c>
      <c r="AE4">
        <v>137</v>
      </c>
      <c r="AF4">
        <v>0</v>
      </c>
      <c r="AG4">
        <v>101.9507462686567</v>
      </c>
      <c r="AH4">
        <v>216.7</v>
      </c>
      <c r="AI4">
        <v>0</v>
      </c>
      <c r="AL4">
        <v>2585</v>
      </c>
      <c r="AM4">
        <v>952</v>
      </c>
      <c r="AN4">
        <v>3537</v>
      </c>
      <c r="AO4">
        <v>436</v>
      </c>
      <c r="AP4">
        <v>895</v>
      </c>
    </row>
    <row r="5" spans="1:42" x14ac:dyDescent="0.3">
      <c r="A5" t="s">
        <v>1516</v>
      </c>
      <c r="B5" t="s">
        <v>15</v>
      </c>
      <c r="C5" t="s">
        <v>16</v>
      </c>
      <c r="D5" t="s">
        <v>17</v>
      </c>
      <c r="E5" t="s">
        <v>994</v>
      </c>
      <c r="F5">
        <v>2026</v>
      </c>
      <c r="G5">
        <v>84.6</v>
      </c>
      <c r="H5">
        <v>2</v>
      </c>
      <c r="I5">
        <v>0</v>
      </c>
      <c r="J5">
        <v>13</v>
      </c>
      <c r="K5">
        <v>11</v>
      </c>
      <c r="L5" t="s">
        <v>1327</v>
      </c>
      <c r="M5">
        <v>35.952317880794702</v>
      </c>
      <c r="N5">
        <v>303</v>
      </c>
      <c r="O5">
        <v>0</v>
      </c>
      <c r="P5">
        <v>33.769230769230766</v>
      </c>
      <c r="Q5">
        <v>87.853846153846149</v>
      </c>
      <c r="R5">
        <v>-2.183087111563935</v>
      </c>
      <c r="S5">
        <v>118</v>
      </c>
      <c r="T5">
        <v>0</v>
      </c>
      <c r="U5">
        <v>37.701754385964911</v>
      </c>
      <c r="V5">
        <v>147</v>
      </c>
      <c r="W5">
        <v>1</v>
      </c>
      <c r="X5">
        <v>42.251824817518248</v>
      </c>
      <c r="Y5">
        <v>264</v>
      </c>
      <c r="Z5">
        <v>0</v>
      </c>
      <c r="AA5">
        <v>77.646715328467153</v>
      </c>
      <c r="AB5">
        <v>200</v>
      </c>
      <c r="AC5">
        <v>0</v>
      </c>
      <c r="AD5">
        <v>47.472727272727283</v>
      </c>
      <c r="AE5">
        <v>171</v>
      </c>
      <c r="AF5">
        <v>0</v>
      </c>
      <c r="AG5">
        <v>81.038181818181826</v>
      </c>
      <c r="AH5">
        <v>175.4</v>
      </c>
      <c r="AI5">
        <v>0</v>
      </c>
      <c r="AJ5">
        <v>24</v>
      </c>
      <c r="AK5">
        <v>63.2</v>
      </c>
      <c r="AL5">
        <v>2583</v>
      </c>
      <c r="AM5">
        <v>952</v>
      </c>
      <c r="AN5">
        <v>3535</v>
      </c>
      <c r="AO5">
        <v>62</v>
      </c>
      <c r="AP5">
        <v>1444</v>
      </c>
    </row>
    <row r="6" spans="1:42" x14ac:dyDescent="0.3">
      <c r="A6" t="s">
        <v>1375</v>
      </c>
      <c r="B6" t="s">
        <v>15</v>
      </c>
      <c r="C6" t="s">
        <v>16</v>
      </c>
      <c r="D6" t="s">
        <v>19</v>
      </c>
      <c r="E6" t="s">
        <v>994</v>
      </c>
      <c r="F6">
        <v>2026</v>
      </c>
      <c r="G6">
        <v>63.2</v>
      </c>
      <c r="H6">
        <v>4</v>
      </c>
      <c r="I6">
        <v>0</v>
      </c>
      <c r="J6">
        <v>38</v>
      </c>
      <c r="K6">
        <v>24</v>
      </c>
      <c r="L6" t="s">
        <v>1327</v>
      </c>
      <c r="M6">
        <v>35.968169761273209</v>
      </c>
      <c r="N6">
        <v>303</v>
      </c>
      <c r="O6">
        <v>0</v>
      </c>
      <c r="P6">
        <v>47.6</v>
      </c>
      <c r="Q6">
        <v>101.29</v>
      </c>
      <c r="R6">
        <v>11.63183023872679</v>
      </c>
      <c r="S6">
        <v>150</v>
      </c>
      <c r="T6">
        <v>5</v>
      </c>
      <c r="U6">
        <v>37.701754385964911</v>
      </c>
      <c r="V6">
        <v>147</v>
      </c>
      <c r="W6">
        <v>1</v>
      </c>
      <c r="X6">
        <v>42.251824817518248</v>
      </c>
      <c r="Y6">
        <v>264</v>
      </c>
      <c r="Z6">
        <v>0</v>
      </c>
      <c r="AA6">
        <v>77.646715328467153</v>
      </c>
      <c r="AB6">
        <v>200</v>
      </c>
      <c r="AC6">
        <v>0</v>
      </c>
      <c r="AD6">
        <v>47.472727272727283</v>
      </c>
      <c r="AE6">
        <v>171</v>
      </c>
      <c r="AF6">
        <v>0</v>
      </c>
      <c r="AG6">
        <v>81.038181818181826</v>
      </c>
      <c r="AH6">
        <v>175.4</v>
      </c>
      <c r="AI6">
        <v>0</v>
      </c>
      <c r="AJ6">
        <v>26</v>
      </c>
      <c r="AK6">
        <v>89.7</v>
      </c>
      <c r="AL6">
        <v>2579</v>
      </c>
      <c r="AM6">
        <v>952</v>
      </c>
      <c r="AN6">
        <v>3531</v>
      </c>
      <c r="AO6">
        <v>61</v>
      </c>
      <c r="AP6">
        <v>1440</v>
      </c>
    </row>
    <row r="7" spans="1:42" x14ac:dyDescent="0.3">
      <c r="A7" t="s">
        <v>1360</v>
      </c>
      <c r="B7" t="s">
        <v>15</v>
      </c>
      <c r="C7" t="s">
        <v>16</v>
      </c>
      <c r="D7" t="s">
        <v>21</v>
      </c>
      <c r="E7" t="s">
        <v>994</v>
      </c>
      <c r="F7">
        <v>2026</v>
      </c>
      <c r="G7">
        <v>89.7</v>
      </c>
      <c r="H7">
        <v>3</v>
      </c>
      <c r="I7">
        <v>2</v>
      </c>
      <c r="J7">
        <v>29</v>
      </c>
      <c r="K7">
        <v>26</v>
      </c>
      <c r="L7" t="s">
        <v>1327</v>
      </c>
      <c r="M7">
        <v>35.981407702523242</v>
      </c>
      <c r="N7">
        <v>303</v>
      </c>
      <c r="O7">
        <v>0</v>
      </c>
      <c r="P7">
        <v>26</v>
      </c>
      <c r="Q7">
        <v>89.7</v>
      </c>
      <c r="R7">
        <v>-9.9814077025232422</v>
      </c>
      <c r="S7">
        <v>26</v>
      </c>
      <c r="T7">
        <v>26</v>
      </c>
      <c r="U7">
        <v>37.701754385964911</v>
      </c>
      <c r="V7">
        <v>147</v>
      </c>
      <c r="W7">
        <v>1</v>
      </c>
      <c r="X7">
        <v>42.251824817518248</v>
      </c>
      <c r="Y7">
        <v>264</v>
      </c>
      <c r="Z7">
        <v>0</v>
      </c>
      <c r="AA7">
        <v>77.646715328467153</v>
      </c>
      <c r="AB7">
        <v>200</v>
      </c>
      <c r="AC7">
        <v>0</v>
      </c>
      <c r="AD7">
        <v>47.472727272727283</v>
      </c>
      <c r="AE7">
        <v>171</v>
      </c>
      <c r="AF7">
        <v>0</v>
      </c>
      <c r="AG7">
        <v>81.038181818181826</v>
      </c>
      <c r="AH7">
        <v>175.4</v>
      </c>
      <c r="AI7">
        <v>0</v>
      </c>
      <c r="AL7">
        <v>2576</v>
      </c>
      <c r="AM7">
        <v>950</v>
      </c>
      <c r="AN7">
        <v>3526</v>
      </c>
      <c r="AP7">
        <v>1435</v>
      </c>
    </row>
    <row r="8" spans="1:42" x14ac:dyDescent="0.3">
      <c r="A8" t="s">
        <v>1107</v>
      </c>
      <c r="B8" t="s">
        <v>24</v>
      </c>
      <c r="C8" t="s">
        <v>16</v>
      </c>
      <c r="D8" t="s">
        <v>25</v>
      </c>
      <c r="E8" t="s">
        <v>987</v>
      </c>
      <c r="F8">
        <v>2025</v>
      </c>
      <c r="G8">
        <v>102.7</v>
      </c>
      <c r="H8">
        <v>7</v>
      </c>
      <c r="I8">
        <v>3</v>
      </c>
      <c r="J8">
        <v>73</v>
      </c>
      <c r="K8">
        <v>75</v>
      </c>
      <c r="L8" t="s">
        <v>979</v>
      </c>
      <c r="M8">
        <v>35.929521276595743</v>
      </c>
      <c r="N8">
        <v>303</v>
      </c>
      <c r="O8">
        <v>0</v>
      </c>
      <c r="P8">
        <v>56.375</v>
      </c>
      <c r="Q8">
        <v>92.453125</v>
      </c>
      <c r="R8">
        <v>20.445478723404261</v>
      </c>
      <c r="S8">
        <v>303</v>
      </c>
      <c r="T8">
        <v>4</v>
      </c>
      <c r="U8">
        <v>37.163636363636357</v>
      </c>
      <c r="V8">
        <v>303</v>
      </c>
      <c r="W8">
        <v>0</v>
      </c>
      <c r="X8">
        <v>42.251824817518248</v>
      </c>
      <c r="Y8">
        <v>264</v>
      </c>
      <c r="Z8">
        <v>0</v>
      </c>
      <c r="AA8">
        <v>77.646715328467153</v>
      </c>
      <c r="AB8">
        <v>200</v>
      </c>
      <c r="AC8">
        <v>0</v>
      </c>
      <c r="AD8">
        <v>40.825000000000003</v>
      </c>
      <c r="AE8">
        <v>208</v>
      </c>
      <c r="AF8">
        <v>1</v>
      </c>
      <c r="AG8">
        <v>90.646250000000009</v>
      </c>
      <c r="AH8">
        <v>274.39999999999998</v>
      </c>
      <c r="AI8">
        <v>15.4</v>
      </c>
      <c r="AJ8">
        <v>14</v>
      </c>
      <c r="AK8">
        <v>175</v>
      </c>
      <c r="AL8">
        <v>2569</v>
      </c>
      <c r="AM8">
        <v>947</v>
      </c>
      <c r="AN8">
        <v>3516</v>
      </c>
      <c r="AO8">
        <v>112</v>
      </c>
      <c r="AP8">
        <v>1425</v>
      </c>
    </row>
    <row r="9" spans="1:42" x14ac:dyDescent="0.3">
      <c r="A9" t="s">
        <v>1476</v>
      </c>
      <c r="B9" t="s">
        <v>24</v>
      </c>
      <c r="C9" t="s">
        <v>16</v>
      </c>
      <c r="D9" t="s">
        <v>27</v>
      </c>
      <c r="E9" t="s">
        <v>987</v>
      </c>
      <c r="F9">
        <v>2025</v>
      </c>
      <c r="G9">
        <v>175</v>
      </c>
      <c r="H9">
        <v>3</v>
      </c>
      <c r="I9">
        <v>0</v>
      </c>
      <c r="J9">
        <v>8</v>
      </c>
      <c r="K9">
        <v>14</v>
      </c>
      <c r="L9" t="s">
        <v>1327</v>
      </c>
      <c r="M9">
        <v>35.958721704394137</v>
      </c>
      <c r="N9">
        <v>303</v>
      </c>
      <c r="O9">
        <v>0</v>
      </c>
      <c r="P9">
        <v>32.5</v>
      </c>
      <c r="Q9">
        <v>138.5</v>
      </c>
      <c r="R9">
        <v>-3.4587217043941441</v>
      </c>
      <c r="S9">
        <v>51</v>
      </c>
      <c r="T9">
        <v>14</v>
      </c>
      <c r="U9">
        <v>37.163636363636357</v>
      </c>
      <c r="V9">
        <v>303</v>
      </c>
      <c r="W9">
        <v>0</v>
      </c>
      <c r="X9">
        <v>42.251824817518248</v>
      </c>
      <c r="Y9">
        <v>264</v>
      </c>
      <c r="Z9">
        <v>0</v>
      </c>
      <c r="AA9">
        <v>77.646715328467153</v>
      </c>
      <c r="AB9">
        <v>200</v>
      </c>
      <c r="AC9">
        <v>0</v>
      </c>
      <c r="AD9">
        <v>40.825000000000003</v>
      </c>
      <c r="AE9">
        <v>208</v>
      </c>
      <c r="AF9">
        <v>1</v>
      </c>
      <c r="AG9">
        <v>90.646250000000009</v>
      </c>
      <c r="AH9">
        <v>274.39999999999998</v>
      </c>
      <c r="AI9">
        <v>15.4</v>
      </c>
      <c r="AJ9">
        <v>57</v>
      </c>
      <c r="AK9">
        <v>111.8</v>
      </c>
      <c r="AL9">
        <v>2566</v>
      </c>
      <c r="AM9">
        <v>947</v>
      </c>
      <c r="AN9">
        <v>3513</v>
      </c>
      <c r="AO9">
        <v>9</v>
      </c>
      <c r="AP9">
        <v>1422</v>
      </c>
    </row>
    <row r="10" spans="1:42" x14ac:dyDescent="0.3">
      <c r="A10" t="s">
        <v>1174</v>
      </c>
      <c r="B10" t="s">
        <v>24</v>
      </c>
      <c r="C10" t="s">
        <v>16</v>
      </c>
      <c r="D10" t="s">
        <v>29</v>
      </c>
      <c r="E10" t="s">
        <v>981</v>
      </c>
      <c r="F10">
        <v>2025</v>
      </c>
      <c r="G10">
        <v>111.8</v>
      </c>
      <c r="H10">
        <v>5</v>
      </c>
      <c r="I10">
        <v>3</v>
      </c>
      <c r="J10">
        <v>51</v>
      </c>
      <c r="K10">
        <v>57</v>
      </c>
      <c r="L10" t="s">
        <v>979</v>
      </c>
      <c r="M10">
        <v>35.930666666666667</v>
      </c>
      <c r="N10">
        <v>303</v>
      </c>
      <c r="O10">
        <v>0</v>
      </c>
      <c r="P10">
        <v>47.8</v>
      </c>
      <c r="Q10">
        <v>97.134999999999991</v>
      </c>
      <c r="R10">
        <v>11.86933333333333</v>
      </c>
      <c r="S10">
        <v>212</v>
      </c>
      <c r="T10">
        <v>9</v>
      </c>
      <c r="U10">
        <v>37.163636363636357</v>
      </c>
      <c r="V10">
        <v>303</v>
      </c>
      <c r="W10">
        <v>0</v>
      </c>
      <c r="X10">
        <v>42.251824817518248</v>
      </c>
      <c r="Y10">
        <v>264</v>
      </c>
      <c r="Z10">
        <v>0</v>
      </c>
      <c r="AA10">
        <v>77.646715328467153</v>
      </c>
      <c r="AB10">
        <v>200</v>
      </c>
      <c r="AC10">
        <v>0</v>
      </c>
      <c r="AD10">
        <v>47.122448979591837</v>
      </c>
      <c r="AE10">
        <v>264</v>
      </c>
      <c r="AF10">
        <v>0</v>
      </c>
      <c r="AG10">
        <v>105.5040816326531</v>
      </c>
      <c r="AH10">
        <v>200</v>
      </c>
      <c r="AI10">
        <v>0</v>
      </c>
      <c r="AL10">
        <v>2561</v>
      </c>
      <c r="AM10">
        <v>944</v>
      </c>
      <c r="AN10">
        <v>3505</v>
      </c>
      <c r="AO10">
        <v>59</v>
      </c>
      <c r="AP10">
        <v>1414</v>
      </c>
    </row>
    <row r="11" spans="1:42" x14ac:dyDescent="0.3">
      <c r="A11" t="s">
        <v>1025</v>
      </c>
      <c r="B11" t="s">
        <v>32</v>
      </c>
      <c r="C11" t="s">
        <v>16</v>
      </c>
      <c r="D11" t="s">
        <v>33</v>
      </c>
      <c r="E11" t="s">
        <v>977</v>
      </c>
      <c r="F11">
        <v>2025</v>
      </c>
      <c r="G11">
        <v>96.8</v>
      </c>
      <c r="H11">
        <v>13</v>
      </c>
      <c r="I11">
        <v>3</v>
      </c>
      <c r="J11">
        <v>125</v>
      </c>
      <c r="K11">
        <v>121</v>
      </c>
      <c r="L11" t="s">
        <v>979</v>
      </c>
      <c r="M11">
        <v>35.817089452603469</v>
      </c>
      <c r="N11">
        <v>303</v>
      </c>
      <c r="O11">
        <v>0</v>
      </c>
      <c r="P11">
        <v>68.36363636363636</v>
      </c>
      <c r="Q11">
        <v>88.454545454545453</v>
      </c>
      <c r="R11">
        <v>32.546546911032891</v>
      </c>
      <c r="S11">
        <v>133</v>
      </c>
      <c r="T11">
        <v>1</v>
      </c>
      <c r="U11">
        <v>44.710843373493979</v>
      </c>
      <c r="V11">
        <v>209</v>
      </c>
      <c r="W11">
        <v>0</v>
      </c>
      <c r="X11">
        <v>42.251824817518248</v>
      </c>
      <c r="Y11">
        <v>264</v>
      </c>
      <c r="Z11">
        <v>0</v>
      </c>
      <c r="AA11">
        <v>77.646715328467153</v>
      </c>
      <c r="AB11">
        <v>200</v>
      </c>
      <c r="AC11">
        <v>0</v>
      </c>
      <c r="AD11">
        <v>49.901639344262293</v>
      </c>
      <c r="AE11">
        <v>303</v>
      </c>
      <c r="AF11">
        <v>0</v>
      </c>
      <c r="AG11">
        <v>90.971311475409848</v>
      </c>
      <c r="AH11">
        <v>200</v>
      </c>
      <c r="AI11">
        <v>0</v>
      </c>
      <c r="AJ11">
        <v>73</v>
      </c>
      <c r="AK11">
        <v>75.3</v>
      </c>
      <c r="AL11">
        <v>2548</v>
      </c>
      <c r="AM11">
        <v>941</v>
      </c>
      <c r="AN11">
        <v>3489</v>
      </c>
      <c r="AO11">
        <v>72</v>
      </c>
      <c r="AP11">
        <v>1398</v>
      </c>
    </row>
    <row r="12" spans="1:42" x14ac:dyDescent="0.3">
      <c r="A12" t="s">
        <v>1111</v>
      </c>
      <c r="B12" t="s">
        <v>32</v>
      </c>
      <c r="C12" t="s">
        <v>16</v>
      </c>
      <c r="D12" t="s">
        <v>35</v>
      </c>
      <c r="E12" t="s">
        <v>977</v>
      </c>
      <c r="F12">
        <v>2025</v>
      </c>
      <c r="G12">
        <v>75.3</v>
      </c>
      <c r="H12">
        <v>7</v>
      </c>
      <c r="I12">
        <v>2</v>
      </c>
      <c r="J12">
        <v>97</v>
      </c>
      <c r="K12">
        <v>73</v>
      </c>
      <c r="L12" t="s">
        <v>979</v>
      </c>
      <c r="M12">
        <v>35.767379679144383</v>
      </c>
      <c r="N12">
        <v>303</v>
      </c>
      <c r="O12">
        <v>0</v>
      </c>
      <c r="P12">
        <v>27.69230769230769</v>
      </c>
      <c r="Q12">
        <v>65.492307692307691</v>
      </c>
      <c r="R12">
        <v>-8.07507198683669</v>
      </c>
      <c r="S12">
        <v>73</v>
      </c>
      <c r="T12">
        <v>1</v>
      </c>
      <c r="U12">
        <v>44.710843373493979</v>
      </c>
      <c r="V12">
        <v>209</v>
      </c>
      <c r="W12">
        <v>0</v>
      </c>
      <c r="X12">
        <v>42.251824817518248</v>
      </c>
      <c r="Y12">
        <v>264</v>
      </c>
      <c r="Z12">
        <v>0</v>
      </c>
      <c r="AA12">
        <v>77.646715328467153</v>
      </c>
      <c r="AB12">
        <v>200</v>
      </c>
      <c r="AC12">
        <v>0</v>
      </c>
      <c r="AD12">
        <v>49.901639344262293</v>
      </c>
      <c r="AE12">
        <v>303</v>
      </c>
      <c r="AF12">
        <v>0</v>
      </c>
      <c r="AG12">
        <v>90.971311475409848</v>
      </c>
      <c r="AH12">
        <v>200</v>
      </c>
      <c r="AI12">
        <v>0</v>
      </c>
      <c r="AJ12">
        <v>8</v>
      </c>
      <c r="AK12">
        <v>57.1</v>
      </c>
      <c r="AL12">
        <v>2541</v>
      </c>
      <c r="AM12">
        <v>939</v>
      </c>
      <c r="AN12">
        <v>3480</v>
      </c>
      <c r="AO12">
        <v>32</v>
      </c>
      <c r="AP12">
        <v>1389</v>
      </c>
    </row>
    <row r="13" spans="1:42" x14ac:dyDescent="0.3">
      <c r="A13" t="s">
        <v>1567</v>
      </c>
      <c r="B13" t="s">
        <v>32</v>
      </c>
      <c r="C13" t="s">
        <v>16</v>
      </c>
      <c r="D13" t="s">
        <v>37</v>
      </c>
      <c r="E13" t="s">
        <v>977</v>
      </c>
      <c r="F13">
        <v>2025</v>
      </c>
      <c r="G13">
        <v>57.1</v>
      </c>
      <c r="H13">
        <v>1</v>
      </c>
      <c r="I13">
        <v>0</v>
      </c>
      <c r="J13">
        <v>14</v>
      </c>
      <c r="K13">
        <v>8</v>
      </c>
      <c r="L13" t="s">
        <v>1327</v>
      </c>
      <c r="M13">
        <v>35.8045515394913</v>
      </c>
      <c r="N13">
        <v>303</v>
      </c>
      <c r="O13">
        <v>0</v>
      </c>
      <c r="P13">
        <v>44.666666666666657</v>
      </c>
      <c r="Q13">
        <v>78.399999999999991</v>
      </c>
      <c r="R13">
        <v>8.8621151271753646</v>
      </c>
      <c r="S13">
        <v>171</v>
      </c>
      <c r="T13">
        <v>7</v>
      </c>
      <c r="U13">
        <v>44.710843373493979</v>
      </c>
      <c r="V13">
        <v>209</v>
      </c>
      <c r="W13">
        <v>0</v>
      </c>
      <c r="X13">
        <v>42.251824817518248</v>
      </c>
      <c r="Y13">
        <v>264</v>
      </c>
      <c r="Z13">
        <v>0</v>
      </c>
      <c r="AA13">
        <v>77.646715328467153</v>
      </c>
      <c r="AB13">
        <v>200</v>
      </c>
      <c r="AC13">
        <v>0</v>
      </c>
      <c r="AD13">
        <v>49.901639344262293</v>
      </c>
      <c r="AE13">
        <v>303</v>
      </c>
      <c r="AF13">
        <v>0</v>
      </c>
      <c r="AG13">
        <v>90.971311475409848</v>
      </c>
      <c r="AH13">
        <v>200</v>
      </c>
      <c r="AI13">
        <v>0</v>
      </c>
      <c r="AL13">
        <v>2540</v>
      </c>
      <c r="AM13">
        <v>939</v>
      </c>
      <c r="AN13">
        <v>3479</v>
      </c>
      <c r="AO13">
        <v>35</v>
      </c>
      <c r="AP13">
        <v>1388</v>
      </c>
    </row>
    <row r="14" spans="1:42" x14ac:dyDescent="0.3">
      <c r="A14" t="s">
        <v>1568</v>
      </c>
      <c r="B14" t="s">
        <v>40</v>
      </c>
      <c r="C14" t="s">
        <v>1043</v>
      </c>
      <c r="D14" t="s">
        <v>41</v>
      </c>
      <c r="E14" t="s">
        <v>1007</v>
      </c>
      <c r="F14">
        <v>2025</v>
      </c>
      <c r="G14">
        <v>114.3</v>
      </c>
      <c r="H14">
        <v>1</v>
      </c>
      <c r="I14">
        <v>0</v>
      </c>
      <c r="J14">
        <v>7</v>
      </c>
      <c r="K14">
        <v>8</v>
      </c>
      <c r="L14" t="s">
        <v>1327</v>
      </c>
      <c r="M14">
        <v>35.841823056300271</v>
      </c>
      <c r="N14">
        <v>303</v>
      </c>
      <c r="O14">
        <v>0</v>
      </c>
      <c r="P14">
        <v>34.043478260869563</v>
      </c>
      <c r="Q14">
        <v>108.0891304347826</v>
      </c>
      <c r="R14">
        <v>-1.7983447954307079</v>
      </c>
      <c r="S14">
        <v>95</v>
      </c>
      <c r="T14">
        <v>0</v>
      </c>
      <c r="U14">
        <v>28.12903225806452</v>
      </c>
      <c r="V14">
        <v>79</v>
      </c>
      <c r="W14">
        <v>0</v>
      </c>
      <c r="X14">
        <v>26.556862745098041</v>
      </c>
      <c r="Y14">
        <v>109</v>
      </c>
      <c r="Z14">
        <v>0</v>
      </c>
      <c r="AA14">
        <v>114.6301960784314</v>
      </c>
      <c r="AB14">
        <v>350</v>
      </c>
      <c r="AC14">
        <v>0</v>
      </c>
      <c r="AD14">
        <v>37.180327868852459</v>
      </c>
      <c r="AE14">
        <v>140</v>
      </c>
      <c r="AF14">
        <v>0</v>
      </c>
      <c r="AG14">
        <v>82.911475409836058</v>
      </c>
      <c r="AH14">
        <v>224.4</v>
      </c>
      <c r="AI14">
        <v>0</v>
      </c>
      <c r="AJ14">
        <v>81</v>
      </c>
      <c r="AK14">
        <v>162</v>
      </c>
      <c r="AL14">
        <v>2539</v>
      </c>
      <c r="AM14">
        <v>939</v>
      </c>
      <c r="AN14">
        <v>3478</v>
      </c>
      <c r="AO14">
        <v>110</v>
      </c>
      <c r="AP14">
        <v>894</v>
      </c>
    </row>
    <row r="15" spans="1:42" x14ac:dyDescent="0.3">
      <c r="A15" t="s">
        <v>1087</v>
      </c>
      <c r="B15" t="s">
        <v>43</v>
      </c>
      <c r="C15" t="s">
        <v>1043</v>
      </c>
      <c r="D15" t="s">
        <v>44</v>
      </c>
      <c r="E15" t="s">
        <v>1036</v>
      </c>
      <c r="F15">
        <v>2025</v>
      </c>
      <c r="G15">
        <v>162</v>
      </c>
      <c r="H15">
        <v>9</v>
      </c>
      <c r="I15">
        <v>4</v>
      </c>
      <c r="J15">
        <v>50</v>
      </c>
      <c r="K15">
        <v>81</v>
      </c>
      <c r="L15" t="s">
        <v>979</v>
      </c>
      <c r="M15">
        <v>35.781208053691273</v>
      </c>
      <c r="N15">
        <v>303</v>
      </c>
      <c r="O15">
        <v>0</v>
      </c>
      <c r="P15">
        <v>58.5</v>
      </c>
      <c r="Q15">
        <v>153</v>
      </c>
      <c r="R15">
        <v>22.71879194630873</v>
      </c>
      <c r="S15">
        <v>81</v>
      </c>
      <c r="T15">
        <v>36</v>
      </c>
      <c r="U15">
        <v>20</v>
      </c>
      <c r="V15">
        <v>81</v>
      </c>
      <c r="W15">
        <v>2</v>
      </c>
      <c r="X15">
        <v>26.556862745098041</v>
      </c>
      <c r="Y15">
        <v>109</v>
      </c>
      <c r="Z15">
        <v>0</v>
      </c>
      <c r="AA15">
        <v>114.6301960784314</v>
      </c>
      <c r="AB15">
        <v>350</v>
      </c>
      <c r="AC15">
        <v>0</v>
      </c>
      <c r="AD15">
        <v>26.732758620689651</v>
      </c>
      <c r="AE15">
        <v>114</v>
      </c>
      <c r="AF15">
        <v>0</v>
      </c>
      <c r="AG15">
        <v>115.31896551724139</v>
      </c>
      <c r="AH15">
        <v>350</v>
      </c>
      <c r="AI15">
        <v>0</v>
      </c>
      <c r="AJ15">
        <v>24</v>
      </c>
      <c r="AK15">
        <v>114.3</v>
      </c>
      <c r="AL15">
        <v>2530</v>
      </c>
      <c r="AM15">
        <v>935</v>
      </c>
      <c r="AN15">
        <v>3465</v>
      </c>
      <c r="AO15">
        <v>5</v>
      </c>
      <c r="AP15">
        <v>881</v>
      </c>
    </row>
    <row r="16" spans="1:42" x14ac:dyDescent="0.3">
      <c r="A16" t="s">
        <v>1376</v>
      </c>
      <c r="B16" t="s">
        <v>40</v>
      </c>
      <c r="C16" t="s">
        <v>1043</v>
      </c>
      <c r="D16" t="s">
        <v>46</v>
      </c>
      <c r="E16" t="s">
        <v>1036</v>
      </c>
      <c r="F16">
        <v>2025</v>
      </c>
      <c r="G16">
        <v>114.3</v>
      </c>
      <c r="H16">
        <v>2</v>
      </c>
      <c r="I16">
        <v>1</v>
      </c>
      <c r="J16">
        <v>21</v>
      </c>
      <c r="K16">
        <v>24</v>
      </c>
      <c r="L16" t="s">
        <v>1327</v>
      </c>
      <c r="M16">
        <v>35.797043010752688</v>
      </c>
      <c r="N16">
        <v>303</v>
      </c>
      <c r="O16">
        <v>0</v>
      </c>
      <c r="P16">
        <v>31.72727272727273</v>
      </c>
      <c r="Q16">
        <v>85.109090909090909</v>
      </c>
      <c r="R16">
        <v>-4.0697702834799614</v>
      </c>
      <c r="S16">
        <v>141</v>
      </c>
      <c r="T16">
        <v>0</v>
      </c>
      <c r="U16">
        <v>28.12903225806452</v>
      </c>
      <c r="V16">
        <v>79</v>
      </c>
      <c r="W16">
        <v>0</v>
      </c>
      <c r="X16">
        <v>26.556862745098041</v>
      </c>
      <c r="Y16">
        <v>109</v>
      </c>
      <c r="Z16">
        <v>0</v>
      </c>
      <c r="AA16">
        <v>114.6301960784314</v>
      </c>
      <c r="AB16">
        <v>350</v>
      </c>
      <c r="AC16">
        <v>0</v>
      </c>
      <c r="AD16">
        <v>26.732758620689651</v>
      </c>
      <c r="AE16">
        <v>114</v>
      </c>
      <c r="AF16">
        <v>0</v>
      </c>
      <c r="AG16">
        <v>115.31896551724139</v>
      </c>
      <c r="AH16">
        <v>350</v>
      </c>
      <c r="AI16">
        <v>0</v>
      </c>
      <c r="AJ16">
        <v>5</v>
      </c>
      <c r="AK16">
        <v>100</v>
      </c>
      <c r="AL16">
        <v>2528</v>
      </c>
      <c r="AM16">
        <v>934</v>
      </c>
      <c r="AN16">
        <v>3462</v>
      </c>
      <c r="AO16">
        <v>44</v>
      </c>
      <c r="AP16">
        <v>878</v>
      </c>
    </row>
    <row r="17" spans="1:42" x14ac:dyDescent="0.3">
      <c r="A17" t="s">
        <v>1617</v>
      </c>
      <c r="B17" t="s">
        <v>8</v>
      </c>
      <c r="C17" t="s">
        <v>1043</v>
      </c>
      <c r="D17" t="s">
        <v>12</v>
      </c>
      <c r="E17" t="s">
        <v>1036</v>
      </c>
      <c r="F17">
        <v>2025</v>
      </c>
      <c r="G17">
        <v>100</v>
      </c>
      <c r="H17">
        <v>1</v>
      </c>
      <c r="I17">
        <v>0</v>
      </c>
      <c r="J17">
        <v>5</v>
      </c>
      <c r="K17">
        <v>5</v>
      </c>
      <c r="L17" t="s">
        <v>1327</v>
      </c>
      <c r="M17">
        <v>35.838492597577392</v>
      </c>
      <c r="N17">
        <v>303</v>
      </c>
      <c r="O17">
        <v>0</v>
      </c>
      <c r="P17">
        <v>31.203883495145629</v>
      </c>
      <c r="Q17">
        <v>120.5689320388349</v>
      </c>
      <c r="R17">
        <v>-4.6346091024317602</v>
      </c>
      <c r="S17">
        <v>162</v>
      </c>
      <c r="T17">
        <v>0</v>
      </c>
      <c r="U17">
        <v>28.567567567567568</v>
      </c>
      <c r="V17">
        <v>74</v>
      </c>
      <c r="W17">
        <v>0</v>
      </c>
      <c r="X17">
        <v>26.556862745098041</v>
      </c>
      <c r="Y17">
        <v>109</v>
      </c>
      <c r="Z17">
        <v>0</v>
      </c>
      <c r="AA17">
        <v>114.6301960784314</v>
      </c>
      <c r="AB17">
        <v>350</v>
      </c>
      <c r="AC17">
        <v>0</v>
      </c>
      <c r="AD17">
        <v>26.732758620689651</v>
      </c>
      <c r="AE17">
        <v>114</v>
      </c>
      <c r="AF17">
        <v>0</v>
      </c>
      <c r="AG17">
        <v>115.31896551724139</v>
      </c>
      <c r="AH17">
        <v>350</v>
      </c>
      <c r="AI17">
        <v>0</v>
      </c>
      <c r="AL17">
        <v>2527</v>
      </c>
      <c r="AM17">
        <v>934</v>
      </c>
      <c r="AN17">
        <v>3461</v>
      </c>
      <c r="AO17">
        <v>435</v>
      </c>
      <c r="AP17">
        <v>877</v>
      </c>
    </row>
    <row r="18" spans="1:42" x14ac:dyDescent="0.3">
      <c r="A18" t="s">
        <v>1589</v>
      </c>
      <c r="B18" t="s">
        <v>43</v>
      </c>
      <c r="C18" t="s">
        <v>1043</v>
      </c>
      <c r="D18" t="s">
        <v>12</v>
      </c>
      <c r="E18" t="s">
        <v>1036</v>
      </c>
      <c r="F18">
        <v>2025</v>
      </c>
      <c r="G18">
        <v>87.5</v>
      </c>
      <c r="H18">
        <v>1</v>
      </c>
      <c r="I18">
        <v>0</v>
      </c>
      <c r="J18">
        <v>8</v>
      </c>
      <c r="K18">
        <v>7</v>
      </c>
      <c r="L18" t="s">
        <v>1327</v>
      </c>
      <c r="M18">
        <v>35.877358490566039</v>
      </c>
      <c r="N18">
        <v>303</v>
      </c>
      <c r="O18">
        <v>0</v>
      </c>
      <c r="P18">
        <v>31.203883495145629</v>
      </c>
      <c r="Q18">
        <v>120.5689320388349</v>
      </c>
      <c r="R18">
        <v>-4.6734749954204062</v>
      </c>
      <c r="S18">
        <v>162</v>
      </c>
      <c r="T18">
        <v>0</v>
      </c>
      <c r="U18">
        <v>20</v>
      </c>
      <c r="V18">
        <v>81</v>
      </c>
      <c r="W18">
        <v>2</v>
      </c>
      <c r="X18">
        <v>26.556862745098041</v>
      </c>
      <c r="Y18">
        <v>109</v>
      </c>
      <c r="Z18">
        <v>0</v>
      </c>
      <c r="AA18">
        <v>114.6301960784314</v>
      </c>
      <c r="AB18">
        <v>350</v>
      </c>
      <c r="AC18">
        <v>0</v>
      </c>
      <c r="AD18">
        <v>26.732758620689651</v>
      </c>
      <c r="AE18">
        <v>114</v>
      </c>
      <c r="AF18">
        <v>0</v>
      </c>
      <c r="AG18">
        <v>115.31896551724139</v>
      </c>
      <c r="AH18">
        <v>350</v>
      </c>
      <c r="AI18">
        <v>0</v>
      </c>
      <c r="AJ18">
        <v>53</v>
      </c>
      <c r="AK18">
        <v>147.19999999999999</v>
      </c>
      <c r="AL18">
        <v>2526</v>
      </c>
      <c r="AM18">
        <v>934</v>
      </c>
      <c r="AN18">
        <v>3460</v>
      </c>
      <c r="AO18">
        <v>434</v>
      </c>
      <c r="AP18">
        <v>876</v>
      </c>
    </row>
    <row r="19" spans="1:42" x14ac:dyDescent="0.3">
      <c r="A19" t="s">
        <v>1199</v>
      </c>
      <c r="B19" t="s">
        <v>4</v>
      </c>
      <c r="C19" t="s">
        <v>1043</v>
      </c>
      <c r="D19" t="s">
        <v>46</v>
      </c>
      <c r="E19" t="s">
        <v>1036</v>
      </c>
      <c r="F19">
        <v>2025</v>
      </c>
      <c r="G19">
        <v>147.19999999999999</v>
      </c>
      <c r="H19">
        <v>9</v>
      </c>
      <c r="I19">
        <v>0</v>
      </c>
      <c r="J19">
        <v>36</v>
      </c>
      <c r="K19">
        <v>53</v>
      </c>
      <c r="L19" t="s">
        <v>979</v>
      </c>
      <c r="M19">
        <v>35.854251012145752</v>
      </c>
      <c r="N19">
        <v>303</v>
      </c>
      <c r="O19">
        <v>0</v>
      </c>
      <c r="P19">
        <v>31.72727272727273</v>
      </c>
      <c r="Q19">
        <v>85.109090909090909</v>
      </c>
      <c r="R19">
        <v>-4.1269782848730259</v>
      </c>
      <c r="S19">
        <v>141</v>
      </c>
      <c r="T19">
        <v>0</v>
      </c>
      <c r="U19">
        <v>20.68965517241379</v>
      </c>
      <c r="V19">
        <v>73</v>
      </c>
      <c r="W19">
        <v>0</v>
      </c>
      <c r="X19">
        <v>26.556862745098041</v>
      </c>
      <c r="Y19">
        <v>109</v>
      </c>
      <c r="Z19">
        <v>0</v>
      </c>
      <c r="AA19">
        <v>114.6301960784314</v>
      </c>
      <c r="AB19">
        <v>350</v>
      </c>
      <c r="AC19">
        <v>0</v>
      </c>
      <c r="AD19">
        <v>26.732758620689651</v>
      </c>
      <c r="AE19">
        <v>114</v>
      </c>
      <c r="AF19">
        <v>0</v>
      </c>
      <c r="AG19">
        <v>115.31896551724139</v>
      </c>
      <c r="AH19">
        <v>350</v>
      </c>
      <c r="AI19">
        <v>0</v>
      </c>
      <c r="AJ19">
        <v>12</v>
      </c>
      <c r="AK19">
        <v>240</v>
      </c>
      <c r="AL19">
        <v>2517</v>
      </c>
      <c r="AM19">
        <v>934</v>
      </c>
      <c r="AN19">
        <v>3451</v>
      </c>
      <c r="AO19">
        <v>35</v>
      </c>
      <c r="AP19">
        <v>867</v>
      </c>
    </row>
    <row r="20" spans="1:42" x14ac:dyDescent="0.3">
      <c r="A20" t="s">
        <v>1501</v>
      </c>
      <c r="B20" t="s">
        <v>51</v>
      </c>
      <c r="C20" t="s">
        <v>1043</v>
      </c>
      <c r="D20" t="s">
        <v>12</v>
      </c>
      <c r="E20" t="s">
        <v>1047</v>
      </c>
      <c r="F20">
        <v>2025</v>
      </c>
      <c r="G20">
        <v>240</v>
      </c>
      <c r="H20">
        <v>0</v>
      </c>
      <c r="I20">
        <v>2</v>
      </c>
      <c r="J20">
        <v>5</v>
      </c>
      <c r="K20">
        <v>12</v>
      </c>
      <c r="L20" t="s">
        <v>1327</v>
      </c>
      <c r="M20">
        <v>35.88648648648649</v>
      </c>
      <c r="N20">
        <v>303</v>
      </c>
      <c r="O20">
        <v>0</v>
      </c>
      <c r="P20">
        <v>31.203883495145629</v>
      </c>
      <c r="Q20">
        <v>120.5689320388349</v>
      </c>
      <c r="R20">
        <v>-4.6826029913408576</v>
      </c>
      <c r="S20">
        <v>162</v>
      </c>
      <c r="T20">
        <v>0</v>
      </c>
      <c r="U20">
        <v>27.5</v>
      </c>
      <c r="V20">
        <v>68</v>
      </c>
      <c r="W20">
        <v>4</v>
      </c>
      <c r="X20">
        <v>26.556862745098041</v>
      </c>
      <c r="Y20">
        <v>109</v>
      </c>
      <c r="Z20">
        <v>0</v>
      </c>
      <c r="AA20">
        <v>114.6301960784314</v>
      </c>
      <c r="AB20">
        <v>350</v>
      </c>
      <c r="AC20">
        <v>0</v>
      </c>
      <c r="AD20">
        <v>27.9758064516129</v>
      </c>
      <c r="AE20">
        <v>105</v>
      </c>
      <c r="AF20">
        <v>0</v>
      </c>
      <c r="AG20">
        <v>110.46935483870971</v>
      </c>
      <c r="AH20">
        <v>280</v>
      </c>
      <c r="AI20">
        <v>0</v>
      </c>
      <c r="AJ20">
        <v>70</v>
      </c>
      <c r="AK20">
        <v>152.19999999999999</v>
      </c>
      <c r="AL20">
        <v>2517</v>
      </c>
      <c r="AM20">
        <v>932</v>
      </c>
      <c r="AN20">
        <v>3449</v>
      </c>
      <c r="AO20">
        <v>432</v>
      </c>
      <c r="AP20">
        <v>865</v>
      </c>
    </row>
    <row r="21" spans="1:42" x14ac:dyDescent="0.3">
      <c r="A21" t="s">
        <v>1120</v>
      </c>
      <c r="B21" t="s">
        <v>53</v>
      </c>
      <c r="C21" t="s">
        <v>1043</v>
      </c>
      <c r="D21" t="s">
        <v>54</v>
      </c>
      <c r="E21" t="s">
        <v>1047</v>
      </c>
      <c r="F21">
        <v>2025</v>
      </c>
      <c r="G21">
        <v>152.19999999999999</v>
      </c>
      <c r="H21">
        <v>8</v>
      </c>
      <c r="I21">
        <v>3</v>
      </c>
      <c r="J21">
        <v>46</v>
      </c>
      <c r="K21">
        <v>70</v>
      </c>
      <c r="L21" t="s">
        <v>979</v>
      </c>
      <c r="M21">
        <v>35.840324763193507</v>
      </c>
      <c r="N21">
        <v>303</v>
      </c>
      <c r="O21">
        <v>0</v>
      </c>
      <c r="P21">
        <v>30</v>
      </c>
      <c r="Q21">
        <v>129.072</v>
      </c>
      <c r="R21">
        <v>-5.8403247631935074</v>
      </c>
      <c r="S21">
        <v>76</v>
      </c>
      <c r="T21">
        <v>1</v>
      </c>
      <c r="U21">
        <v>19.375</v>
      </c>
      <c r="V21">
        <v>70</v>
      </c>
      <c r="W21">
        <v>1</v>
      </c>
      <c r="X21">
        <v>26.556862745098041</v>
      </c>
      <c r="Y21">
        <v>109</v>
      </c>
      <c r="Z21">
        <v>0</v>
      </c>
      <c r="AA21">
        <v>114.6301960784314</v>
      </c>
      <c r="AB21">
        <v>350</v>
      </c>
      <c r="AC21">
        <v>0</v>
      </c>
      <c r="AD21">
        <v>27.9758064516129</v>
      </c>
      <c r="AE21">
        <v>105</v>
      </c>
      <c r="AF21">
        <v>0</v>
      </c>
      <c r="AG21">
        <v>110.46935483870971</v>
      </c>
      <c r="AH21">
        <v>280</v>
      </c>
      <c r="AI21">
        <v>0</v>
      </c>
      <c r="AJ21">
        <v>76</v>
      </c>
      <c r="AK21">
        <v>168.9</v>
      </c>
      <c r="AL21">
        <v>2509</v>
      </c>
      <c r="AM21">
        <v>929</v>
      </c>
      <c r="AN21">
        <v>3438</v>
      </c>
      <c r="AO21">
        <v>100</v>
      </c>
      <c r="AP21">
        <v>854</v>
      </c>
    </row>
    <row r="22" spans="1:42" x14ac:dyDescent="0.3">
      <c r="A22" t="s">
        <v>1100</v>
      </c>
      <c r="B22" t="s">
        <v>56</v>
      </c>
      <c r="C22" t="s">
        <v>1043</v>
      </c>
      <c r="D22" t="s">
        <v>12</v>
      </c>
      <c r="E22" t="s">
        <v>1047</v>
      </c>
      <c r="F22">
        <v>2025</v>
      </c>
      <c r="G22">
        <v>168.9</v>
      </c>
      <c r="H22">
        <v>4</v>
      </c>
      <c r="I22">
        <v>6</v>
      </c>
      <c r="J22">
        <v>45</v>
      </c>
      <c r="K22">
        <v>76</v>
      </c>
      <c r="L22" t="s">
        <v>979</v>
      </c>
      <c r="M22">
        <v>35.785907859078591</v>
      </c>
      <c r="N22">
        <v>303</v>
      </c>
      <c r="O22">
        <v>0</v>
      </c>
      <c r="P22">
        <v>31.203883495145629</v>
      </c>
      <c r="Q22">
        <v>120.5689320388349</v>
      </c>
      <c r="R22">
        <v>-4.582024363932959</v>
      </c>
      <c r="S22">
        <v>162</v>
      </c>
      <c r="T22">
        <v>0</v>
      </c>
      <c r="U22">
        <v>25.6</v>
      </c>
      <c r="V22">
        <v>105</v>
      </c>
      <c r="W22">
        <v>0</v>
      </c>
      <c r="X22">
        <v>26.556862745098041</v>
      </c>
      <c r="Y22">
        <v>109</v>
      </c>
      <c r="Z22">
        <v>0</v>
      </c>
      <c r="AA22">
        <v>114.6301960784314</v>
      </c>
      <c r="AB22">
        <v>350</v>
      </c>
      <c r="AC22">
        <v>0</v>
      </c>
      <c r="AD22">
        <v>27.9758064516129</v>
      </c>
      <c r="AE22">
        <v>105</v>
      </c>
      <c r="AF22">
        <v>0</v>
      </c>
      <c r="AG22">
        <v>110.46935483870971</v>
      </c>
      <c r="AH22">
        <v>280</v>
      </c>
      <c r="AI22">
        <v>0</v>
      </c>
      <c r="AJ22">
        <v>26</v>
      </c>
      <c r="AK22">
        <v>162.5</v>
      </c>
      <c r="AL22">
        <v>2505</v>
      </c>
      <c r="AM22">
        <v>923</v>
      </c>
      <c r="AN22">
        <v>3428</v>
      </c>
      <c r="AO22">
        <v>422</v>
      </c>
      <c r="AP22">
        <v>844</v>
      </c>
    </row>
    <row r="23" spans="1:42" x14ac:dyDescent="0.3">
      <c r="A23" t="s">
        <v>1361</v>
      </c>
      <c r="B23" t="s">
        <v>53</v>
      </c>
      <c r="C23" t="s">
        <v>1043</v>
      </c>
      <c r="D23" t="s">
        <v>12</v>
      </c>
      <c r="E23" t="s">
        <v>1047</v>
      </c>
      <c r="F23">
        <v>2025</v>
      </c>
      <c r="G23">
        <v>162.5</v>
      </c>
      <c r="H23">
        <v>0</v>
      </c>
      <c r="I23">
        <v>3</v>
      </c>
      <c r="J23">
        <v>16</v>
      </c>
      <c r="K23">
        <v>26</v>
      </c>
      <c r="L23" t="s">
        <v>1327</v>
      </c>
      <c r="M23">
        <v>35.79918588873813</v>
      </c>
      <c r="N23">
        <v>303</v>
      </c>
      <c r="O23">
        <v>0</v>
      </c>
      <c r="P23">
        <v>31.203883495145629</v>
      </c>
      <c r="Q23">
        <v>120.5689320388349</v>
      </c>
      <c r="R23">
        <v>-4.5953023935924966</v>
      </c>
      <c r="S23">
        <v>162</v>
      </c>
      <c r="T23">
        <v>0</v>
      </c>
      <c r="U23">
        <v>19.375</v>
      </c>
      <c r="V23">
        <v>70</v>
      </c>
      <c r="W23">
        <v>1</v>
      </c>
      <c r="X23">
        <v>26.556862745098041</v>
      </c>
      <c r="Y23">
        <v>109</v>
      </c>
      <c r="Z23">
        <v>0</v>
      </c>
      <c r="AA23">
        <v>114.6301960784314</v>
      </c>
      <c r="AB23">
        <v>350</v>
      </c>
      <c r="AC23">
        <v>0</v>
      </c>
      <c r="AD23">
        <v>27.9758064516129</v>
      </c>
      <c r="AE23">
        <v>105</v>
      </c>
      <c r="AF23">
        <v>0</v>
      </c>
      <c r="AG23">
        <v>110.46935483870971</v>
      </c>
      <c r="AH23">
        <v>280</v>
      </c>
      <c r="AI23">
        <v>0</v>
      </c>
      <c r="AJ23">
        <v>18</v>
      </c>
      <c r="AK23">
        <v>150</v>
      </c>
      <c r="AL23">
        <v>2505</v>
      </c>
      <c r="AM23">
        <v>920</v>
      </c>
      <c r="AN23">
        <v>3425</v>
      </c>
      <c r="AO23">
        <v>419</v>
      </c>
      <c r="AP23">
        <v>841</v>
      </c>
    </row>
    <row r="24" spans="1:42" x14ac:dyDescent="0.3">
      <c r="A24" t="s">
        <v>1430</v>
      </c>
      <c r="B24" t="s">
        <v>8</v>
      </c>
      <c r="C24" t="s">
        <v>1043</v>
      </c>
      <c r="D24" t="s">
        <v>9</v>
      </c>
      <c r="E24" t="s">
        <v>1047</v>
      </c>
      <c r="F24">
        <v>2025</v>
      </c>
      <c r="G24">
        <v>150</v>
      </c>
      <c r="H24">
        <v>2</v>
      </c>
      <c r="I24">
        <v>1</v>
      </c>
      <c r="J24">
        <v>12</v>
      </c>
      <c r="K24">
        <v>18</v>
      </c>
      <c r="L24" t="s">
        <v>1327</v>
      </c>
      <c r="M24">
        <v>35.823369565217391</v>
      </c>
      <c r="N24">
        <v>303</v>
      </c>
      <c r="O24">
        <v>0</v>
      </c>
      <c r="P24">
        <v>38.36</v>
      </c>
      <c r="Q24">
        <v>122.748</v>
      </c>
      <c r="R24">
        <v>2.5366304347826092</v>
      </c>
      <c r="S24">
        <v>131</v>
      </c>
      <c r="T24">
        <v>1</v>
      </c>
      <c r="U24">
        <v>28.567567567567568</v>
      </c>
      <c r="V24">
        <v>74</v>
      </c>
      <c r="W24">
        <v>0</v>
      </c>
      <c r="X24">
        <v>26.556862745098041</v>
      </c>
      <c r="Y24">
        <v>109</v>
      </c>
      <c r="Z24">
        <v>0</v>
      </c>
      <c r="AA24">
        <v>114.6301960784314</v>
      </c>
      <c r="AB24">
        <v>350</v>
      </c>
      <c r="AC24">
        <v>0</v>
      </c>
      <c r="AD24">
        <v>27.9758064516129</v>
      </c>
      <c r="AE24">
        <v>105</v>
      </c>
      <c r="AF24">
        <v>0</v>
      </c>
      <c r="AG24">
        <v>110.46935483870971</v>
      </c>
      <c r="AH24">
        <v>280</v>
      </c>
      <c r="AI24">
        <v>0</v>
      </c>
      <c r="AL24">
        <v>2503</v>
      </c>
      <c r="AM24">
        <v>919</v>
      </c>
      <c r="AN24">
        <v>3422</v>
      </c>
      <c r="AO24">
        <v>115</v>
      </c>
      <c r="AP24">
        <v>838</v>
      </c>
    </row>
    <row r="25" spans="1:42" x14ac:dyDescent="0.3">
      <c r="A25" t="s">
        <v>1446</v>
      </c>
      <c r="B25" t="s">
        <v>60</v>
      </c>
      <c r="C25" t="s">
        <v>1043</v>
      </c>
      <c r="D25" t="s">
        <v>12</v>
      </c>
      <c r="E25" t="s">
        <v>1047</v>
      </c>
      <c r="F25">
        <v>2025</v>
      </c>
      <c r="G25">
        <v>188.9</v>
      </c>
      <c r="H25">
        <v>2</v>
      </c>
      <c r="I25">
        <v>1</v>
      </c>
      <c r="J25">
        <v>9</v>
      </c>
      <c r="K25">
        <v>17</v>
      </c>
      <c r="L25" t="s">
        <v>1327</v>
      </c>
      <c r="M25">
        <v>35.848979591836738</v>
      </c>
      <c r="N25">
        <v>303</v>
      </c>
      <c r="O25">
        <v>0</v>
      </c>
      <c r="P25">
        <v>31.203883495145629</v>
      </c>
      <c r="Q25">
        <v>120.5689320388349</v>
      </c>
      <c r="R25">
        <v>-4.6450960966911046</v>
      </c>
      <c r="S25">
        <v>162</v>
      </c>
      <c r="T25">
        <v>0</v>
      </c>
      <c r="U25">
        <v>25.96875</v>
      </c>
      <c r="V25">
        <v>94</v>
      </c>
      <c r="W25">
        <v>0</v>
      </c>
      <c r="X25">
        <v>26.556862745098041</v>
      </c>
      <c r="Y25">
        <v>109</v>
      </c>
      <c r="Z25">
        <v>0</v>
      </c>
      <c r="AA25">
        <v>114.6301960784314</v>
      </c>
      <c r="AB25">
        <v>350</v>
      </c>
      <c r="AC25">
        <v>0</v>
      </c>
      <c r="AD25">
        <v>27.9758064516129</v>
      </c>
      <c r="AE25">
        <v>105</v>
      </c>
      <c r="AF25">
        <v>0</v>
      </c>
      <c r="AG25">
        <v>110.46935483870971</v>
      </c>
      <c r="AH25">
        <v>280</v>
      </c>
      <c r="AI25">
        <v>0</v>
      </c>
      <c r="AL25">
        <v>2501</v>
      </c>
      <c r="AM25">
        <v>918</v>
      </c>
      <c r="AN25">
        <v>3419</v>
      </c>
      <c r="AO25">
        <v>416</v>
      </c>
      <c r="AP25">
        <v>835</v>
      </c>
    </row>
    <row r="26" spans="1:42" x14ac:dyDescent="0.3">
      <c r="A26" t="s">
        <v>1487</v>
      </c>
      <c r="B26" t="s">
        <v>11</v>
      </c>
      <c r="C26" t="s">
        <v>1043</v>
      </c>
      <c r="D26" t="s">
        <v>12</v>
      </c>
      <c r="E26" t="s">
        <v>1016</v>
      </c>
      <c r="F26">
        <v>2025</v>
      </c>
      <c r="G26">
        <v>108.3</v>
      </c>
      <c r="H26">
        <v>0</v>
      </c>
      <c r="I26">
        <v>1</v>
      </c>
      <c r="J26">
        <v>12</v>
      </c>
      <c r="K26">
        <v>13</v>
      </c>
      <c r="L26" t="s">
        <v>1327</v>
      </c>
      <c r="M26">
        <v>35.880108991825622</v>
      </c>
      <c r="N26">
        <v>303</v>
      </c>
      <c r="O26">
        <v>0</v>
      </c>
      <c r="P26">
        <v>31.203883495145629</v>
      </c>
      <c r="Q26">
        <v>120.5689320388349</v>
      </c>
      <c r="R26">
        <v>-4.676225496679983</v>
      </c>
      <c r="S26">
        <v>162</v>
      </c>
      <c r="T26">
        <v>0</v>
      </c>
      <c r="U26">
        <v>31.852941176470591</v>
      </c>
      <c r="V26">
        <v>109</v>
      </c>
      <c r="W26">
        <v>0</v>
      </c>
      <c r="X26">
        <v>26.556862745098041</v>
      </c>
      <c r="Y26">
        <v>109</v>
      </c>
      <c r="Z26">
        <v>0</v>
      </c>
      <c r="AA26">
        <v>114.6301960784314</v>
      </c>
      <c r="AB26">
        <v>350</v>
      </c>
      <c r="AC26">
        <v>0</v>
      </c>
      <c r="AD26">
        <v>34.313432835820898</v>
      </c>
      <c r="AE26">
        <v>137</v>
      </c>
      <c r="AF26">
        <v>0</v>
      </c>
      <c r="AG26">
        <v>101.9507462686567</v>
      </c>
      <c r="AH26">
        <v>216.7</v>
      </c>
      <c r="AI26">
        <v>0</v>
      </c>
      <c r="AJ26">
        <v>8</v>
      </c>
      <c r="AK26">
        <v>200</v>
      </c>
      <c r="AL26">
        <v>2501</v>
      </c>
      <c r="AM26">
        <v>917</v>
      </c>
      <c r="AN26">
        <v>3418</v>
      </c>
      <c r="AO26">
        <v>415</v>
      </c>
      <c r="AP26">
        <v>834</v>
      </c>
    </row>
    <row r="27" spans="1:42" x14ac:dyDescent="0.3">
      <c r="A27" t="s">
        <v>1569</v>
      </c>
      <c r="B27" t="s">
        <v>43</v>
      </c>
      <c r="C27" t="s">
        <v>1043</v>
      </c>
      <c r="D27" t="s">
        <v>41</v>
      </c>
      <c r="E27" t="s">
        <v>1016</v>
      </c>
      <c r="F27">
        <v>2025</v>
      </c>
      <c r="G27">
        <v>200</v>
      </c>
      <c r="H27">
        <v>2</v>
      </c>
      <c r="I27">
        <v>0</v>
      </c>
      <c r="J27">
        <v>4</v>
      </c>
      <c r="K27">
        <v>8</v>
      </c>
      <c r="L27" t="s">
        <v>1327</v>
      </c>
      <c r="M27">
        <v>35.918144611186896</v>
      </c>
      <c r="N27">
        <v>303</v>
      </c>
      <c r="O27">
        <v>0</v>
      </c>
      <c r="P27">
        <v>34.043478260869563</v>
      </c>
      <c r="Q27">
        <v>108.0891304347826</v>
      </c>
      <c r="R27">
        <v>-1.8746663503173411</v>
      </c>
      <c r="S27">
        <v>95</v>
      </c>
      <c r="T27">
        <v>0</v>
      </c>
      <c r="U27">
        <v>20</v>
      </c>
      <c r="V27">
        <v>81</v>
      </c>
      <c r="W27">
        <v>2</v>
      </c>
      <c r="X27">
        <v>26.556862745098041</v>
      </c>
      <c r="Y27">
        <v>109</v>
      </c>
      <c r="Z27">
        <v>0</v>
      </c>
      <c r="AA27">
        <v>114.6301960784314</v>
      </c>
      <c r="AB27">
        <v>350</v>
      </c>
      <c r="AC27">
        <v>0</v>
      </c>
      <c r="AD27">
        <v>34.313432835820898</v>
      </c>
      <c r="AE27">
        <v>137</v>
      </c>
      <c r="AF27">
        <v>0</v>
      </c>
      <c r="AG27">
        <v>101.9507462686567</v>
      </c>
      <c r="AH27">
        <v>216.7</v>
      </c>
      <c r="AI27">
        <v>0</v>
      </c>
      <c r="AL27">
        <v>2499</v>
      </c>
      <c r="AM27">
        <v>917</v>
      </c>
      <c r="AN27">
        <v>3416</v>
      </c>
      <c r="AO27">
        <v>108</v>
      </c>
      <c r="AP27">
        <v>832</v>
      </c>
    </row>
    <row r="28" spans="1:42" x14ac:dyDescent="0.3">
      <c r="A28" t="s">
        <v>1723</v>
      </c>
      <c r="B28" t="s">
        <v>56</v>
      </c>
      <c r="C28" t="s">
        <v>1043</v>
      </c>
      <c r="D28" t="s">
        <v>64</v>
      </c>
      <c r="E28" t="s">
        <v>1016</v>
      </c>
      <c r="F28">
        <v>2025</v>
      </c>
      <c r="G28">
        <v>0</v>
      </c>
      <c r="H28">
        <v>0</v>
      </c>
      <c r="I28">
        <v>0</v>
      </c>
      <c r="J28">
        <v>4</v>
      </c>
      <c r="K28">
        <v>0</v>
      </c>
      <c r="L28" t="s">
        <v>1327</v>
      </c>
      <c r="M28">
        <v>35.967213114754102</v>
      </c>
      <c r="N28">
        <v>303</v>
      </c>
      <c r="O28">
        <v>0</v>
      </c>
      <c r="P28">
        <v>26</v>
      </c>
      <c r="Q28">
        <v>94.26964285714287</v>
      </c>
      <c r="R28">
        <v>-9.9672131147540952</v>
      </c>
      <c r="S28">
        <v>187</v>
      </c>
      <c r="T28">
        <v>0</v>
      </c>
      <c r="U28">
        <v>25.6</v>
      </c>
      <c r="V28">
        <v>105</v>
      </c>
      <c r="W28">
        <v>0</v>
      </c>
      <c r="X28">
        <v>26.556862745098041</v>
      </c>
      <c r="Y28">
        <v>109</v>
      </c>
      <c r="Z28">
        <v>0</v>
      </c>
      <c r="AA28">
        <v>114.6301960784314</v>
      </c>
      <c r="AB28">
        <v>350</v>
      </c>
      <c r="AC28">
        <v>0</v>
      </c>
      <c r="AD28">
        <v>34.313432835820898</v>
      </c>
      <c r="AE28">
        <v>137</v>
      </c>
      <c r="AF28">
        <v>0</v>
      </c>
      <c r="AG28">
        <v>101.9507462686567</v>
      </c>
      <c r="AH28">
        <v>216.7</v>
      </c>
      <c r="AI28">
        <v>0</v>
      </c>
      <c r="AL28">
        <v>2499</v>
      </c>
      <c r="AM28">
        <v>917</v>
      </c>
      <c r="AN28">
        <v>3416</v>
      </c>
      <c r="AO28">
        <v>90</v>
      </c>
      <c r="AP28">
        <v>832</v>
      </c>
    </row>
    <row r="29" spans="1:42" x14ac:dyDescent="0.3">
      <c r="A29" t="s">
        <v>1101</v>
      </c>
      <c r="B29" t="s">
        <v>15</v>
      </c>
      <c r="C29" t="s">
        <v>16</v>
      </c>
      <c r="D29" t="s">
        <v>67</v>
      </c>
      <c r="E29" t="s">
        <v>1016</v>
      </c>
      <c r="F29">
        <v>2025</v>
      </c>
      <c r="G29">
        <v>91.6</v>
      </c>
      <c r="H29">
        <v>7</v>
      </c>
      <c r="I29">
        <v>3</v>
      </c>
      <c r="J29">
        <v>83</v>
      </c>
      <c r="K29">
        <v>76</v>
      </c>
      <c r="L29" t="s">
        <v>979</v>
      </c>
      <c r="M29">
        <v>35.912448700410387</v>
      </c>
      <c r="N29">
        <v>303</v>
      </c>
      <c r="O29">
        <v>0</v>
      </c>
      <c r="P29">
        <v>35.03846153846154</v>
      </c>
      <c r="Q29">
        <v>104.65</v>
      </c>
      <c r="R29">
        <v>-0.87398716194885395</v>
      </c>
      <c r="S29">
        <v>111</v>
      </c>
      <c r="T29">
        <v>0</v>
      </c>
      <c r="U29">
        <v>37.701754385964911</v>
      </c>
      <c r="V29">
        <v>147</v>
      </c>
      <c r="W29">
        <v>1</v>
      </c>
      <c r="X29">
        <v>42.251824817518248</v>
      </c>
      <c r="Y29">
        <v>264</v>
      </c>
      <c r="Z29">
        <v>0</v>
      </c>
      <c r="AA29">
        <v>77.646715328467153</v>
      </c>
      <c r="AB29">
        <v>200</v>
      </c>
      <c r="AC29">
        <v>0</v>
      </c>
      <c r="AD29">
        <v>34.313432835820898</v>
      </c>
      <c r="AE29">
        <v>137</v>
      </c>
      <c r="AF29">
        <v>0</v>
      </c>
      <c r="AG29">
        <v>101.9507462686567</v>
      </c>
      <c r="AH29">
        <v>216.7</v>
      </c>
      <c r="AI29">
        <v>0</v>
      </c>
      <c r="AJ29">
        <v>28</v>
      </c>
      <c r="AK29">
        <v>96.6</v>
      </c>
      <c r="AL29">
        <v>2492</v>
      </c>
      <c r="AM29">
        <v>914</v>
      </c>
      <c r="AN29">
        <v>3406</v>
      </c>
      <c r="AO29">
        <v>113</v>
      </c>
      <c r="AP29">
        <v>1378</v>
      </c>
    </row>
    <row r="30" spans="1:42" x14ac:dyDescent="0.3">
      <c r="A30" t="s">
        <v>1343</v>
      </c>
      <c r="B30" t="s">
        <v>32</v>
      </c>
      <c r="C30" t="s">
        <v>16</v>
      </c>
      <c r="D30" t="s">
        <v>67</v>
      </c>
      <c r="E30" t="s">
        <v>1016</v>
      </c>
      <c r="F30">
        <v>2025</v>
      </c>
      <c r="G30">
        <v>96.6</v>
      </c>
      <c r="H30">
        <v>3</v>
      </c>
      <c r="I30">
        <v>1</v>
      </c>
      <c r="J30">
        <v>29</v>
      </c>
      <c r="K30">
        <v>28</v>
      </c>
      <c r="L30" t="s">
        <v>1327</v>
      </c>
      <c r="M30">
        <v>35.923287671232877</v>
      </c>
      <c r="N30">
        <v>303</v>
      </c>
      <c r="O30">
        <v>0</v>
      </c>
      <c r="P30">
        <v>35.03846153846154</v>
      </c>
      <c r="Q30">
        <v>104.65</v>
      </c>
      <c r="R30">
        <v>-0.88482613277133737</v>
      </c>
      <c r="S30">
        <v>111</v>
      </c>
      <c r="T30">
        <v>0</v>
      </c>
      <c r="U30">
        <v>44.710843373493979</v>
      </c>
      <c r="V30">
        <v>209</v>
      </c>
      <c r="W30">
        <v>0</v>
      </c>
      <c r="X30">
        <v>42.251824817518248</v>
      </c>
      <c r="Y30">
        <v>264</v>
      </c>
      <c r="Z30">
        <v>0</v>
      </c>
      <c r="AA30">
        <v>77.646715328467153</v>
      </c>
      <c r="AB30">
        <v>200</v>
      </c>
      <c r="AC30">
        <v>0</v>
      </c>
      <c r="AD30">
        <v>34.313432835820898</v>
      </c>
      <c r="AE30">
        <v>137</v>
      </c>
      <c r="AF30">
        <v>0</v>
      </c>
      <c r="AG30">
        <v>101.9507462686567</v>
      </c>
      <c r="AH30">
        <v>216.7</v>
      </c>
      <c r="AI30">
        <v>0</v>
      </c>
      <c r="AJ30">
        <v>15</v>
      </c>
      <c r="AK30">
        <v>88.2</v>
      </c>
      <c r="AL30">
        <v>2489</v>
      </c>
      <c r="AM30">
        <v>913</v>
      </c>
      <c r="AN30">
        <v>3402</v>
      </c>
      <c r="AO30">
        <v>109</v>
      </c>
      <c r="AP30">
        <v>1374</v>
      </c>
    </row>
    <row r="31" spans="1:42" x14ac:dyDescent="0.3">
      <c r="A31" t="s">
        <v>1459</v>
      </c>
      <c r="B31" t="s">
        <v>15</v>
      </c>
      <c r="C31" t="s">
        <v>16</v>
      </c>
      <c r="D31" t="s">
        <v>67</v>
      </c>
      <c r="E31" t="s">
        <v>1016</v>
      </c>
      <c r="F31">
        <v>2025</v>
      </c>
      <c r="G31">
        <v>88.2</v>
      </c>
      <c r="H31">
        <v>1</v>
      </c>
      <c r="I31">
        <v>1</v>
      </c>
      <c r="J31">
        <v>17</v>
      </c>
      <c r="K31">
        <v>15</v>
      </c>
      <c r="L31" t="s">
        <v>1327</v>
      </c>
      <c r="M31">
        <v>35.951989026063103</v>
      </c>
      <c r="N31">
        <v>303</v>
      </c>
      <c r="O31">
        <v>0</v>
      </c>
      <c r="P31">
        <v>35.03846153846154</v>
      </c>
      <c r="Q31">
        <v>104.65</v>
      </c>
      <c r="R31">
        <v>-0.91352748760156288</v>
      </c>
      <c r="S31">
        <v>111</v>
      </c>
      <c r="T31">
        <v>0</v>
      </c>
      <c r="U31">
        <v>37.701754385964911</v>
      </c>
      <c r="V31">
        <v>147</v>
      </c>
      <c r="W31">
        <v>1</v>
      </c>
      <c r="X31">
        <v>42.251824817518248</v>
      </c>
      <c r="Y31">
        <v>264</v>
      </c>
      <c r="Z31">
        <v>0</v>
      </c>
      <c r="AA31">
        <v>77.646715328467153</v>
      </c>
      <c r="AB31">
        <v>200</v>
      </c>
      <c r="AC31">
        <v>0</v>
      </c>
      <c r="AD31">
        <v>34.313432835820898</v>
      </c>
      <c r="AE31">
        <v>137</v>
      </c>
      <c r="AF31">
        <v>0</v>
      </c>
      <c r="AG31">
        <v>101.9507462686567</v>
      </c>
      <c r="AH31">
        <v>216.7</v>
      </c>
      <c r="AI31">
        <v>0</v>
      </c>
      <c r="AL31">
        <v>2488</v>
      </c>
      <c r="AM31">
        <v>912</v>
      </c>
      <c r="AN31">
        <v>3400</v>
      </c>
      <c r="AO31">
        <v>107</v>
      </c>
      <c r="AP31">
        <v>1372</v>
      </c>
    </row>
    <row r="32" spans="1:42" x14ac:dyDescent="0.3">
      <c r="A32" t="s">
        <v>1412</v>
      </c>
      <c r="B32" t="s">
        <v>71</v>
      </c>
      <c r="C32" t="s">
        <v>16</v>
      </c>
      <c r="D32" t="s">
        <v>67</v>
      </c>
      <c r="E32" t="s">
        <v>990</v>
      </c>
      <c r="F32">
        <v>2025</v>
      </c>
      <c r="G32">
        <v>133.30000000000001</v>
      </c>
      <c r="H32">
        <v>3</v>
      </c>
      <c r="I32">
        <v>1</v>
      </c>
      <c r="J32">
        <v>15</v>
      </c>
      <c r="K32">
        <v>20</v>
      </c>
      <c r="L32" t="s">
        <v>1327</v>
      </c>
      <c r="M32">
        <v>35.973901098901102</v>
      </c>
      <c r="N32">
        <v>303</v>
      </c>
      <c r="O32">
        <v>0</v>
      </c>
      <c r="P32">
        <v>35.03846153846154</v>
      </c>
      <c r="Q32">
        <v>104.65</v>
      </c>
      <c r="R32">
        <v>-0.935439560439562</v>
      </c>
      <c r="S32">
        <v>111</v>
      </c>
      <c r="T32">
        <v>0</v>
      </c>
      <c r="U32">
        <v>33.333333333333343</v>
      </c>
      <c r="V32">
        <v>140</v>
      </c>
      <c r="W32">
        <v>0</v>
      </c>
      <c r="X32">
        <v>42.251824817518248</v>
      </c>
      <c r="Y32">
        <v>264</v>
      </c>
      <c r="Z32">
        <v>0</v>
      </c>
      <c r="AA32">
        <v>77.646715328467153</v>
      </c>
      <c r="AB32">
        <v>200</v>
      </c>
      <c r="AC32">
        <v>0</v>
      </c>
      <c r="AD32">
        <v>31.115942028985511</v>
      </c>
      <c r="AE32">
        <v>187</v>
      </c>
      <c r="AF32">
        <v>0</v>
      </c>
      <c r="AG32">
        <v>73.336956521739125</v>
      </c>
      <c r="AH32">
        <v>233.3</v>
      </c>
      <c r="AI32">
        <v>0</v>
      </c>
      <c r="AJ32">
        <v>41</v>
      </c>
      <c r="AK32">
        <v>113.9</v>
      </c>
      <c r="AL32">
        <v>2485</v>
      </c>
      <c r="AM32">
        <v>911</v>
      </c>
      <c r="AN32">
        <v>3396</v>
      </c>
      <c r="AO32">
        <v>103</v>
      </c>
      <c r="AP32">
        <v>1368</v>
      </c>
    </row>
    <row r="33" spans="1:42" x14ac:dyDescent="0.3">
      <c r="A33" t="s">
        <v>1268</v>
      </c>
      <c r="B33" t="s">
        <v>73</v>
      </c>
      <c r="C33" t="s">
        <v>16</v>
      </c>
      <c r="D33" t="s">
        <v>67</v>
      </c>
      <c r="E33" t="s">
        <v>990</v>
      </c>
      <c r="F33">
        <v>2025</v>
      </c>
      <c r="G33">
        <v>113.9</v>
      </c>
      <c r="H33">
        <v>7</v>
      </c>
      <c r="I33">
        <v>0</v>
      </c>
      <c r="J33">
        <v>36</v>
      </c>
      <c r="K33">
        <v>41</v>
      </c>
      <c r="L33" t="s">
        <v>979</v>
      </c>
      <c r="M33">
        <v>35.966987620357642</v>
      </c>
      <c r="N33">
        <v>303</v>
      </c>
      <c r="O33">
        <v>0</v>
      </c>
      <c r="P33">
        <v>35.03846153846154</v>
      </c>
      <c r="Q33">
        <v>104.65</v>
      </c>
      <c r="R33">
        <v>-0.92852608189609498</v>
      </c>
      <c r="S33">
        <v>111</v>
      </c>
      <c r="T33">
        <v>0</v>
      </c>
      <c r="U33">
        <v>38.228571428571428</v>
      </c>
      <c r="V33">
        <v>137</v>
      </c>
      <c r="W33">
        <v>0</v>
      </c>
      <c r="X33">
        <v>42.251824817518248</v>
      </c>
      <c r="Y33">
        <v>264</v>
      </c>
      <c r="Z33">
        <v>0</v>
      </c>
      <c r="AA33">
        <v>77.646715328467153</v>
      </c>
      <c r="AB33">
        <v>200</v>
      </c>
      <c r="AC33">
        <v>0</v>
      </c>
      <c r="AD33">
        <v>31.115942028985511</v>
      </c>
      <c r="AE33">
        <v>187</v>
      </c>
      <c r="AF33">
        <v>0</v>
      </c>
      <c r="AG33">
        <v>73.336956521739125</v>
      </c>
      <c r="AH33">
        <v>233.3</v>
      </c>
      <c r="AI33">
        <v>0</v>
      </c>
      <c r="AL33">
        <v>2478</v>
      </c>
      <c r="AM33">
        <v>911</v>
      </c>
      <c r="AN33">
        <v>3389</v>
      </c>
      <c r="AO33">
        <v>96</v>
      </c>
      <c r="AP33">
        <v>1361</v>
      </c>
    </row>
    <row r="34" spans="1:42" x14ac:dyDescent="0.3">
      <c r="A34" t="s">
        <v>1703</v>
      </c>
      <c r="B34" t="s">
        <v>76</v>
      </c>
      <c r="C34" t="s">
        <v>16</v>
      </c>
      <c r="D34" t="s">
        <v>41</v>
      </c>
      <c r="E34" t="s">
        <v>990</v>
      </c>
      <c r="F34">
        <v>2025</v>
      </c>
      <c r="G34">
        <v>50</v>
      </c>
      <c r="H34">
        <v>0</v>
      </c>
      <c r="I34">
        <v>0</v>
      </c>
      <c r="J34">
        <v>2</v>
      </c>
      <c r="K34">
        <v>1</v>
      </c>
      <c r="L34" t="s">
        <v>1327</v>
      </c>
      <c r="M34">
        <v>36.015151515151523</v>
      </c>
      <c r="N34">
        <v>303</v>
      </c>
      <c r="O34">
        <v>0</v>
      </c>
      <c r="P34">
        <v>34.043478260869563</v>
      </c>
      <c r="Q34">
        <v>108.0891304347826</v>
      </c>
      <c r="R34">
        <v>-1.9716732542819531</v>
      </c>
      <c r="S34">
        <v>95</v>
      </c>
      <c r="T34">
        <v>0</v>
      </c>
      <c r="U34">
        <v>48.215686274509807</v>
      </c>
      <c r="V34">
        <v>187</v>
      </c>
      <c r="W34">
        <v>0</v>
      </c>
      <c r="X34">
        <v>42.251824817518248</v>
      </c>
      <c r="Y34">
        <v>264</v>
      </c>
      <c r="Z34">
        <v>0</v>
      </c>
      <c r="AA34">
        <v>77.646715328467153</v>
      </c>
      <c r="AB34">
        <v>200</v>
      </c>
      <c r="AC34">
        <v>0</v>
      </c>
      <c r="AD34">
        <v>31.115942028985511</v>
      </c>
      <c r="AE34">
        <v>187</v>
      </c>
      <c r="AF34">
        <v>0</v>
      </c>
      <c r="AG34">
        <v>73.336956521739125</v>
      </c>
      <c r="AH34">
        <v>233.3</v>
      </c>
      <c r="AI34">
        <v>0</v>
      </c>
      <c r="AJ34">
        <v>119</v>
      </c>
      <c r="AK34">
        <v>132.19999999999999</v>
      </c>
      <c r="AL34">
        <v>2478</v>
      </c>
      <c r="AM34">
        <v>911</v>
      </c>
      <c r="AN34">
        <v>3389</v>
      </c>
      <c r="AO34">
        <v>108</v>
      </c>
      <c r="AP34">
        <v>1361</v>
      </c>
    </row>
    <row r="35" spans="1:42" x14ac:dyDescent="0.3">
      <c r="A35" t="s">
        <v>1029</v>
      </c>
      <c r="B35" t="s">
        <v>76</v>
      </c>
      <c r="C35" t="s">
        <v>16</v>
      </c>
      <c r="D35" t="s">
        <v>78</v>
      </c>
      <c r="E35" t="s">
        <v>990</v>
      </c>
      <c r="F35">
        <v>2025</v>
      </c>
      <c r="G35">
        <v>132.19999999999999</v>
      </c>
      <c r="H35">
        <v>12</v>
      </c>
      <c r="I35">
        <v>7</v>
      </c>
      <c r="J35">
        <v>90</v>
      </c>
      <c r="K35">
        <v>119</v>
      </c>
      <c r="L35" t="s">
        <v>979</v>
      </c>
      <c r="M35">
        <v>35.900689655172407</v>
      </c>
      <c r="N35">
        <v>303</v>
      </c>
      <c r="O35">
        <v>0</v>
      </c>
      <c r="P35">
        <v>44.222222222222221</v>
      </c>
      <c r="Q35">
        <v>102.3</v>
      </c>
      <c r="R35">
        <v>8.3215325670498075</v>
      </c>
      <c r="S35">
        <v>119</v>
      </c>
      <c r="T35">
        <v>1</v>
      </c>
      <c r="U35">
        <v>48.215686274509807</v>
      </c>
      <c r="V35">
        <v>187</v>
      </c>
      <c r="W35">
        <v>0</v>
      </c>
      <c r="X35">
        <v>42.251824817518248</v>
      </c>
      <c r="Y35">
        <v>264</v>
      </c>
      <c r="Z35">
        <v>0</v>
      </c>
      <c r="AA35">
        <v>77.646715328467153</v>
      </c>
      <c r="AB35">
        <v>200</v>
      </c>
      <c r="AC35">
        <v>0</v>
      </c>
      <c r="AD35">
        <v>31.115942028985511</v>
      </c>
      <c r="AE35">
        <v>187</v>
      </c>
      <c r="AF35">
        <v>0</v>
      </c>
      <c r="AG35">
        <v>73.336956521739125</v>
      </c>
      <c r="AH35">
        <v>233.3</v>
      </c>
      <c r="AI35">
        <v>0</v>
      </c>
      <c r="AJ35">
        <v>2</v>
      </c>
      <c r="AK35">
        <v>28.6</v>
      </c>
      <c r="AL35">
        <v>2466</v>
      </c>
      <c r="AM35">
        <v>904</v>
      </c>
      <c r="AN35">
        <v>3370</v>
      </c>
      <c r="AO35">
        <v>30</v>
      </c>
      <c r="AP35">
        <v>1342</v>
      </c>
    </row>
    <row r="36" spans="1:42" x14ac:dyDescent="0.3">
      <c r="A36" t="s">
        <v>1682</v>
      </c>
      <c r="B36" t="s">
        <v>76</v>
      </c>
      <c r="C36" t="s">
        <v>16</v>
      </c>
      <c r="D36" t="s">
        <v>80</v>
      </c>
      <c r="E36" t="s">
        <v>990</v>
      </c>
      <c r="F36">
        <v>2025</v>
      </c>
      <c r="G36">
        <v>28.6</v>
      </c>
      <c r="H36">
        <v>0</v>
      </c>
      <c r="I36">
        <v>0</v>
      </c>
      <c r="J36">
        <v>7</v>
      </c>
      <c r="K36">
        <v>2</v>
      </c>
      <c r="L36" t="s">
        <v>1327</v>
      </c>
      <c r="M36">
        <v>35.947513812154703</v>
      </c>
      <c r="N36">
        <v>303</v>
      </c>
      <c r="O36">
        <v>0</v>
      </c>
      <c r="P36">
        <v>45.785714285714278</v>
      </c>
      <c r="Q36">
        <v>80.371428571428552</v>
      </c>
      <c r="R36">
        <v>9.8382004735595885</v>
      </c>
      <c r="S36">
        <v>125</v>
      </c>
      <c r="T36">
        <v>0</v>
      </c>
      <c r="U36">
        <v>48.215686274509807</v>
      </c>
      <c r="V36">
        <v>187</v>
      </c>
      <c r="W36">
        <v>0</v>
      </c>
      <c r="X36">
        <v>42.251824817518248</v>
      </c>
      <c r="Y36">
        <v>264</v>
      </c>
      <c r="Z36">
        <v>0</v>
      </c>
      <c r="AA36">
        <v>77.646715328467153</v>
      </c>
      <c r="AB36">
        <v>200</v>
      </c>
      <c r="AC36">
        <v>0</v>
      </c>
      <c r="AD36">
        <v>31.115942028985511</v>
      </c>
      <c r="AE36">
        <v>187</v>
      </c>
      <c r="AF36">
        <v>0</v>
      </c>
      <c r="AG36">
        <v>73.336956521739125</v>
      </c>
      <c r="AH36">
        <v>233.3</v>
      </c>
      <c r="AI36">
        <v>0</v>
      </c>
      <c r="AL36">
        <v>2466</v>
      </c>
      <c r="AM36">
        <v>904</v>
      </c>
      <c r="AN36">
        <v>3370</v>
      </c>
      <c r="AO36">
        <v>79</v>
      </c>
      <c r="AP36">
        <v>1342</v>
      </c>
    </row>
    <row r="37" spans="1:42" x14ac:dyDescent="0.3">
      <c r="A37" t="s">
        <v>1502</v>
      </c>
      <c r="B37" t="s">
        <v>32</v>
      </c>
      <c r="C37" t="s">
        <v>83</v>
      </c>
      <c r="D37" t="s">
        <v>84</v>
      </c>
      <c r="E37" t="s">
        <v>987</v>
      </c>
      <c r="F37">
        <v>2024</v>
      </c>
      <c r="G37">
        <v>41.25</v>
      </c>
      <c r="H37">
        <v>0</v>
      </c>
      <c r="I37">
        <v>0</v>
      </c>
      <c r="J37">
        <v>22</v>
      </c>
      <c r="K37">
        <v>12</v>
      </c>
      <c r="L37" t="s">
        <v>1327</v>
      </c>
      <c r="M37">
        <v>35.980636237897649</v>
      </c>
      <c r="N37">
        <v>303</v>
      </c>
      <c r="O37">
        <v>0</v>
      </c>
      <c r="P37">
        <v>39.769230769230766</v>
      </c>
      <c r="Q37">
        <v>74.015384615384619</v>
      </c>
      <c r="R37">
        <v>3.7885945313331182</v>
      </c>
      <c r="S37">
        <v>138</v>
      </c>
      <c r="T37">
        <v>0</v>
      </c>
      <c r="U37">
        <v>44.710843373493979</v>
      </c>
      <c r="V37">
        <v>209</v>
      </c>
      <c r="W37">
        <v>0</v>
      </c>
      <c r="X37">
        <v>65.166666666666671</v>
      </c>
      <c r="Y37">
        <v>303</v>
      </c>
      <c r="Z37">
        <v>1</v>
      </c>
      <c r="AA37">
        <v>55.904545454545449</v>
      </c>
      <c r="AB37">
        <v>161.6</v>
      </c>
      <c r="AC37">
        <v>16.600000000000001</v>
      </c>
      <c r="AD37">
        <v>40.825000000000003</v>
      </c>
      <c r="AE37">
        <v>208</v>
      </c>
      <c r="AF37">
        <v>1</v>
      </c>
      <c r="AG37">
        <v>90.646250000000009</v>
      </c>
      <c r="AH37">
        <v>274.39999999999998</v>
      </c>
      <c r="AI37">
        <v>15.4</v>
      </c>
      <c r="AL37">
        <v>2466</v>
      </c>
      <c r="AM37">
        <v>904</v>
      </c>
      <c r="AN37">
        <v>3370</v>
      </c>
      <c r="AO37">
        <v>50</v>
      </c>
      <c r="AP37">
        <v>561</v>
      </c>
    </row>
    <row r="38" spans="1:42" x14ac:dyDescent="0.3">
      <c r="A38" t="s">
        <v>1541</v>
      </c>
      <c r="B38" t="s">
        <v>32</v>
      </c>
      <c r="C38" t="s">
        <v>83</v>
      </c>
      <c r="D38" t="s">
        <v>88</v>
      </c>
      <c r="E38" t="s">
        <v>987</v>
      </c>
      <c r="F38">
        <v>2024</v>
      </c>
      <c r="G38">
        <v>37</v>
      </c>
      <c r="H38">
        <v>2</v>
      </c>
      <c r="I38">
        <v>0</v>
      </c>
      <c r="J38">
        <v>18</v>
      </c>
      <c r="K38">
        <v>10</v>
      </c>
      <c r="L38" t="s">
        <v>1327</v>
      </c>
      <c r="M38">
        <v>36.016620498614962</v>
      </c>
      <c r="N38">
        <v>303</v>
      </c>
      <c r="O38">
        <v>0</v>
      </c>
      <c r="P38">
        <v>28.333333333333329</v>
      </c>
      <c r="Q38">
        <v>48.216666666666661</v>
      </c>
      <c r="R38">
        <v>-7.683287165281623</v>
      </c>
      <c r="S38">
        <v>124</v>
      </c>
      <c r="T38">
        <v>0</v>
      </c>
      <c r="U38">
        <v>44.710843373493979</v>
      </c>
      <c r="V38">
        <v>209</v>
      </c>
      <c r="W38">
        <v>0</v>
      </c>
      <c r="X38">
        <v>65.166666666666671</v>
      </c>
      <c r="Y38">
        <v>303</v>
      </c>
      <c r="Z38">
        <v>1</v>
      </c>
      <c r="AA38">
        <v>55.904545454545449</v>
      </c>
      <c r="AB38">
        <v>161.6</v>
      </c>
      <c r="AC38">
        <v>16.600000000000001</v>
      </c>
      <c r="AD38">
        <v>40.825000000000003</v>
      </c>
      <c r="AE38">
        <v>208</v>
      </c>
      <c r="AF38">
        <v>1</v>
      </c>
      <c r="AG38">
        <v>90.646250000000009</v>
      </c>
      <c r="AH38">
        <v>274.39999999999998</v>
      </c>
      <c r="AI38">
        <v>15.4</v>
      </c>
      <c r="AL38">
        <v>2464</v>
      </c>
      <c r="AM38">
        <v>904</v>
      </c>
      <c r="AN38">
        <v>3368</v>
      </c>
      <c r="AO38">
        <v>30</v>
      </c>
      <c r="AP38">
        <v>559</v>
      </c>
    </row>
    <row r="39" spans="1:42" x14ac:dyDescent="0.3">
      <c r="A39" t="s">
        <v>1552</v>
      </c>
      <c r="B39" t="s">
        <v>32</v>
      </c>
      <c r="C39" t="s">
        <v>83</v>
      </c>
      <c r="D39" t="s">
        <v>35</v>
      </c>
      <c r="E39" t="s">
        <v>987</v>
      </c>
      <c r="F39">
        <v>2024</v>
      </c>
      <c r="G39">
        <v>26.5</v>
      </c>
      <c r="H39">
        <v>1</v>
      </c>
      <c r="I39">
        <v>0</v>
      </c>
      <c r="J39">
        <v>16</v>
      </c>
      <c r="K39">
        <v>9</v>
      </c>
      <c r="L39" t="s">
        <v>1327</v>
      </c>
      <c r="M39">
        <v>36.054091539528443</v>
      </c>
      <c r="N39">
        <v>303</v>
      </c>
      <c r="O39">
        <v>0</v>
      </c>
      <c r="P39">
        <v>27.69230769230769</v>
      </c>
      <c r="Q39">
        <v>65.492307692307691</v>
      </c>
      <c r="R39">
        <v>-8.3617838472207424</v>
      </c>
      <c r="S39">
        <v>73</v>
      </c>
      <c r="T39">
        <v>1</v>
      </c>
      <c r="U39">
        <v>44.710843373493979</v>
      </c>
      <c r="V39">
        <v>209</v>
      </c>
      <c r="W39">
        <v>0</v>
      </c>
      <c r="X39">
        <v>65.166666666666671</v>
      </c>
      <c r="Y39">
        <v>303</v>
      </c>
      <c r="Z39">
        <v>1</v>
      </c>
      <c r="AA39">
        <v>55.904545454545449</v>
      </c>
      <c r="AB39">
        <v>161.6</v>
      </c>
      <c r="AC39">
        <v>16.600000000000001</v>
      </c>
      <c r="AD39">
        <v>40.825000000000003</v>
      </c>
      <c r="AE39">
        <v>208</v>
      </c>
      <c r="AF39">
        <v>1</v>
      </c>
      <c r="AG39">
        <v>90.646250000000009</v>
      </c>
      <c r="AH39">
        <v>274.39999999999998</v>
      </c>
      <c r="AI39">
        <v>15.4</v>
      </c>
      <c r="AL39">
        <v>2463</v>
      </c>
      <c r="AM39">
        <v>904</v>
      </c>
      <c r="AN39">
        <v>3367</v>
      </c>
      <c r="AO39">
        <v>31</v>
      </c>
      <c r="AP39">
        <v>558</v>
      </c>
    </row>
    <row r="40" spans="1:42" x14ac:dyDescent="0.3">
      <c r="A40" t="s">
        <v>1335</v>
      </c>
      <c r="B40" t="s">
        <v>15</v>
      </c>
      <c r="C40" t="s">
        <v>83</v>
      </c>
      <c r="D40" t="s">
        <v>12</v>
      </c>
      <c r="E40" t="s">
        <v>981</v>
      </c>
      <c r="F40">
        <v>2024</v>
      </c>
      <c r="G40">
        <v>100</v>
      </c>
      <c r="H40">
        <v>5</v>
      </c>
      <c r="I40">
        <v>0</v>
      </c>
      <c r="J40">
        <v>52</v>
      </c>
      <c r="K40">
        <v>29</v>
      </c>
      <c r="L40" t="s">
        <v>1327</v>
      </c>
      <c r="M40">
        <v>36.06388888888889</v>
      </c>
      <c r="N40">
        <v>303</v>
      </c>
      <c r="O40">
        <v>0</v>
      </c>
      <c r="P40">
        <v>31.203883495145629</v>
      </c>
      <c r="Q40">
        <v>120.5689320388349</v>
      </c>
      <c r="R40">
        <v>-4.8600053937432577</v>
      </c>
      <c r="S40">
        <v>162</v>
      </c>
      <c r="T40">
        <v>0</v>
      </c>
      <c r="U40">
        <v>37.701754385964911</v>
      </c>
      <c r="V40">
        <v>147</v>
      </c>
      <c r="W40">
        <v>1</v>
      </c>
      <c r="X40">
        <v>65.166666666666671</v>
      </c>
      <c r="Y40">
        <v>303</v>
      </c>
      <c r="Z40">
        <v>1</v>
      </c>
      <c r="AA40">
        <v>55.904545454545449</v>
      </c>
      <c r="AB40">
        <v>161.6</v>
      </c>
      <c r="AC40">
        <v>16.600000000000001</v>
      </c>
      <c r="AD40">
        <v>47.122448979591837</v>
      </c>
      <c r="AE40">
        <v>264</v>
      </c>
      <c r="AF40">
        <v>0</v>
      </c>
      <c r="AG40">
        <v>105.5040816326531</v>
      </c>
      <c r="AH40">
        <v>200</v>
      </c>
      <c r="AI40">
        <v>0</v>
      </c>
      <c r="AL40">
        <v>2458</v>
      </c>
      <c r="AM40">
        <v>904</v>
      </c>
      <c r="AN40">
        <v>3362</v>
      </c>
      <c r="AO40">
        <v>410</v>
      </c>
      <c r="AP40">
        <v>553</v>
      </c>
    </row>
    <row r="41" spans="1:42" x14ac:dyDescent="0.3">
      <c r="A41" t="s">
        <v>1570</v>
      </c>
      <c r="B41" t="s">
        <v>15</v>
      </c>
      <c r="C41" t="s">
        <v>83</v>
      </c>
      <c r="D41" t="s">
        <v>100</v>
      </c>
      <c r="E41" t="s">
        <v>977</v>
      </c>
      <c r="F41">
        <v>2024</v>
      </c>
      <c r="G41">
        <v>50</v>
      </c>
      <c r="H41">
        <v>1</v>
      </c>
      <c r="I41">
        <v>0</v>
      </c>
      <c r="J41">
        <v>14</v>
      </c>
      <c r="K41">
        <v>8</v>
      </c>
      <c r="L41" t="s">
        <v>1327</v>
      </c>
      <c r="M41">
        <v>36.102920723226703</v>
      </c>
      <c r="N41">
        <v>303</v>
      </c>
      <c r="O41">
        <v>0</v>
      </c>
      <c r="P41">
        <v>25.444444444444439</v>
      </c>
      <c r="Q41">
        <v>86.627777777777794</v>
      </c>
      <c r="R41">
        <v>-10.65847627878226</v>
      </c>
      <c r="S41">
        <v>85</v>
      </c>
      <c r="T41">
        <v>0</v>
      </c>
      <c r="U41">
        <v>37.701754385964911</v>
      </c>
      <c r="V41">
        <v>147</v>
      </c>
      <c r="W41">
        <v>1</v>
      </c>
      <c r="X41">
        <v>65.166666666666671</v>
      </c>
      <c r="Y41">
        <v>303</v>
      </c>
      <c r="Z41">
        <v>1</v>
      </c>
      <c r="AA41">
        <v>55.904545454545449</v>
      </c>
      <c r="AB41">
        <v>161.6</v>
      </c>
      <c r="AC41">
        <v>16.600000000000001</v>
      </c>
      <c r="AD41">
        <v>49.901639344262293</v>
      </c>
      <c r="AE41">
        <v>303</v>
      </c>
      <c r="AF41">
        <v>0</v>
      </c>
      <c r="AG41">
        <v>90.971311475409848</v>
      </c>
      <c r="AH41">
        <v>200</v>
      </c>
      <c r="AI41">
        <v>0</v>
      </c>
      <c r="AL41">
        <v>2457</v>
      </c>
      <c r="AM41">
        <v>904</v>
      </c>
      <c r="AN41">
        <v>3361</v>
      </c>
      <c r="AO41">
        <v>66</v>
      </c>
      <c r="AP41">
        <v>552</v>
      </c>
    </row>
    <row r="42" spans="1:42" x14ac:dyDescent="0.3">
      <c r="A42" t="s">
        <v>1197</v>
      </c>
      <c r="B42" t="s">
        <v>15</v>
      </c>
      <c r="C42" t="s">
        <v>83</v>
      </c>
      <c r="D42" t="s">
        <v>103</v>
      </c>
      <c r="E42" t="s">
        <v>977</v>
      </c>
      <c r="F42">
        <v>2024</v>
      </c>
      <c r="G42">
        <v>47.5</v>
      </c>
      <c r="H42">
        <v>8</v>
      </c>
      <c r="I42">
        <v>1</v>
      </c>
      <c r="J42">
        <v>97</v>
      </c>
      <c r="K42">
        <v>54</v>
      </c>
      <c r="L42" t="s">
        <v>979</v>
      </c>
      <c r="M42">
        <v>36.077994428969362</v>
      </c>
      <c r="N42">
        <v>303</v>
      </c>
      <c r="O42">
        <v>0</v>
      </c>
      <c r="P42">
        <v>43.391304347826093</v>
      </c>
      <c r="Q42">
        <v>100.17391304347829</v>
      </c>
      <c r="R42">
        <v>7.3133099188567243</v>
      </c>
      <c r="S42">
        <v>209</v>
      </c>
      <c r="T42">
        <v>0</v>
      </c>
      <c r="U42">
        <v>37.701754385964911</v>
      </c>
      <c r="V42">
        <v>147</v>
      </c>
      <c r="W42">
        <v>1</v>
      </c>
      <c r="X42">
        <v>65.166666666666671</v>
      </c>
      <c r="Y42">
        <v>303</v>
      </c>
      <c r="Z42">
        <v>1</v>
      </c>
      <c r="AA42">
        <v>55.904545454545449</v>
      </c>
      <c r="AB42">
        <v>161.6</v>
      </c>
      <c r="AC42">
        <v>16.600000000000001</v>
      </c>
      <c r="AD42">
        <v>49.901639344262293</v>
      </c>
      <c r="AE42">
        <v>303</v>
      </c>
      <c r="AF42">
        <v>0</v>
      </c>
      <c r="AG42">
        <v>90.971311475409848</v>
      </c>
      <c r="AH42">
        <v>200</v>
      </c>
      <c r="AI42">
        <v>0</v>
      </c>
      <c r="AL42">
        <v>2449</v>
      </c>
      <c r="AM42">
        <v>903</v>
      </c>
      <c r="AN42">
        <v>3352</v>
      </c>
      <c r="AO42">
        <v>124</v>
      </c>
      <c r="AP42">
        <v>543</v>
      </c>
    </row>
    <row r="43" spans="1:42" x14ac:dyDescent="0.3">
      <c r="A43" t="s">
        <v>1321</v>
      </c>
      <c r="B43" t="s">
        <v>73</v>
      </c>
      <c r="C43" t="s">
        <v>83</v>
      </c>
      <c r="D43" t="s">
        <v>107</v>
      </c>
      <c r="E43" t="s">
        <v>1009</v>
      </c>
      <c r="F43">
        <v>2024</v>
      </c>
      <c r="G43">
        <v>161.6</v>
      </c>
      <c r="H43">
        <v>2</v>
      </c>
      <c r="I43">
        <v>3</v>
      </c>
      <c r="J43">
        <v>56</v>
      </c>
      <c r="K43">
        <v>31</v>
      </c>
      <c r="L43" t="s">
        <v>979</v>
      </c>
      <c r="M43">
        <v>36.085076708507671</v>
      </c>
      <c r="N43">
        <v>303</v>
      </c>
      <c r="O43">
        <v>0</v>
      </c>
      <c r="P43">
        <v>70.428571428571431</v>
      </c>
      <c r="Q43">
        <v>102.42142857142861</v>
      </c>
      <c r="R43">
        <v>34.343494720063759</v>
      </c>
      <c r="S43">
        <v>150</v>
      </c>
      <c r="T43">
        <v>4</v>
      </c>
      <c r="U43">
        <v>38.228571428571428</v>
      </c>
      <c r="V43">
        <v>137</v>
      </c>
      <c r="W43">
        <v>0</v>
      </c>
      <c r="X43">
        <v>65.166666666666671</v>
      </c>
      <c r="Y43">
        <v>303</v>
      </c>
      <c r="Z43">
        <v>1</v>
      </c>
      <c r="AA43">
        <v>55.904545454545449</v>
      </c>
      <c r="AB43">
        <v>161.6</v>
      </c>
      <c r="AC43">
        <v>16.600000000000001</v>
      </c>
      <c r="AD43">
        <v>38.25</v>
      </c>
      <c r="AE43">
        <v>138</v>
      </c>
      <c r="AF43">
        <v>0</v>
      </c>
      <c r="AG43">
        <v>106.2954545454546</v>
      </c>
      <c r="AH43">
        <v>230</v>
      </c>
      <c r="AI43">
        <v>0</v>
      </c>
      <c r="AL43">
        <v>2447</v>
      </c>
      <c r="AM43">
        <v>900</v>
      </c>
      <c r="AN43">
        <v>3347</v>
      </c>
      <c r="AO43">
        <v>60</v>
      </c>
      <c r="AP43">
        <v>538</v>
      </c>
    </row>
    <row r="44" spans="1:42" x14ac:dyDescent="0.3">
      <c r="A44" t="s">
        <v>1517</v>
      </c>
      <c r="B44" t="s">
        <v>73</v>
      </c>
      <c r="C44" t="s">
        <v>83</v>
      </c>
      <c r="D44" t="s">
        <v>64</v>
      </c>
      <c r="E44" t="s">
        <v>1009</v>
      </c>
      <c r="F44">
        <v>2024</v>
      </c>
      <c r="G44">
        <v>51.45000000000001</v>
      </c>
      <c r="H44">
        <v>2</v>
      </c>
      <c r="I44">
        <v>0</v>
      </c>
      <c r="J44">
        <v>20</v>
      </c>
      <c r="K44">
        <v>11</v>
      </c>
      <c r="L44" t="s">
        <v>1327</v>
      </c>
      <c r="M44">
        <v>36.120111731843572</v>
      </c>
      <c r="N44">
        <v>303</v>
      </c>
      <c r="O44">
        <v>0</v>
      </c>
      <c r="P44">
        <v>26</v>
      </c>
      <c r="Q44">
        <v>94.26964285714287</v>
      </c>
      <c r="R44">
        <v>-10.12011173184357</v>
      </c>
      <c r="S44">
        <v>187</v>
      </c>
      <c r="T44">
        <v>0</v>
      </c>
      <c r="U44">
        <v>38.228571428571428</v>
      </c>
      <c r="V44">
        <v>137</v>
      </c>
      <c r="W44">
        <v>0</v>
      </c>
      <c r="X44">
        <v>65.166666666666671</v>
      </c>
      <c r="Y44">
        <v>303</v>
      </c>
      <c r="Z44">
        <v>1</v>
      </c>
      <c r="AA44">
        <v>55.904545454545449</v>
      </c>
      <c r="AB44">
        <v>161.6</v>
      </c>
      <c r="AC44">
        <v>16.600000000000001</v>
      </c>
      <c r="AD44">
        <v>38.25</v>
      </c>
      <c r="AE44">
        <v>138</v>
      </c>
      <c r="AF44">
        <v>0</v>
      </c>
      <c r="AG44">
        <v>106.2954545454546</v>
      </c>
      <c r="AH44">
        <v>230</v>
      </c>
      <c r="AI44">
        <v>0</v>
      </c>
      <c r="AL44">
        <v>2445</v>
      </c>
      <c r="AM44">
        <v>900</v>
      </c>
      <c r="AN44">
        <v>3345</v>
      </c>
      <c r="AO44">
        <v>88</v>
      </c>
      <c r="AP44">
        <v>536</v>
      </c>
    </row>
    <row r="45" spans="1:42" x14ac:dyDescent="0.3">
      <c r="A45" t="s">
        <v>1299</v>
      </c>
      <c r="B45" t="s">
        <v>115</v>
      </c>
      <c r="C45" t="s">
        <v>16</v>
      </c>
      <c r="D45" t="s">
        <v>116</v>
      </c>
      <c r="E45" t="s">
        <v>1021</v>
      </c>
      <c r="F45">
        <v>2024</v>
      </c>
      <c r="G45">
        <v>175</v>
      </c>
      <c r="H45">
        <v>6</v>
      </c>
      <c r="I45">
        <v>1</v>
      </c>
      <c r="J45">
        <v>20</v>
      </c>
      <c r="K45">
        <v>35</v>
      </c>
      <c r="L45" t="s">
        <v>979</v>
      </c>
      <c r="M45">
        <v>36.121678321678317</v>
      </c>
      <c r="N45">
        <v>303</v>
      </c>
      <c r="O45">
        <v>0</v>
      </c>
      <c r="P45">
        <v>32.821428571428569</v>
      </c>
      <c r="Q45">
        <v>89.621428571428581</v>
      </c>
      <c r="R45">
        <v>-3.3002497502497552</v>
      </c>
      <c r="S45">
        <v>113</v>
      </c>
      <c r="T45">
        <v>0</v>
      </c>
      <c r="U45">
        <v>38.236842105263158</v>
      </c>
      <c r="V45">
        <v>264</v>
      </c>
      <c r="W45">
        <v>0</v>
      </c>
      <c r="X45">
        <v>42.251824817518248</v>
      </c>
      <c r="Y45">
        <v>264</v>
      </c>
      <c r="Z45">
        <v>0</v>
      </c>
      <c r="AA45">
        <v>77.646715328467153</v>
      </c>
      <c r="AB45">
        <v>200</v>
      </c>
      <c r="AC45">
        <v>0</v>
      </c>
      <c r="AD45">
        <v>37</v>
      </c>
      <c r="AE45">
        <v>124</v>
      </c>
      <c r="AF45">
        <v>0</v>
      </c>
      <c r="AG45">
        <v>84.736842105263165</v>
      </c>
      <c r="AH45">
        <v>221.4</v>
      </c>
      <c r="AI45">
        <v>0</v>
      </c>
      <c r="AJ45">
        <v>122</v>
      </c>
      <c r="AK45">
        <v>134.44999999999999</v>
      </c>
      <c r="AL45">
        <v>2439</v>
      </c>
      <c r="AM45">
        <v>899</v>
      </c>
      <c r="AN45">
        <v>3338</v>
      </c>
      <c r="AO45">
        <v>107</v>
      </c>
      <c r="AP45">
        <v>1335</v>
      </c>
    </row>
    <row r="46" spans="1:42" x14ac:dyDescent="0.3">
      <c r="A46" t="s">
        <v>1143</v>
      </c>
      <c r="B46" t="s">
        <v>115</v>
      </c>
      <c r="C46" t="s">
        <v>16</v>
      </c>
      <c r="D46" t="s">
        <v>116</v>
      </c>
      <c r="E46" t="s">
        <v>1021</v>
      </c>
      <c r="F46">
        <v>2024</v>
      </c>
      <c r="G46">
        <v>145.5</v>
      </c>
      <c r="H46">
        <v>5</v>
      </c>
      <c r="I46">
        <v>4</v>
      </c>
      <c r="J46">
        <v>44</v>
      </c>
      <c r="K46">
        <v>64</v>
      </c>
      <c r="L46" t="s">
        <v>979</v>
      </c>
      <c r="M46">
        <v>36.082633053221294</v>
      </c>
      <c r="N46">
        <v>303</v>
      </c>
      <c r="O46">
        <v>0</v>
      </c>
      <c r="P46">
        <v>32.821428571428569</v>
      </c>
      <c r="Q46">
        <v>89.621428571428581</v>
      </c>
      <c r="R46">
        <v>-3.261204481792717</v>
      </c>
      <c r="S46">
        <v>113</v>
      </c>
      <c r="T46">
        <v>0</v>
      </c>
      <c r="U46">
        <v>38.236842105263158</v>
      </c>
      <c r="V46">
        <v>264</v>
      </c>
      <c r="W46">
        <v>0</v>
      </c>
      <c r="X46">
        <v>42.251824817518248</v>
      </c>
      <c r="Y46">
        <v>264</v>
      </c>
      <c r="Z46">
        <v>0</v>
      </c>
      <c r="AA46">
        <v>77.646715328467153</v>
      </c>
      <c r="AB46">
        <v>200</v>
      </c>
      <c r="AC46">
        <v>0</v>
      </c>
      <c r="AD46">
        <v>37</v>
      </c>
      <c r="AE46">
        <v>124</v>
      </c>
      <c r="AF46">
        <v>0</v>
      </c>
      <c r="AG46">
        <v>84.736842105263165</v>
      </c>
      <c r="AH46">
        <v>221.4</v>
      </c>
      <c r="AI46">
        <v>0</v>
      </c>
      <c r="AJ46">
        <v>58</v>
      </c>
      <c r="AK46">
        <v>123.4</v>
      </c>
      <c r="AL46">
        <v>2434</v>
      </c>
      <c r="AM46">
        <v>895</v>
      </c>
      <c r="AN46">
        <v>3329</v>
      </c>
      <c r="AO46">
        <v>98</v>
      </c>
      <c r="AP46">
        <v>1326</v>
      </c>
    </row>
    <row r="47" spans="1:42" x14ac:dyDescent="0.3">
      <c r="A47" t="s">
        <v>1168</v>
      </c>
      <c r="B47" t="s">
        <v>115</v>
      </c>
      <c r="C47" t="s">
        <v>16</v>
      </c>
      <c r="D47" t="s">
        <v>116</v>
      </c>
      <c r="E47" t="s">
        <v>1021</v>
      </c>
      <c r="F47">
        <v>2024</v>
      </c>
      <c r="G47">
        <v>123.4</v>
      </c>
      <c r="H47">
        <v>7</v>
      </c>
      <c r="I47">
        <v>3</v>
      </c>
      <c r="J47">
        <v>47</v>
      </c>
      <c r="K47">
        <v>58</v>
      </c>
      <c r="L47" t="s">
        <v>979</v>
      </c>
      <c r="M47">
        <v>36.051893408134653</v>
      </c>
      <c r="N47">
        <v>303</v>
      </c>
      <c r="O47">
        <v>0</v>
      </c>
      <c r="P47">
        <v>32.821428571428569</v>
      </c>
      <c r="Q47">
        <v>89.621428571428581</v>
      </c>
      <c r="R47">
        <v>-3.230464836706076</v>
      </c>
      <c r="S47">
        <v>113</v>
      </c>
      <c r="T47">
        <v>0</v>
      </c>
      <c r="U47">
        <v>38.236842105263158</v>
      </c>
      <c r="V47">
        <v>264</v>
      </c>
      <c r="W47">
        <v>0</v>
      </c>
      <c r="X47">
        <v>42.251824817518248</v>
      </c>
      <c r="Y47">
        <v>264</v>
      </c>
      <c r="Z47">
        <v>0</v>
      </c>
      <c r="AA47">
        <v>77.646715328467153</v>
      </c>
      <c r="AB47">
        <v>200</v>
      </c>
      <c r="AC47">
        <v>0</v>
      </c>
      <c r="AD47">
        <v>37</v>
      </c>
      <c r="AE47">
        <v>124</v>
      </c>
      <c r="AF47">
        <v>0</v>
      </c>
      <c r="AG47">
        <v>84.736842105263165</v>
      </c>
      <c r="AH47">
        <v>221.4</v>
      </c>
      <c r="AI47">
        <v>0</v>
      </c>
      <c r="AL47">
        <v>2427</v>
      </c>
      <c r="AM47">
        <v>892</v>
      </c>
      <c r="AN47">
        <v>3319</v>
      </c>
      <c r="AO47">
        <v>88</v>
      </c>
      <c r="AP47">
        <v>1316</v>
      </c>
    </row>
    <row r="48" spans="1:42" x14ac:dyDescent="0.3">
      <c r="A48" t="s">
        <v>1553</v>
      </c>
      <c r="B48" t="s">
        <v>24</v>
      </c>
      <c r="C48" t="s">
        <v>5</v>
      </c>
      <c r="D48" t="s">
        <v>122</v>
      </c>
      <c r="E48" t="s">
        <v>1007</v>
      </c>
      <c r="F48">
        <v>2024</v>
      </c>
      <c r="G48">
        <v>180</v>
      </c>
      <c r="H48">
        <v>2</v>
      </c>
      <c r="I48">
        <v>0</v>
      </c>
      <c r="J48">
        <v>5</v>
      </c>
      <c r="K48">
        <v>9</v>
      </c>
      <c r="L48" t="s">
        <v>1327</v>
      </c>
      <c r="M48">
        <v>36.08988764044944</v>
      </c>
      <c r="N48">
        <v>303</v>
      </c>
      <c r="O48">
        <v>0</v>
      </c>
      <c r="P48">
        <v>22.6</v>
      </c>
      <c r="Q48">
        <v>107.78</v>
      </c>
      <c r="R48">
        <v>-13.489887640449441</v>
      </c>
      <c r="S48">
        <v>79</v>
      </c>
      <c r="T48">
        <v>5</v>
      </c>
      <c r="U48">
        <v>37.163636363636357</v>
      </c>
      <c r="V48">
        <v>303</v>
      </c>
      <c r="W48">
        <v>0</v>
      </c>
      <c r="X48">
        <v>28.189024390243901</v>
      </c>
      <c r="Y48">
        <v>121</v>
      </c>
      <c r="Z48">
        <v>0</v>
      </c>
      <c r="AA48">
        <v>116.45060975609761</v>
      </c>
      <c r="AB48">
        <v>274.39999999999998</v>
      </c>
      <c r="AC48">
        <v>0</v>
      </c>
      <c r="AD48">
        <v>37.180327868852459</v>
      </c>
      <c r="AE48">
        <v>140</v>
      </c>
      <c r="AF48">
        <v>0</v>
      </c>
      <c r="AG48">
        <v>82.911475409836058</v>
      </c>
      <c r="AH48">
        <v>224.4</v>
      </c>
      <c r="AI48">
        <v>0</v>
      </c>
      <c r="AJ48">
        <v>149</v>
      </c>
      <c r="AK48">
        <v>185.3</v>
      </c>
      <c r="AL48">
        <v>2425</v>
      </c>
      <c r="AM48">
        <v>892</v>
      </c>
      <c r="AN48">
        <v>3317</v>
      </c>
      <c r="AO48">
        <v>14</v>
      </c>
      <c r="AP48">
        <v>633</v>
      </c>
    </row>
    <row r="49" spans="1:42" x14ac:dyDescent="0.3">
      <c r="A49" t="s">
        <v>1175</v>
      </c>
      <c r="B49" t="s">
        <v>76</v>
      </c>
      <c r="C49" t="s">
        <v>5</v>
      </c>
      <c r="D49" t="s">
        <v>124</v>
      </c>
      <c r="E49" t="s">
        <v>1007</v>
      </c>
      <c r="F49">
        <v>2024</v>
      </c>
      <c r="G49">
        <v>146.19999999999999</v>
      </c>
      <c r="H49">
        <v>6</v>
      </c>
      <c r="I49">
        <v>2</v>
      </c>
      <c r="J49">
        <v>39</v>
      </c>
      <c r="K49">
        <v>57</v>
      </c>
      <c r="L49" t="s">
        <v>979</v>
      </c>
      <c r="M49">
        <v>36.060478199718709</v>
      </c>
      <c r="N49">
        <v>303</v>
      </c>
      <c r="O49">
        <v>0</v>
      </c>
      <c r="P49">
        <v>57</v>
      </c>
      <c r="Q49">
        <v>146.19999999999999</v>
      </c>
      <c r="R49">
        <v>20.939521800281291</v>
      </c>
      <c r="S49">
        <v>57</v>
      </c>
      <c r="T49">
        <v>57</v>
      </c>
      <c r="U49">
        <v>48.215686274509807</v>
      </c>
      <c r="V49">
        <v>187</v>
      </c>
      <c r="W49">
        <v>0</v>
      </c>
      <c r="X49">
        <v>28.189024390243901</v>
      </c>
      <c r="Y49">
        <v>121</v>
      </c>
      <c r="Z49">
        <v>0</v>
      </c>
      <c r="AA49">
        <v>116.45060975609761</v>
      </c>
      <c r="AB49">
        <v>274.39999999999998</v>
      </c>
      <c r="AC49">
        <v>0</v>
      </c>
      <c r="AD49">
        <v>37.180327868852459</v>
      </c>
      <c r="AE49">
        <v>140</v>
      </c>
      <c r="AF49">
        <v>0</v>
      </c>
      <c r="AG49">
        <v>82.911475409836058</v>
      </c>
      <c r="AH49">
        <v>224.4</v>
      </c>
      <c r="AI49">
        <v>0</v>
      </c>
      <c r="AJ49">
        <v>115</v>
      </c>
      <c r="AK49">
        <v>216.75</v>
      </c>
      <c r="AL49">
        <v>2419</v>
      </c>
      <c r="AM49">
        <v>890</v>
      </c>
      <c r="AN49">
        <v>3309</v>
      </c>
      <c r="AP49">
        <v>625</v>
      </c>
    </row>
    <row r="50" spans="1:42" x14ac:dyDescent="0.3">
      <c r="A50" t="s">
        <v>1067</v>
      </c>
      <c r="B50" t="s">
        <v>32</v>
      </c>
      <c r="C50" t="s">
        <v>5</v>
      </c>
      <c r="D50" t="s">
        <v>126</v>
      </c>
      <c r="E50" t="s">
        <v>1007</v>
      </c>
      <c r="F50">
        <v>2024</v>
      </c>
      <c r="G50">
        <v>224.4</v>
      </c>
      <c r="H50">
        <v>7</v>
      </c>
      <c r="I50">
        <v>8</v>
      </c>
      <c r="J50">
        <v>41</v>
      </c>
      <c r="K50">
        <v>92</v>
      </c>
      <c r="L50" t="s">
        <v>979</v>
      </c>
      <c r="M50">
        <v>35.981690140845068</v>
      </c>
      <c r="N50">
        <v>303</v>
      </c>
      <c r="O50">
        <v>0</v>
      </c>
      <c r="P50">
        <v>51</v>
      </c>
      <c r="Q50">
        <v>133.6166666666667</v>
      </c>
      <c r="R50">
        <v>15.018309859154931</v>
      </c>
      <c r="S50">
        <v>92</v>
      </c>
      <c r="T50">
        <v>11</v>
      </c>
      <c r="U50">
        <v>44.710843373493979</v>
      </c>
      <c r="V50">
        <v>209</v>
      </c>
      <c r="W50">
        <v>0</v>
      </c>
      <c r="X50">
        <v>28.189024390243901</v>
      </c>
      <c r="Y50">
        <v>121</v>
      </c>
      <c r="Z50">
        <v>0</v>
      </c>
      <c r="AA50">
        <v>116.45060975609761</v>
      </c>
      <c r="AB50">
        <v>274.39999999999998</v>
      </c>
      <c r="AC50">
        <v>0</v>
      </c>
      <c r="AD50">
        <v>37.180327868852459</v>
      </c>
      <c r="AE50">
        <v>140</v>
      </c>
      <c r="AF50">
        <v>0</v>
      </c>
      <c r="AG50">
        <v>82.911475409836058</v>
      </c>
      <c r="AH50">
        <v>224.4</v>
      </c>
      <c r="AI50">
        <v>0</v>
      </c>
      <c r="AJ50">
        <v>31</v>
      </c>
      <c r="AK50">
        <v>135.30000000000001</v>
      </c>
      <c r="AL50">
        <v>2412</v>
      </c>
      <c r="AM50">
        <v>882</v>
      </c>
      <c r="AN50">
        <v>3294</v>
      </c>
      <c r="AO50">
        <v>6</v>
      </c>
      <c r="AP50">
        <v>610</v>
      </c>
    </row>
    <row r="51" spans="1:42" x14ac:dyDescent="0.3">
      <c r="A51" t="s">
        <v>1390</v>
      </c>
      <c r="B51" t="s">
        <v>73</v>
      </c>
      <c r="C51" t="s">
        <v>5</v>
      </c>
      <c r="D51" t="s">
        <v>128</v>
      </c>
      <c r="E51" t="s">
        <v>1007</v>
      </c>
      <c r="F51">
        <v>2024</v>
      </c>
      <c r="G51">
        <v>209.1</v>
      </c>
      <c r="H51">
        <v>3</v>
      </c>
      <c r="I51">
        <v>1</v>
      </c>
      <c r="J51">
        <v>11</v>
      </c>
      <c r="K51">
        <v>23</v>
      </c>
      <c r="L51" t="s">
        <v>1327</v>
      </c>
      <c r="M51">
        <v>36</v>
      </c>
      <c r="N51">
        <v>303</v>
      </c>
      <c r="O51">
        <v>0</v>
      </c>
      <c r="P51">
        <v>49.333333333333343</v>
      </c>
      <c r="Q51">
        <v>128.8666666666667</v>
      </c>
      <c r="R51">
        <v>13.333333333333339</v>
      </c>
      <c r="S51">
        <v>86</v>
      </c>
      <c r="T51">
        <v>23</v>
      </c>
      <c r="U51">
        <v>38.228571428571428</v>
      </c>
      <c r="V51">
        <v>137</v>
      </c>
      <c r="W51">
        <v>0</v>
      </c>
      <c r="X51">
        <v>28.189024390243901</v>
      </c>
      <c r="Y51">
        <v>121</v>
      </c>
      <c r="Z51">
        <v>0</v>
      </c>
      <c r="AA51">
        <v>116.45060975609761</v>
      </c>
      <c r="AB51">
        <v>274.39999999999998</v>
      </c>
      <c r="AC51">
        <v>0</v>
      </c>
      <c r="AD51">
        <v>37.180327868852459</v>
      </c>
      <c r="AE51">
        <v>140</v>
      </c>
      <c r="AF51">
        <v>0</v>
      </c>
      <c r="AG51">
        <v>82.911475409836058</v>
      </c>
      <c r="AH51">
        <v>224.4</v>
      </c>
      <c r="AI51">
        <v>0</v>
      </c>
      <c r="AJ51">
        <v>8</v>
      </c>
      <c r="AK51">
        <v>61.5</v>
      </c>
      <c r="AL51">
        <v>2409</v>
      </c>
      <c r="AM51">
        <v>881</v>
      </c>
      <c r="AN51">
        <v>3290</v>
      </c>
      <c r="AO51">
        <v>8</v>
      </c>
      <c r="AP51">
        <v>606</v>
      </c>
    </row>
    <row r="52" spans="1:42" x14ac:dyDescent="0.3">
      <c r="A52" t="s">
        <v>1571</v>
      </c>
      <c r="B52" t="s">
        <v>130</v>
      </c>
      <c r="C52" t="s">
        <v>5</v>
      </c>
      <c r="D52" t="s">
        <v>122</v>
      </c>
      <c r="E52" t="s">
        <v>1007</v>
      </c>
      <c r="F52">
        <v>2024</v>
      </c>
      <c r="G52">
        <v>61.5</v>
      </c>
      <c r="H52">
        <v>1</v>
      </c>
      <c r="I52">
        <v>0</v>
      </c>
      <c r="J52">
        <v>13</v>
      </c>
      <c r="K52">
        <v>8</v>
      </c>
      <c r="L52" t="s">
        <v>1327</v>
      </c>
      <c r="M52">
        <v>36.039548022598872</v>
      </c>
      <c r="N52">
        <v>303</v>
      </c>
      <c r="O52">
        <v>0</v>
      </c>
      <c r="P52">
        <v>22.6</v>
      </c>
      <c r="Q52">
        <v>107.78</v>
      </c>
      <c r="R52">
        <v>-13.439548022598871</v>
      </c>
      <c r="S52">
        <v>79</v>
      </c>
      <c r="T52">
        <v>5</v>
      </c>
      <c r="U52">
        <v>43.25</v>
      </c>
      <c r="V52">
        <v>131</v>
      </c>
      <c r="W52">
        <v>0</v>
      </c>
      <c r="X52">
        <v>28.189024390243901</v>
      </c>
      <c r="Y52">
        <v>121</v>
      </c>
      <c r="Z52">
        <v>0</v>
      </c>
      <c r="AA52">
        <v>116.45060975609761</v>
      </c>
      <c r="AB52">
        <v>274.39999999999998</v>
      </c>
      <c r="AC52">
        <v>0</v>
      </c>
      <c r="AD52">
        <v>37.180327868852459</v>
      </c>
      <c r="AE52">
        <v>140</v>
      </c>
      <c r="AF52">
        <v>0</v>
      </c>
      <c r="AG52">
        <v>82.911475409836058</v>
      </c>
      <c r="AH52">
        <v>224.4</v>
      </c>
      <c r="AI52">
        <v>0</v>
      </c>
      <c r="AL52">
        <v>2408</v>
      </c>
      <c r="AM52">
        <v>881</v>
      </c>
      <c r="AN52">
        <v>3289</v>
      </c>
      <c r="AO52">
        <v>13</v>
      </c>
      <c r="AP52">
        <v>605</v>
      </c>
    </row>
    <row r="53" spans="1:42" x14ac:dyDescent="0.3">
      <c r="A53" t="s">
        <v>1669</v>
      </c>
      <c r="B53" t="s">
        <v>132</v>
      </c>
      <c r="C53" t="s">
        <v>5</v>
      </c>
      <c r="D53" t="s">
        <v>133</v>
      </c>
      <c r="E53" t="s">
        <v>1007</v>
      </c>
      <c r="F53">
        <v>2024</v>
      </c>
      <c r="G53">
        <v>50</v>
      </c>
      <c r="H53">
        <v>0</v>
      </c>
      <c r="I53">
        <v>0</v>
      </c>
      <c r="J53">
        <v>6</v>
      </c>
      <c r="K53">
        <v>3</v>
      </c>
      <c r="L53" t="s">
        <v>1327</v>
      </c>
      <c r="M53">
        <v>36.086280056577088</v>
      </c>
      <c r="N53">
        <v>303</v>
      </c>
      <c r="O53">
        <v>0</v>
      </c>
      <c r="P53">
        <v>22.666666666666671</v>
      </c>
      <c r="Q53">
        <v>99.600000000000009</v>
      </c>
      <c r="R53">
        <v>-13.41961338991042</v>
      </c>
      <c r="S53">
        <v>52</v>
      </c>
      <c r="T53">
        <v>3</v>
      </c>
      <c r="V53">
        <v>3</v>
      </c>
      <c r="W53">
        <v>3</v>
      </c>
      <c r="X53">
        <v>28.189024390243901</v>
      </c>
      <c r="Y53">
        <v>121</v>
      </c>
      <c r="Z53">
        <v>0</v>
      </c>
      <c r="AA53">
        <v>116.45060975609761</v>
      </c>
      <c r="AB53">
        <v>274.39999999999998</v>
      </c>
      <c r="AC53">
        <v>0</v>
      </c>
      <c r="AD53">
        <v>37.180327868852459</v>
      </c>
      <c r="AE53">
        <v>140</v>
      </c>
      <c r="AF53">
        <v>0</v>
      </c>
      <c r="AG53">
        <v>82.911475409836058</v>
      </c>
      <c r="AH53">
        <v>224.4</v>
      </c>
      <c r="AI53">
        <v>0</v>
      </c>
      <c r="AJ53">
        <v>13</v>
      </c>
      <c r="AK53">
        <v>108.3</v>
      </c>
      <c r="AL53">
        <v>2408</v>
      </c>
      <c r="AM53">
        <v>881</v>
      </c>
      <c r="AN53">
        <v>3289</v>
      </c>
      <c r="AO53">
        <v>9</v>
      </c>
      <c r="AP53">
        <v>605</v>
      </c>
    </row>
    <row r="54" spans="1:42" x14ac:dyDescent="0.3">
      <c r="A54" t="s">
        <v>1488</v>
      </c>
      <c r="B54" t="s">
        <v>71</v>
      </c>
      <c r="C54" t="s">
        <v>5</v>
      </c>
      <c r="D54" t="s">
        <v>133</v>
      </c>
      <c r="E54" t="s">
        <v>1007</v>
      </c>
      <c r="F54">
        <v>2024</v>
      </c>
      <c r="G54">
        <v>108.3</v>
      </c>
      <c r="H54">
        <v>1</v>
      </c>
      <c r="I54">
        <v>1</v>
      </c>
      <c r="J54">
        <v>12</v>
      </c>
      <c r="K54">
        <v>13</v>
      </c>
      <c r="L54" t="s">
        <v>1327</v>
      </c>
      <c r="M54">
        <v>36.118980169971671</v>
      </c>
      <c r="N54">
        <v>303</v>
      </c>
      <c r="O54">
        <v>0</v>
      </c>
      <c r="P54">
        <v>22.666666666666671</v>
      </c>
      <c r="Q54">
        <v>99.600000000000009</v>
      </c>
      <c r="R54">
        <v>-13.452313503305</v>
      </c>
      <c r="S54">
        <v>52</v>
      </c>
      <c r="T54">
        <v>3</v>
      </c>
      <c r="U54">
        <v>33.333333333333343</v>
      </c>
      <c r="V54">
        <v>140</v>
      </c>
      <c r="W54">
        <v>0</v>
      </c>
      <c r="X54">
        <v>28.189024390243901</v>
      </c>
      <c r="Y54">
        <v>121</v>
      </c>
      <c r="Z54">
        <v>0</v>
      </c>
      <c r="AA54">
        <v>116.45060975609761</v>
      </c>
      <c r="AB54">
        <v>274.39999999999998</v>
      </c>
      <c r="AC54">
        <v>0</v>
      </c>
      <c r="AD54">
        <v>37.180327868852459</v>
      </c>
      <c r="AE54">
        <v>140</v>
      </c>
      <c r="AF54">
        <v>0</v>
      </c>
      <c r="AG54">
        <v>82.911475409836058</v>
      </c>
      <c r="AH54">
        <v>224.4</v>
      </c>
      <c r="AI54">
        <v>0</v>
      </c>
      <c r="AJ54">
        <v>52</v>
      </c>
      <c r="AK54">
        <v>140.5</v>
      </c>
      <c r="AL54">
        <v>2407</v>
      </c>
      <c r="AM54">
        <v>880</v>
      </c>
      <c r="AN54">
        <v>3287</v>
      </c>
      <c r="AO54">
        <v>7</v>
      </c>
      <c r="AP54">
        <v>603</v>
      </c>
    </row>
    <row r="55" spans="1:42" x14ac:dyDescent="0.3">
      <c r="A55" t="s">
        <v>1203</v>
      </c>
      <c r="B55" t="s">
        <v>135</v>
      </c>
      <c r="C55" t="s">
        <v>5</v>
      </c>
      <c r="D55" t="s">
        <v>133</v>
      </c>
      <c r="E55" t="s">
        <v>1007</v>
      </c>
      <c r="F55">
        <v>2024</v>
      </c>
      <c r="G55">
        <v>140.5</v>
      </c>
      <c r="H55">
        <v>4</v>
      </c>
      <c r="I55">
        <v>3</v>
      </c>
      <c r="J55">
        <v>37</v>
      </c>
      <c r="K55">
        <v>52</v>
      </c>
      <c r="L55" t="s">
        <v>979</v>
      </c>
      <c r="M55">
        <v>36.096453900709221</v>
      </c>
      <c r="N55">
        <v>303</v>
      </c>
      <c r="O55">
        <v>0</v>
      </c>
      <c r="P55">
        <v>22.666666666666671</v>
      </c>
      <c r="Q55">
        <v>99.600000000000009</v>
      </c>
      <c r="R55">
        <v>-13.42978723404255</v>
      </c>
      <c r="S55">
        <v>52</v>
      </c>
      <c r="T55">
        <v>3</v>
      </c>
      <c r="U55">
        <v>53.25</v>
      </c>
      <c r="V55">
        <v>97</v>
      </c>
      <c r="W55">
        <v>0</v>
      </c>
      <c r="X55">
        <v>28.189024390243901</v>
      </c>
      <c r="Y55">
        <v>121</v>
      </c>
      <c r="Z55">
        <v>0</v>
      </c>
      <c r="AA55">
        <v>116.45060975609761</v>
      </c>
      <c r="AB55">
        <v>274.39999999999998</v>
      </c>
      <c r="AC55">
        <v>0</v>
      </c>
      <c r="AD55">
        <v>37.180327868852459</v>
      </c>
      <c r="AE55">
        <v>140</v>
      </c>
      <c r="AF55">
        <v>0</v>
      </c>
      <c r="AG55">
        <v>82.911475409836058</v>
      </c>
      <c r="AH55">
        <v>224.4</v>
      </c>
      <c r="AI55">
        <v>0</v>
      </c>
      <c r="AL55">
        <v>2403</v>
      </c>
      <c r="AM55">
        <v>877</v>
      </c>
      <c r="AN55">
        <v>3280</v>
      </c>
      <c r="AP55">
        <v>596</v>
      </c>
    </row>
    <row r="56" spans="1:42" x14ac:dyDescent="0.3">
      <c r="A56" t="s">
        <v>1125</v>
      </c>
      <c r="B56" t="s">
        <v>51</v>
      </c>
      <c r="C56" t="s">
        <v>1043</v>
      </c>
      <c r="D56" t="s">
        <v>12</v>
      </c>
      <c r="E56" t="s">
        <v>1036</v>
      </c>
      <c r="F56">
        <v>2024</v>
      </c>
      <c r="G56">
        <v>178.9</v>
      </c>
      <c r="H56">
        <v>10</v>
      </c>
      <c r="I56">
        <v>3</v>
      </c>
      <c r="J56">
        <v>38</v>
      </c>
      <c r="K56">
        <v>68</v>
      </c>
      <c r="L56" t="s">
        <v>979</v>
      </c>
      <c r="M56">
        <v>36.051136363636367</v>
      </c>
      <c r="N56">
        <v>303</v>
      </c>
      <c r="O56">
        <v>0</v>
      </c>
      <c r="P56">
        <v>31.203883495145629</v>
      </c>
      <c r="Q56">
        <v>120.5689320388349</v>
      </c>
      <c r="R56">
        <v>-4.8472528684907346</v>
      </c>
      <c r="S56">
        <v>162</v>
      </c>
      <c r="T56">
        <v>0</v>
      </c>
      <c r="U56">
        <v>27.5</v>
      </c>
      <c r="V56">
        <v>68</v>
      </c>
      <c r="W56">
        <v>4</v>
      </c>
      <c r="X56">
        <v>26.556862745098041</v>
      </c>
      <c r="Y56">
        <v>109</v>
      </c>
      <c r="Z56">
        <v>0</v>
      </c>
      <c r="AA56">
        <v>114.6301960784314</v>
      </c>
      <c r="AB56">
        <v>350</v>
      </c>
      <c r="AC56">
        <v>0</v>
      </c>
      <c r="AD56">
        <v>26.732758620689651</v>
      </c>
      <c r="AE56">
        <v>114</v>
      </c>
      <c r="AF56">
        <v>0</v>
      </c>
      <c r="AG56">
        <v>115.31896551724139</v>
      </c>
      <c r="AH56">
        <v>350</v>
      </c>
      <c r="AI56">
        <v>0</v>
      </c>
      <c r="AL56">
        <v>2393</v>
      </c>
      <c r="AM56">
        <v>874</v>
      </c>
      <c r="AN56">
        <v>3267</v>
      </c>
      <c r="AO56">
        <v>397</v>
      </c>
      <c r="AP56">
        <v>819</v>
      </c>
    </row>
    <row r="57" spans="1:42" x14ac:dyDescent="0.3">
      <c r="A57" t="s">
        <v>1422</v>
      </c>
      <c r="B57" t="s">
        <v>11</v>
      </c>
      <c r="C57" t="s">
        <v>1043</v>
      </c>
      <c r="D57" t="s">
        <v>139</v>
      </c>
      <c r="E57" t="s">
        <v>1036</v>
      </c>
      <c r="F57">
        <v>2024</v>
      </c>
      <c r="G57">
        <v>79.2</v>
      </c>
      <c r="H57">
        <v>1</v>
      </c>
      <c r="I57">
        <v>1</v>
      </c>
      <c r="J57">
        <v>24</v>
      </c>
      <c r="K57">
        <v>19</v>
      </c>
      <c r="L57" t="s">
        <v>1327</v>
      </c>
      <c r="M57">
        <v>36.075391180654343</v>
      </c>
      <c r="N57">
        <v>303</v>
      </c>
      <c r="O57">
        <v>0</v>
      </c>
      <c r="P57">
        <v>45.666666666666657</v>
      </c>
      <c r="Q57">
        <v>104.1166666666667</v>
      </c>
      <c r="R57">
        <v>9.5912754860123286</v>
      </c>
      <c r="S57">
        <v>264</v>
      </c>
      <c r="T57">
        <v>0</v>
      </c>
      <c r="U57">
        <v>31.852941176470591</v>
      </c>
      <c r="V57">
        <v>109</v>
      </c>
      <c r="W57">
        <v>0</v>
      </c>
      <c r="X57">
        <v>26.556862745098041</v>
      </c>
      <c r="Y57">
        <v>109</v>
      </c>
      <c r="Z57">
        <v>0</v>
      </c>
      <c r="AA57">
        <v>114.6301960784314</v>
      </c>
      <c r="AB57">
        <v>350</v>
      </c>
      <c r="AC57">
        <v>0</v>
      </c>
      <c r="AD57">
        <v>26.732758620689651</v>
      </c>
      <c r="AE57">
        <v>114</v>
      </c>
      <c r="AF57">
        <v>0</v>
      </c>
      <c r="AG57">
        <v>115.31896551724139</v>
      </c>
      <c r="AH57">
        <v>350</v>
      </c>
      <c r="AI57">
        <v>0</v>
      </c>
      <c r="AJ57">
        <v>4</v>
      </c>
      <c r="AK57">
        <v>80</v>
      </c>
      <c r="AL57">
        <v>2392</v>
      </c>
      <c r="AM57">
        <v>873</v>
      </c>
      <c r="AN57">
        <v>3265</v>
      </c>
      <c r="AO57">
        <v>181</v>
      </c>
      <c r="AP57">
        <v>817</v>
      </c>
    </row>
    <row r="58" spans="1:42" x14ac:dyDescent="0.3">
      <c r="A58" t="s">
        <v>1644</v>
      </c>
      <c r="B58" t="s">
        <v>53</v>
      </c>
      <c r="C58" t="s">
        <v>1043</v>
      </c>
      <c r="D58" t="s">
        <v>12</v>
      </c>
      <c r="E58" t="s">
        <v>1036</v>
      </c>
      <c r="F58">
        <v>2024</v>
      </c>
      <c r="G58">
        <v>80</v>
      </c>
      <c r="H58">
        <v>1</v>
      </c>
      <c r="I58">
        <v>0</v>
      </c>
      <c r="J58">
        <v>5</v>
      </c>
      <c r="K58">
        <v>4</v>
      </c>
      <c r="L58" t="s">
        <v>1327</v>
      </c>
      <c r="M58">
        <v>36.121082621082621</v>
      </c>
      <c r="N58">
        <v>303</v>
      </c>
      <c r="O58">
        <v>0</v>
      </c>
      <c r="P58">
        <v>31.203883495145629</v>
      </c>
      <c r="Q58">
        <v>120.5689320388349</v>
      </c>
      <c r="R58">
        <v>-4.9171991259369889</v>
      </c>
      <c r="S58">
        <v>162</v>
      </c>
      <c r="T58">
        <v>0</v>
      </c>
      <c r="U58">
        <v>19.375</v>
      </c>
      <c r="V58">
        <v>70</v>
      </c>
      <c r="W58">
        <v>1</v>
      </c>
      <c r="X58">
        <v>26.556862745098041</v>
      </c>
      <c r="Y58">
        <v>109</v>
      </c>
      <c r="Z58">
        <v>0</v>
      </c>
      <c r="AA58">
        <v>114.6301960784314</v>
      </c>
      <c r="AB58">
        <v>350</v>
      </c>
      <c r="AC58">
        <v>0</v>
      </c>
      <c r="AD58">
        <v>26.732758620689651</v>
      </c>
      <c r="AE58">
        <v>114</v>
      </c>
      <c r="AF58">
        <v>0</v>
      </c>
      <c r="AG58">
        <v>115.31896551724139</v>
      </c>
      <c r="AH58">
        <v>350</v>
      </c>
      <c r="AI58">
        <v>0</v>
      </c>
      <c r="AJ58">
        <v>11</v>
      </c>
      <c r="AK58">
        <v>91.7</v>
      </c>
      <c r="AL58">
        <v>2391</v>
      </c>
      <c r="AM58">
        <v>873</v>
      </c>
      <c r="AN58">
        <v>3264</v>
      </c>
      <c r="AO58">
        <v>396</v>
      </c>
      <c r="AP58">
        <v>816</v>
      </c>
    </row>
    <row r="59" spans="1:42" x14ac:dyDescent="0.3">
      <c r="A59" t="s">
        <v>1518</v>
      </c>
      <c r="B59" t="s">
        <v>11</v>
      </c>
      <c r="C59" t="s">
        <v>1043</v>
      </c>
      <c r="D59" t="s">
        <v>12</v>
      </c>
      <c r="E59" t="s">
        <v>1036</v>
      </c>
      <c r="F59">
        <v>2024</v>
      </c>
      <c r="G59">
        <v>91.7</v>
      </c>
      <c r="H59">
        <v>0</v>
      </c>
      <c r="I59">
        <v>1</v>
      </c>
      <c r="J59">
        <v>12</v>
      </c>
      <c r="K59">
        <v>11</v>
      </c>
      <c r="L59" t="s">
        <v>1327</v>
      </c>
      <c r="M59">
        <v>36.156918687589162</v>
      </c>
      <c r="N59">
        <v>303</v>
      </c>
      <c r="O59">
        <v>0</v>
      </c>
      <c r="P59">
        <v>31.203883495145629</v>
      </c>
      <c r="Q59">
        <v>120.5689320388349</v>
      </c>
      <c r="R59">
        <v>-4.9530351924435294</v>
      </c>
      <c r="S59">
        <v>162</v>
      </c>
      <c r="T59">
        <v>0</v>
      </c>
      <c r="U59">
        <v>31.852941176470591</v>
      </c>
      <c r="V59">
        <v>109</v>
      </c>
      <c r="W59">
        <v>0</v>
      </c>
      <c r="X59">
        <v>26.556862745098041</v>
      </c>
      <c r="Y59">
        <v>109</v>
      </c>
      <c r="Z59">
        <v>0</v>
      </c>
      <c r="AA59">
        <v>114.6301960784314</v>
      </c>
      <c r="AB59">
        <v>350</v>
      </c>
      <c r="AC59">
        <v>0</v>
      </c>
      <c r="AD59">
        <v>26.732758620689651</v>
      </c>
      <c r="AE59">
        <v>114</v>
      </c>
      <c r="AF59">
        <v>0</v>
      </c>
      <c r="AG59">
        <v>115.31896551724139</v>
      </c>
      <c r="AH59">
        <v>350</v>
      </c>
      <c r="AI59">
        <v>0</v>
      </c>
      <c r="AJ59">
        <v>4</v>
      </c>
      <c r="AK59">
        <v>80</v>
      </c>
      <c r="AL59">
        <v>2391</v>
      </c>
      <c r="AM59">
        <v>872</v>
      </c>
      <c r="AN59">
        <v>3263</v>
      </c>
      <c r="AO59">
        <v>395</v>
      </c>
      <c r="AP59">
        <v>815</v>
      </c>
    </row>
    <row r="60" spans="1:42" x14ac:dyDescent="0.3">
      <c r="A60" t="s">
        <v>1645</v>
      </c>
      <c r="B60" t="s">
        <v>51</v>
      </c>
      <c r="C60" t="s">
        <v>1043</v>
      </c>
      <c r="D60" t="s">
        <v>142</v>
      </c>
      <c r="E60" t="s">
        <v>1047</v>
      </c>
      <c r="F60">
        <v>2024</v>
      </c>
      <c r="G60">
        <v>80</v>
      </c>
      <c r="H60">
        <v>1</v>
      </c>
      <c r="I60">
        <v>0</v>
      </c>
      <c r="J60">
        <v>5</v>
      </c>
      <c r="K60">
        <v>4</v>
      </c>
      <c r="L60" t="s">
        <v>1327</v>
      </c>
      <c r="M60">
        <v>36.202857142857141</v>
      </c>
      <c r="N60">
        <v>303</v>
      </c>
      <c r="O60">
        <v>0</v>
      </c>
      <c r="P60">
        <v>56.6</v>
      </c>
      <c r="Q60">
        <v>126.72</v>
      </c>
      <c r="R60">
        <v>20.39714285714286</v>
      </c>
      <c r="S60">
        <v>111</v>
      </c>
      <c r="T60">
        <v>4</v>
      </c>
      <c r="U60">
        <v>27.5</v>
      </c>
      <c r="V60">
        <v>68</v>
      </c>
      <c r="W60">
        <v>4</v>
      </c>
      <c r="X60">
        <v>26.556862745098041</v>
      </c>
      <c r="Y60">
        <v>109</v>
      </c>
      <c r="Z60">
        <v>0</v>
      </c>
      <c r="AA60">
        <v>114.6301960784314</v>
      </c>
      <c r="AB60">
        <v>350</v>
      </c>
      <c r="AC60">
        <v>0</v>
      </c>
      <c r="AD60">
        <v>27.9758064516129</v>
      </c>
      <c r="AE60">
        <v>105</v>
      </c>
      <c r="AF60">
        <v>0</v>
      </c>
      <c r="AG60">
        <v>110.46935483870971</v>
      </c>
      <c r="AH60">
        <v>280</v>
      </c>
      <c r="AI60">
        <v>0</v>
      </c>
      <c r="AJ60">
        <v>8</v>
      </c>
      <c r="AK60">
        <v>100</v>
      </c>
      <c r="AL60">
        <v>2390</v>
      </c>
      <c r="AM60">
        <v>872</v>
      </c>
      <c r="AN60">
        <v>3262</v>
      </c>
      <c r="AO60">
        <v>35</v>
      </c>
      <c r="AP60">
        <v>814</v>
      </c>
    </row>
    <row r="61" spans="1:42" x14ac:dyDescent="0.3">
      <c r="A61" t="s">
        <v>1572</v>
      </c>
      <c r="B61" t="s">
        <v>8</v>
      </c>
      <c r="C61" t="s">
        <v>1043</v>
      </c>
      <c r="D61" t="s">
        <v>9</v>
      </c>
      <c r="E61" t="s">
        <v>1047</v>
      </c>
      <c r="F61">
        <v>2024</v>
      </c>
      <c r="G61">
        <v>100</v>
      </c>
      <c r="H61">
        <v>1</v>
      </c>
      <c r="I61">
        <v>0</v>
      </c>
      <c r="J61">
        <v>8</v>
      </c>
      <c r="K61">
        <v>8</v>
      </c>
      <c r="L61" t="s">
        <v>1327</v>
      </c>
      <c r="M61">
        <v>36.243204577968527</v>
      </c>
      <c r="N61">
        <v>303</v>
      </c>
      <c r="O61">
        <v>0</v>
      </c>
      <c r="P61">
        <v>38.36</v>
      </c>
      <c r="Q61">
        <v>122.748</v>
      </c>
      <c r="R61">
        <v>2.1167954220314731</v>
      </c>
      <c r="S61">
        <v>131</v>
      </c>
      <c r="T61">
        <v>1</v>
      </c>
      <c r="U61">
        <v>28.567567567567568</v>
      </c>
      <c r="V61">
        <v>74</v>
      </c>
      <c r="W61">
        <v>0</v>
      </c>
      <c r="X61">
        <v>26.556862745098041</v>
      </c>
      <c r="Y61">
        <v>109</v>
      </c>
      <c r="Z61">
        <v>0</v>
      </c>
      <c r="AA61">
        <v>114.6301960784314</v>
      </c>
      <c r="AB61">
        <v>350</v>
      </c>
      <c r="AC61">
        <v>0</v>
      </c>
      <c r="AD61">
        <v>27.9758064516129</v>
      </c>
      <c r="AE61">
        <v>105</v>
      </c>
      <c r="AF61">
        <v>0</v>
      </c>
      <c r="AG61">
        <v>110.46935483870971</v>
      </c>
      <c r="AH61">
        <v>280</v>
      </c>
      <c r="AI61">
        <v>0</v>
      </c>
      <c r="AJ61">
        <v>6</v>
      </c>
      <c r="AK61">
        <v>120</v>
      </c>
      <c r="AL61">
        <v>2389</v>
      </c>
      <c r="AM61">
        <v>872</v>
      </c>
      <c r="AN61">
        <v>3261</v>
      </c>
      <c r="AO61">
        <v>114</v>
      </c>
      <c r="AP61">
        <v>813</v>
      </c>
    </row>
    <row r="62" spans="1:42" x14ac:dyDescent="0.3">
      <c r="A62" t="s">
        <v>1605</v>
      </c>
      <c r="B62" t="s">
        <v>4</v>
      </c>
      <c r="C62" t="s">
        <v>1043</v>
      </c>
      <c r="D62" t="s">
        <v>46</v>
      </c>
      <c r="E62" t="s">
        <v>1047</v>
      </c>
      <c r="F62">
        <v>2024</v>
      </c>
      <c r="G62">
        <v>120</v>
      </c>
      <c r="H62">
        <v>1</v>
      </c>
      <c r="I62">
        <v>0</v>
      </c>
      <c r="J62">
        <v>5</v>
      </c>
      <c r="K62">
        <v>6</v>
      </c>
      <c r="L62" t="s">
        <v>1327</v>
      </c>
      <c r="M62">
        <v>36.286532951289402</v>
      </c>
      <c r="N62">
        <v>303</v>
      </c>
      <c r="O62">
        <v>0</v>
      </c>
      <c r="P62">
        <v>31.72727272727273</v>
      </c>
      <c r="Q62">
        <v>85.109090909090909</v>
      </c>
      <c r="R62">
        <v>-4.5592602240166684</v>
      </c>
      <c r="S62">
        <v>141</v>
      </c>
      <c r="T62">
        <v>0</v>
      </c>
      <c r="U62">
        <v>20.68965517241379</v>
      </c>
      <c r="V62">
        <v>73</v>
      </c>
      <c r="W62">
        <v>0</v>
      </c>
      <c r="X62">
        <v>26.556862745098041</v>
      </c>
      <c r="Y62">
        <v>109</v>
      </c>
      <c r="Z62">
        <v>0</v>
      </c>
      <c r="AA62">
        <v>114.6301960784314</v>
      </c>
      <c r="AB62">
        <v>350</v>
      </c>
      <c r="AC62">
        <v>0</v>
      </c>
      <c r="AD62">
        <v>27.9758064516129</v>
      </c>
      <c r="AE62">
        <v>105</v>
      </c>
      <c r="AF62">
        <v>0</v>
      </c>
      <c r="AG62">
        <v>110.46935483870971</v>
      </c>
      <c r="AH62">
        <v>280</v>
      </c>
      <c r="AI62">
        <v>0</v>
      </c>
      <c r="AJ62">
        <v>36</v>
      </c>
      <c r="AK62">
        <v>144</v>
      </c>
      <c r="AL62">
        <v>2388</v>
      </c>
      <c r="AM62">
        <v>872</v>
      </c>
      <c r="AN62">
        <v>3260</v>
      </c>
      <c r="AO62">
        <v>34</v>
      </c>
      <c r="AP62">
        <v>812</v>
      </c>
    </row>
    <row r="63" spans="1:42" x14ac:dyDescent="0.3">
      <c r="A63" t="s">
        <v>1292</v>
      </c>
      <c r="B63" t="s">
        <v>40</v>
      </c>
      <c r="C63" t="s">
        <v>1043</v>
      </c>
      <c r="D63" t="s">
        <v>44</v>
      </c>
      <c r="E63" t="s">
        <v>1047</v>
      </c>
      <c r="F63">
        <v>2024</v>
      </c>
      <c r="G63">
        <v>144</v>
      </c>
      <c r="H63">
        <v>2</v>
      </c>
      <c r="I63">
        <v>3</v>
      </c>
      <c r="J63">
        <v>25</v>
      </c>
      <c r="K63">
        <v>36</v>
      </c>
      <c r="L63" t="s">
        <v>979</v>
      </c>
      <c r="M63">
        <v>36.286944045911049</v>
      </c>
      <c r="N63">
        <v>303</v>
      </c>
      <c r="O63">
        <v>0</v>
      </c>
      <c r="P63">
        <v>58.5</v>
      </c>
      <c r="Q63">
        <v>153</v>
      </c>
      <c r="R63">
        <v>22.213055954088951</v>
      </c>
      <c r="S63">
        <v>81</v>
      </c>
      <c r="T63">
        <v>36</v>
      </c>
      <c r="U63">
        <v>28.12903225806452</v>
      </c>
      <c r="V63">
        <v>79</v>
      </c>
      <c r="W63">
        <v>0</v>
      </c>
      <c r="X63">
        <v>26.556862745098041</v>
      </c>
      <c r="Y63">
        <v>109</v>
      </c>
      <c r="Z63">
        <v>0</v>
      </c>
      <c r="AA63">
        <v>114.6301960784314</v>
      </c>
      <c r="AB63">
        <v>350</v>
      </c>
      <c r="AC63">
        <v>0</v>
      </c>
      <c r="AD63">
        <v>27.9758064516129</v>
      </c>
      <c r="AE63">
        <v>105</v>
      </c>
      <c r="AF63">
        <v>0</v>
      </c>
      <c r="AG63">
        <v>110.46935483870971</v>
      </c>
      <c r="AH63">
        <v>280</v>
      </c>
      <c r="AI63">
        <v>0</v>
      </c>
      <c r="AJ63">
        <v>105</v>
      </c>
      <c r="AK63">
        <v>166.7</v>
      </c>
      <c r="AL63">
        <v>2386</v>
      </c>
      <c r="AM63">
        <v>869</v>
      </c>
      <c r="AN63">
        <v>3255</v>
      </c>
      <c r="AP63">
        <v>807</v>
      </c>
    </row>
    <row r="64" spans="1:42" x14ac:dyDescent="0.3">
      <c r="A64" t="s">
        <v>1046</v>
      </c>
      <c r="B64" t="s">
        <v>56</v>
      </c>
      <c r="C64" t="s">
        <v>1043</v>
      </c>
      <c r="D64" t="s">
        <v>12</v>
      </c>
      <c r="E64" t="s">
        <v>1047</v>
      </c>
      <c r="F64">
        <v>2024</v>
      </c>
      <c r="G64">
        <v>166.7</v>
      </c>
      <c r="H64">
        <v>11</v>
      </c>
      <c r="I64">
        <v>5</v>
      </c>
      <c r="J64">
        <v>63</v>
      </c>
      <c r="K64">
        <v>105</v>
      </c>
      <c r="L64" t="s">
        <v>979</v>
      </c>
      <c r="M64">
        <v>36.1882183908046</v>
      </c>
      <c r="N64">
        <v>303</v>
      </c>
      <c r="O64">
        <v>0</v>
      </c>
      <c r="P64">
        <v>31.203883495145629</v>
      </c>
      <c r="Q64">
        <v>120.5689320388349</v>
      </c>
      <c r="R64">
        <v>-4.9843348956589679</v>
      </c>
      <c r="S64">
        <v>162</v>
      </c>
      <c r="T64">
        <v>0</v>
      </c>
      <c r="U64">
        <v>25.6</v>
      </c>
      <c r="V64">
        <v>105</v>
      </c>
      <c r="W64">
        <v>0</v>
      </c>
      <c r="X64">
        <v>26.556862745098041</v>
      </c>
      <c r="Y64">
        <v>109</v>
      </c>
      <c r="Z64">
        <v>0</v>
      </c>
      <c r="AA64">
        <v>114.6301960784314</v>
      </c>
      <c r="AB64">
        <v>350</v>
      </c>
      <c r="AC64">
        <v>0</v>
      </c>
      <c r="AD64">
        <v>27.9758064516129</v>
      </c>
      <c r="AE64">
        <v>105</v>
      </c>
      <c r="AF64">
        <v>0</v>
      </c>
      <c r="AG64">
        <v>110.46935483870971</v>
      </c>
      <c r="AH64">
        <v>280</v>
      </c>
      <c r="AI64">
        <v>0</v>
      </c>
      <c r="AJ64">
        <v>38</v>
      </c>
      <c r="AK64">
        <v>158.30000000000001</v>
      </c>
      <c r="AL64">
        <v>2375</v>
      </c>
      <c r="AM64">
        <v>864</v>
      </c>
      <c r="AN64">
        <v>3239</v>
      </c>
      <c r="AO64">
        <v>379</v>
      </c>
      <c r="AP64">
        <v>791</v>
      </c>
    </row>
    <row r="65" spans="1:42" x14ac:dyDescent="0.3">
      <c r="A65" t="s">
        <v>1283</v>
      </c>
      <c r="B65" t="s">
        <v>60</v>
      </c>
      <c r="C65" t="s">
        <v>1043</v>
      </c>
      <c r="D65" t="s">
        <v>12</v>
      </c>
      <c r="E65" t="s">
        <v>1047</v>
      </c>
      <c r="F65">
        <v>2024</v>
      </c>
      <c r="G65">
        <v>158.30000000000001</v>
      </c>
      <c r="H65">
        <v>3</v>
      </c>
      <c r="I65">
        <v>3</v>
      </c>
      <c r="J65">
        <v>24</v>
      </c>
      <c r="K65">
        <v>38</v>
      </c>
      <c r="L65" t="s">
        <v>979</v>
      </c>
      <c r="M65">
        <v>36.185611510791368</v>
      </c>
      <c r="N65">
        <v>303</v>
      </c>
      <c r="O65">
        <v>0</v>
      </c>
      <c r="P65">
        <v>31.203883495145629</v>
      </c>
      <c r="Q65">
        <v>120.5689320388349</v>
      </c>
      <c r="R65">
        <v>-4.9817280156457358</v>
      </c>
      <c r="S65">
        <v>162</v>
      </c>
      <c r="T65">
        <v>0</v>
      </c>
      <c r="U65">
        <v>25.96875</v>
      </c>
      <c r="V65">
        <v>94</v>
      </c>
      <c r="W65">
        <v>0</v>
      </c>
      <c r="X65">
        <v>26.556862745098041</v>
      </c>
      <c r="Y65">
        <v>109</v>
      </c>
      <c r="Z65">
        <v>0</v>
      </c>
      <c r="AA65">
        <v>114.6301960784314</v>
      </c>
      <c r="AB65">
        <v>350</v>
      </c>
      <c r="AC65">
        <v>0</v>
      </c>
      <c r="AD65">
        <v>27.9758064516129</v>
      </c>
      <c r="AE65">
        <v>105</v>
      </c>
      <c r="AF65">
        <v>0</v>
      </c>
      <c r="AG65">
        <v>110.46935483870971</v>
      </c>
      <c r="AH65">
        <v>280</v>
      </c>
      <c r="AI65">
        <v>0</v>
      </c>
      <c r="AJ65">
        <v>49</v>
      </c>
      <c r="AK65">
        <v>181.5</v>
      </c>
      <c r="AL65">
        <v>2372</v>
      </c>
      <c r="AM65">
        <v>861</v>
      </c>
      <c r="AN65">
        <v>3233</v>
      </c>
      <c r="AO65">
        <v>373</v>
      </c>
      <c r="AP65">
        <v>785</v>
      </c>
    </row>
    <row r="66" spans="1:42" x14ac:dyDescent="0.3">
      <c r="A66" t="s">
        <v>1227</v>
      </c>
      <c r="B66" t="s">
        <v>8</v>
      </c>
      <c r="C66" t="s">
        <v>1043</v>
      </c>
      <c r="D66" t="s">
        <v>12</v>
      </c>
      <c r="E66" t="s">
        <v>1047</v>
      </c>
      <c r="F66">
        <v>2024</v>
      </c>
      <c r="G66">
        <v>181.5</v>
      </c>
      <c r="H66">
        <v>6</v>
      </c>
      <c r="I66">
        <v>3</v>
      </c>
      <c r="J66">
        <v>27</v>
      </c>
      <c r="K66">
        <v>49</v>
      </c>
      <c r="L66" t="s">
        <v>979</v>
      </c>
      <c r="M66">
        <v>36.1671469740634</v>
      </c>
      <c r="N66">
        <v>303</v>
      </c>
      <c r="O66">
        <v>0</v>
      </c>
      <c r="P66">
        <v>31.203883495145629</v>
      </c>
      <c r="Q66">
        <v>120.5689320388349</v>
      </c>
      <c r="R66">
        <v>-4.9632634789177672</v>
      </c>
      <c r="S66">
        <v>162</v>
      </c>
      <c r="T66">
        <v>0</v>
      </c>
      <c r="U66">
        <v>28.567567567567568</v>
      </c>
      <c r="V66">
        <v>74</v>
      </c>
      <c r="W66">
        <v>0</v>
      </c>
      <c r="X66">
        <v>26.556862745098041</v>
      </c>
      <c r="Y66">
        <v>109</v>
      </c>
      <c r="Z66">
        <v>0</v>
      </c>
      <c r="AA66">
        <v>114.6301960784314</v>
      </c>
      <c r="AB66">
        <v>350</v>
      </c>
      <c r="AC66">
        <v>0</v>
      </c>
      <c r="AD66">
        <v>27.9758064516129</v>
      </c>
      <c r="AE66">
        <v>105</v>
      </c>
      <c r="AF66">
        <v>0</v>
      </c>
      <c r="AG66">
        <v>110.46935483870971</v>
      </c>
      <c r="AH66">
        <v>280</v>
      </c>
      <c r="AI66">
        <v>0</v>
      </c>
      <c r="AL66">
        <v>2366</v>
      </c>
      <c r="AM66">
        <v>858</v>
      </c>
      <c r="AN66">
        <v>3224</v>
      </c>
      <c r="AO66">
        <v>364</v>
      </c>
      <c r="AP66">
        <v>776</v>
      </c>
    </row>
    <row r="67" spans="1:42" x14ac:dyDescent="0.3">
      <c r="A67" t="s">
        <v>1724</v>
      </c>
      <c r="B67" t="s">
        <v>4</v>
      </c>
      <c r="C67" t="s">
        <v>1043</v>
      </c>
      <c r="D67" t="s">
        <v>12</v>
      </c>
      <c r="E67" t="s">
        <v>1047</v>
      </c>
      <c r="F67">
        <v>2024</v>
      </c>
      <c r="G67">
        <v>0</v>
      </c>
      <c r="H67">
        <v>0</v>
      </c>
      <c r="I67">
        <v>0</v>
      </c>
      <c r="J67">
        <v>1</v>
      </c>
      <c r="K67">
        <v>0</v>
      </c>
      <c r="L67" t="s">
        <v>1327</v>
      </c>
      <c r="M67">
        <v>36.21933621933622</v>
      </c>
      <c r="N67">
        <v>303</v>
      </c>
      <c r="O67">
        <v>0</v>
      </c>
      <c r="P67">
        <v>31.203883495145629</v>
      </c>
      <c r="Q67">
        <v>120.5689320388349</v>
      </c>
      <c r="R67">
        <v>-5.0154527241905882</v>
      </c>
      <c r="S67">
        <v>162</v>
      </c>
      <c r="T67">
        <v>0</v>
      </c>
      <c r="U67">
        <v>20.68965517241379</v>
      </c>
      <c r="V67">
        <v>73</v>
      </c>
      <c r="W67">
        <v>0</v>
      </c>
      <c r="X67">
        <v>26.556862745098041</v>
      </c>
      <c r="Y67">
        <v>109</v>
      </c>
      <c r="Z67">
        <v>0</v>
      </c>
      <c r="AA67">
        <v>114.6301960784314</v>
      </c>
      <c r="AB67">
        <v>350</v>
      </c>
      <c r="AC67">
        <v>0</v>
      </c>
      <c r="AD67">
        <v>27.9758064516129</v>
      </c>
      <c r="AE67">
        <v>105</v>
      </c>
      <c r="AF67">
        <v>0</v>
      </c>
      <c r="AG67">
        <v>110.46935483870971</v>
      </c>
      <c r="AH67">
        <v>280</v>
      </c>
      <c r="AI67">
        <v>0</v>
      </c>
      <c r="AJ67">
        <v>26</v>
      </c>
      <c r="AK67">
        <v>216.7</v>
      </c>
      <c r="AL67">
        <v>2366</v>
      </c>
      <c r="AM67">
        <v>858</v>
      </c>
      <c r="AN67">
        <v>3224</v>
      </c>
      <c r="AO67">
        <v>364</v>
      </c>
      <c r="AP67">
        <v>776</v>
      </c>
    </row>
    <row r="68" spans="1:42" x14ac:dyDescent="0.3">
      <c r="A68" t="s">
        <v>1362</v>
      </c>
      <c r="B68" t="s">
        <v>53</v>
      </c>
      <c r="C68" t="s">
        <v>1043</v>
      </c>
      <c r="D68" t="s">
        <v>54</v>
      </c>
      <c r="E68" t="s">
        <v>1016</v>
      </c>
      <c r="F68">
        <v>2024</v>
      </c>
      <c r="G68">
        <v>216.7</v>
      </c>
      <c r="H68">
        <v>1</v>
      </c>
      <c r="I68">
        <v>3</v>
      </c>
      <c r="J68">
        <v>12</v>
      </c>
      <c r="K68">
        <v>26</v>
      </c>
      <c r="L68" t="s">
        <v>1327</v>
      </c>
      <c r="M68">
        <v>36.234104046242777</v>
      </c>
      <c r="N68">
        <v>303</v>
      </c>
      <c r="O68">
        <v>0</v>
      </c>
      <c r="P68">
        <v>30</v>
      </c>
      <c r="Q68">
        <v>129.072</v>
      </c>
      <c r="R68">
        <v>-6.234104046242777</v>
      </c>
      <c r="S68">
        <v>76</v>
      </c>
      <c r="T68">
        <v>1</v>
      </c>
      <c r="U68">
        <v>19.375</v>
      </c>
      <c r="V68">
        <v>70</v>
      </c>
      <c r="W68">
        <v>1</v>
      </c>
      <c r="X68">
        <v>26.556862745098041</v>
      </c>
      <c r="Y68">
        <v>109</v>
      </c>
      <c r="Z68">
        <v>0</v>
      </c>
      <c r="AA68">
        <v>114.6301960784314</v>
      </c>
      <c r="AB68">
        <v>350</v>
      </c>
      <c r="AC68">
        <v>0</v>
      </c>
      <c r="AD68">
        <v>34.313432835820898</v>
      </c>
      <c r="AE68">
        <v>137</v>
      </c>
      <c r="AF68">
        <v>0</v>
      </c>
      <c r="AG68">
        <v>101.9507462686567</v>
      </c>
      <c r="AH68">
        <v>216.7</v>
      </c>
      <c r="AI68">
        <v>0</v>
      </c>
      <c r="AJ68">
        <v>43</v>
      </c>
      <c r="AK68">
        <v>148.30000000000001</v>
      </c>
      <c r="AL68">
        <v>2365</v>
      </c>
      <c r="AM68">
        <v>855</v>
      </c>
      <c r="AN68">
        <v>3220</v>
      </c>
      <c r="AO68">
        <v>96</v>
      </c>
      <c r="AP68">
        <v>772</v>
      </c>
    </row>
    <row r="69" spans="1:42" x14ac:dyDescent="0.3">
      <c r="A69" t="s">
        <v>1253</v>
      </c>
      <c r="B69" t="s">
        <v>43</v>
      </c>
      <c r="C69" t="s">
        <v>1043</v>
      </c>
      <c r="D69" t="s">
        <v>41</v>
      </c>
      <c r="E69" t="s">
        <v>1016</v>
      </c>
      <c r="F69">
        <v>2024</v>
      </c>
      <c r="G69">
        <v>148.30000000000001</v>
      </c>
      <c r="H69">
        <v>7</v>
      </c>
      <c r="I69">
        <v>1</v>
      </c>
      <c r="J69">
        <v>29</v>
      </c>
      <c r="K69">
        <v>43</v>
      </c>
      <c r="L69" t="s">
        <v>979</v>
      </c>
      <c r="M69">
        <v>36.224312590448633</v>
      </c>
      <c r="N69">
        <v>303</v>
      </c>
      <c r="O69">
        <v>0</v>
      </c>
      <c r="P69">
        <v>34.043478260869563</v>
      </c>
      <c r="Q69">
        <v>108.0891304347826</v>
      </c>
      <c r="R69">
        <v>-2.180834329579064</v>
      </c>
      <c r="S69">
        <v>95</v>
      </c>
      <c r="T69">
        <v>0</v>
      </c>
      <c r="U69">
        <v>20</v>
      </c>
      <c r="V69">
        <v>81</v>
      </c>
      <c r="W69">
        <v>2</v>
      </c>
      <c r="X69">
        <v>26.556862745098041</v>
      </c>
      <c r="Y69">
        <v>109</v>
      </c>
      <c r="Z69">
        <v>0</v>
      </c>
      <c r="AA69">
        <v>114.6301960784314</v>
      </c>
      <c r="AB69">
        <v>350</v>
      </c>
      <c r="AC69">
        <v>0</v>
      </c>
      <c r="AD69">
        <v>34.313432835820898</v>
      </c>
      <c r="AE69">
        <v>137</v>
      </c>
      <c r="AF69">
        <v>0</v>
      </c>
      <c r="AG69">
        <v>101.9507462686567</v>
      </c>
      <c r="AH69">
        <v>216.7</v>
      </c>
      <c r="AI69">
        <v>0</v>
      </c>
      <c r="AL69">
        <v>2358</v>
      </c>
      <c r="AM69">
        <v>854</v>
      </c>
      <c r="AN69">
        <v>3212</v>
      </c>
      <c r="AO69">
        <v>100</v>
      </c>
      <c r="AP69">
        <v>764</v>
      </c>
    </row>
    <row r="70" spans="1:42" x14ac:dyDescent="0.3">
      <c r="A70" t="s">
        <v>1051</v>
      </c>
      <c r="B70" t="s">
        <v>76</v>
      </c>
      <c r="C70" t="s">
        <v>83</v>
      </c>
      <c r="D70" t="s">
        <v>154</v>
      </c>
      <c r="E70" t="s">
        <v>1016</v>
      </c>
      <c r="F70">
        <v>2024</v>
      </c>
      <c r="G70">
        <v>63.5</v>
      </c>
      <c r="H70">
        <v>13</v>
      </c>
      <c r="I70">
        <v>3</v>
      </c>
      <c r="J70">
        <v>185</v>
      </c>
      <c r="K70">
        <v>103</v>
      </c>
      <c r="L70" t="s">
        <v>979</v>
      </c>
      <c r="M70">
        <v>36.127536231884058</v>
      </c>
      <c r="N70">
        <v>303</v>
      </c>
      <c r="O70">
        <v>0</v>
      </c>
      <c r="P70">
        <v>37.4</v>
      </c>
      <c r="Q70">
        <v>83.72</v>
      </c>
      <c r="R70">
        <v>1.272463768115941</v>
      </c>
      <c r="S70">
        <v>106</v>
      </c>
      <c r="T70">
        <v>1</v>
      </c>
      <c r="U70">
        <v>48.215686274509807</v>
      </c>
      <c r="V70">
        <v>187</v>
      </c>
      <c r="W70">
        <v>0</v>
      </c>
      <c r="X70">
        <v>65.166666666666671</v>
      </c>
      <c r="Y70">
        <v>303</v>
      </c>
      <c r="Z70">
        <v>1</v>
      </c>
      <c r="AA70">
        <v>55.904545454545449</v>
      </c>
      <c r="AB70">
        <v>161.6</v>
      </c>
      <c r="AC70">
        <v>16.600000000000001</v>
      </c>
      <c r="AD70">
        <v>34.313432835820898</v>
      </c>
      <c r="AE70">
        <v>137</v>
      </c>
      <c r="AF70">
        <v>0</v>
      </c>
      <c r="AG70">
        <v>101.9507462686567</v>
      </c>
      <c r="AH70">
        <v>216.7</v>
      </c>
      <c r="AI70">
        <v>0</v>
      </c>
      <c r="AL70">
        <v>2345</v>
      </c>
      <c r="AM70">
        <v>851</v>
      </c>
      <c r="AN70">
        <v>3196</v>
      </c>
      <c r="AO70">
        <v>41</v>
      </c>
      <c r="AP70">
        <v>520</v>
      </c>
    </row>
    <row r="71" spans="1:42" x14ac:dyDescent="0.3">
      <c r="A71" t="s">
        <v>1176</v>
      </c>
      <c r="B71" t="s">
        <v>76</v>
      </c>
      <c r="C71" t="s">
        <v>83</v>
      </c>
      <c r="D71" t="s">
        <v>29</v>
      </c>
      <c r="E71" t="s">
        <v>990</v>
      </c>
      <c r="F71">
        <v>2024</v>
      </c>
      <c r="G71">
        <v>45.05</v>
      </c>
      <c r="H71">
        <v>5</v>
      </c>
      <c r="I71">
        <v>1</v>
      </c>
      <c r="J71">
        <v>103</v>
      </c>
      <c r="K71">
        <v>57</v>
      </c>
      <c r="L71" t="s">
        <v>979</v>
      </c>
      <c r="M71">
        <v>36.09724238026125</v>
      </c>
      <c r="N71">
        <v>303</v>
      </c>
      <c r="O71">
        <v>0</v>
      </c>
      <c r="P71">
        <v>47.8</v>
      </c>
      <c r="Q71">
        <v>97.134999999999991</v>
      </c>
      <c r="R71">
        <v>11.702757619738749</v>
      </c>
      <c r="S71">
        <v>212</v>
      </c>
      <c r="T71">
        <v>9</v>
      </c>
      <c r="U71">
        <v>48.215686274509807</v>
      </c>
      <c r="V71">
        <v>187</v>
      </c>
      <c r="W71">
        <v>0</v>
      </c>
      <c r="X71">
        <v>65.166666666666671</v>
      </c>
      <c r="Y71">
        <v>303</v>
      </c>
      <c r="Z71">
        <v>1</v>
      </c>
      <c r="AA71">
        <v>55.904545454545449</v>
      </c>
      <c r="AB71">
        <v>161.6</v>
      </c>
      <c r="AC71">
        <v>16.600000000000001</v>
      </c>
      <c r="AD71">
        <v>31.115942028985511</v>
      </c>
      <c r="AE71">
        <v>187</v>
      </c>
      <c r="AF71">
        <v>0</v>
      </c>
      <c r="AG71">
        <v>73.336956521739125</v>
      </c>
      <c r="AH71">
        <v>233.3</v>
      </c>
      <c r="AI71">
        <v>0</v>
      </c>
      <c r="AL71">
        <v>2340</v>
      </c>
      <c r="AM71">
        <v>850</v>
      </c>
      <c r="AN71">
        <v>3190</v>
      </c>
      <c r="AO71">
        <v>53</v>
      </c>
      <c r="AP71">
        <v>514</v>
      </c>
    </row>
    <row r="72" spans="1:42" x14ac:dyDescent="0.3">
      <c r="A72" t="s">
        <v>1000</v>
      </c>
      <c r="B72" t="s">
        <v>76</v>
      </c>
      <c r="C72" t="s">
        <v>83</v>
      </c>
      <c r="D72" t="s">
        <v>19</v>
      </c>
      <c r="E72" t="s">
        <v>990</v>
      </c>
      <c r="F72">
        <v>2024</v>
      </c>
      <c r="G72">
        <v>67.3</v>
      </c>
      <c r="H72">
        <v>17</v>
      </c>
      <c r="I72">
        <v>3</v>
      </c>
      <c r="J72">
        <v>270</v>
      </c>
      <c r="K72">
        <v>150</v>
      </c>
      <c r="L72" t="s">
        <v>979</v>
      </c>
      <c r="M72">
        <v>35.931686046511629</v>
      </c>
      <c r="N72">
        <v>303</v>
      </c>
      <c r="O72">
        <v>0</v>
      </c>
      <c r="P72">
        <v>47.6</v>
      </c>
      <c r="Q72">
        <v>101.29</v>
      </c>
      <c r="R72">
        <v>11.66831395348837</v>
      </c>
      <c r="S72">
        <v>150</v>
      </c>
      <c r="T72">
        <v>5</v>
      </c>
      <c r="U72">
        <v>48.215686274509807</v>
      </c>
      <c r="V72">
        <v>187</v>
      </c>
      <c r="W72">
        <v>0</v>
      </c>
      <c r="X72">
        <v>65.166666666666671</v>
      </c>
      <c r="Y72">
        <v>303</v>
      </c>
      <c r="Z72">
        <v>1</v>
      </c>
      <c r="AA72">
        <v>55.904545454545449</v>
      </c>
      <c r="AB72">
        <v>161.6</v>
      </c>
      <c r="AC72">
        <v>16.600000000000001</v>
      </c>
      <c r="AD72">
        <v>31.115942028985511</v>
      </c>
      <c r="AE72">
        <v>187</v>
      </c>
      <c r="AF72">
        <v>0</v>
      </c>
      <c r="AG72">
        <v>73.336956521739125</v>
      </c>
      <c r="AH72">
        <v>233.3</v>
      </c>
      <c r="AI72">
        <v>0</v>
      </c>
      <c r="AL72">
        <v>2323</v>
      </c>
      <c r="AM72">
        <v>847</v>
      </c>
      <c r="AN72">
        <v>3170</v>
      </c>
      <c r="AO72">
        <v>41</v>
      </c>
      <c r="AP72">
        <v>494</v>
      </c>
    </row>
    <row r="73" spans="1:42" x14ac:dyDescent="0.3">
      <c r="A73" t="s">
        <v>1351</v>
      </c>
      <c r="B73" t="s">
        <v>76</v>
      </c>
      <c r="C73" t="s">
        <v>83</v>
      </c>
      <c r="D73" t="s">
        <v>25</v>
      </c>
      <c r="E73" t="s">
        <v>990</v>
      </c>
      <c r="F73">
        <v>2024</v>
      </c>
      <c r="G73">
        <v>48</v>
      </c>
      <c r="H73">
        <v>3</v>
      </c>
      <c r="I73">
        <v>0</v>
      </c>
      <c r="J73">
        <v>49</v>
      </c>
      <c r="K73">
        <v>27</v>
      </c>
      <c r="L73" t="s">
        <v>1327</v>
      </c>
      <c r="M73">
        <v>35.944687045123729</v>
      </c>
      <c r="N73">
        <v>303</v>
      </c>
      <c r="O73">
        <v>0</v>
      </c>
      <c r="P73">
        <v>56.375</v>
      </c>
      <c r="Q73">
        <v>92.453125</v>
      </c>
      <c r="R73">
        <v>20.430312954876271</v>
      </c>
      <c r="S73">
        <v>303</v>
      </c>
      <c r="T73">
        <v>4</v>
      </c>
      <c r="U73">
        <v>48.215686274509807</v>
      </c>
      <c r="V73">
        <v>187</v>
      </c>
      <c r="W73">
        <v>0</v>
      </c>
      <c r="X73">
        <v>65.166666666666671</v>
      </c>
      <c r="Y73">
        <v>303</v>
      </c>
      <c r="Z73">
        <v>1</v>
      </c>
      <c r="AA73">
        <v>55.904545454545449</v>
      </c>
      <c r="AB73">
        <v>161.6</v>
      </c>
      <c r="AC73">
        <v>16.600000000000001</v>
      </c>
      <c r="AD73">
        <v>31.115942028985511</v>
      </c>
      <c r="AE73">
        <v>187</v>
      </c>
      <c r="AF73">
        <v>0</v>
      </c>
      <c r="AG73">
        <v>73.336956521739125</v>
      </c>
      <c r="AH73">
        <v>233.3</v>
      </c>
      <c r="AI73">
        <v>0</v>
      </c>
      <c r="AL73">
        <v>2320</v>
      </c>
      <c r="AM73">
        <v>847</v>
      </c>
      <c r="AN73">
        <v>3167</v>
      </c>
      <c r="AO73">
        <v>109</v>
      </c>
      <c r="AP73">
        <v>491</v>
      </c>
    </row>
    <row r="74" spans="1:42" x14ac:dyDescent="0.3">
      <c r="A74" t="s">
        <v>1149</v>
      </c>
      <c r="B74" t="s">
        <v>76</v>
      </c>
      <c r="C74" t="s">
        <v>83</v>
      </c>
      <c r="D74" t="s">
        <v>54</v>
      </c>
      <c r="E74" t="s">
        <v>994</v>
      </c>
      <c r="F74">
        <v>2024</v>
      </c>
      <c r="G74">
        <v>78</v>
      </c>
      <c r="H74">
        <v>10</v>
      </c>
      <c r="I74">
        <v>0</v>
      </c>
      <c r="J74">
        <v>113</v>
      </c>
      <c r="K74">
        <v>63</v>
      </c>
      <c r="L74" t="s">
        <v>979</v>
      </c>
      <c r="M74">
        <v>35.90524781341108</v>
      </c>
      <c r="N74">
        <v>303</v>
      </c>
      <c r="O74">
        <v>0</v>
      </c>
      <c r="P74">
        <v>30</v>
      </c>
      <c r="Q74">
        <v>129.072</v>
      </c>
      <c r="R74">
        <v>-5.90524781341108</v>
      </c>
      <c r="S74">
        <v>76</v>
      </c>
      <c r="T74">
        <v>1</v>
      </c>
      <c r="U74">
        <v>48.215686274509807</v>
      </c>
      <c r="V74">
        <v>187</v>
      </c>
      <c r="W74">
        <v>0</v>
      </c>
      <c r="X74">
        <v>65.166666666666671</v>
      </c>
      <c r="Y74">
        <v>303</v>
      </c>
      <c r="Z74">
        <v>1</v>
      </c>
      <c r="AA74">
        <v>55.904545454545449</v>
      </c>
      <c r="AB74">
        <v>161.6</v>
      </c>
      <c r="AC74">
        <v>16.600000000000001</v>
      </c>
      <c r="AD74">
        <v>47.472727272727283</v>
      </c>
      <c r="AE74">
        <v>171</v>
      </c>
      <c r="AF74">
        <v>0</v>
      </c>
      <c r="AG74">
        <v>81.038181818181826</v>
      </c>
      <c r="AH74">
        <v>175.4</v>
      </c>
      <c r="AI74">
        <v>0</v>
      </c>
      <c r="AL74">
        <v>2310</v>
      </c>
      <c r="AM74">
        <v>847</v>
      </c>
      <c r="AN74">
        <v>3157</v>
      </c>
      <c r="AO74">
        <v>86</v>
      </c>
      <c r="AP74">
        <v>481</v>
      </c>
    </row>
    <row r="75" spans="1:42" x14ac:dyDescent="0.3">
      <c r="A75" t="s">
        <v>1027</v>
      </c>
      <c r="B75" t="s">
        <v>130</v>
      </c>
      <c r="C75" t="s">
        <v>5</v>
      </c>
      <c r="D75" t="s">
        <v>103</v>
      </c>
      <c r="E75" t="s">
        <v>994</v>
      </c>
      <c r="F75">
        <v>2024</v>
      </c>
      <c r="G75">
        <v>175.4</v>
      </c>
      <c r="H75">
        <v>11</v>
      </c>
      <c r="I75">
        <v>8</v>
      </c>
      <c r="J75">
        <v>69</v>
      </c>
      <c r="K75">
        <v>121</v>
      </c>
      <c r="L75" t="s">
        <v>979</v>
      </c>
      <c r="M75">
        <v>35.78102189781022</v>
      </c>
      <c r="N75">
        <v>303</v>
      </c>
      <c r="O75">
        <v>0</v>
      </c>
      <c r="P75">
        <v>43.391304347826093</v>
      </c>
      <c r="Q75">
        <v>100.17391304347829</v>
      </c>
      <c r="R75">
        <v>7.6102824500158661</v>
      </c>
      <c r="S75">
        <v>209</v>
      </c>
      <c r="T75">
        <v>0</v>
      </c>
      <c r="U75">
        <v>43.25</v>
      </c>
      <c r="V75">
        <v>131</v>
      </c>
      <c r="W75">
        <v>0</v>
      </c>
      <c r="X75">
        <v>28.189024390243901</v>
      </c>
      <c r="Y75">
        <v>121</v>
      </c>
      <c r="Z75">
        <v>0</v>
      </c>
      <c r="AA75">
        <v>116.45060975609761</v>
      </c>
      <c r="AB75">
        <v>274.39999999999998</v>
      </c>
      <c r="AC75">
        <v>0</v>
      </c>
      <c r="AD75">
        <v>47.472727272727283</v>
      </c>
      <c r="AE75">
        <v>171</v>
      </c>
      <c r="AF75">
        <v>0</v>
      </c>
      <c r="AG75">
        <v>81.038181818181826</v>
      </c>
      <c r="AH75">
        <v>175.4</v>
      </c>
      <c r="AI75">
        <v>0</v>
      </c>
      <c r="AJ75">
        <v>0</v>
      </c>
      <c r="AK75">
        <v>0</v>
      </c>
      <c r="AL75">
        <v>2299</v>
      </c>
      <c r="AM75">
        <v>839</v>
      </c>
      <c r="AN75">
        <v>3138</v>
      </c>
      <c r="AO75">
        <v>105</v>
      </c>
      <c r="AP75">
        <v>577</v>
      </c>
    </row>
    <row r="76" spans="1:42" x14ac:dyDescent="0.3">
      <c r="A76" t="s">
        <v>1725</v>
      </c>
      <c r="B76" t="s">
        <v>130</v>
      </c>
      <c r="C76" t="s">
        <v>5</v>
      </c>
      <c r="D76" t="s">
        <v>17</v>
      </c>
      <c r="E76" t="s">
        <v>994</v>
      </c>
      <c r="F76">
        <v>2024</v>
      </c>
      <c r="G76">
        <v>0</v>
      </c>
      <c r="H76">
        <v>0</v>
      </c>
      <c r="I76">
        <v>0</v>
      </c>
      <c r="J76">
        <v>1</v>
      </c>
      <c r="K76">
        <v>0</v>
      </c>
      <c r="L76" t="s">
        <v>1327</v>
      </c>
      <c r="M76">
        <v>35.833333333333343</v>
      </c>
      <c r="N76">
        <v>303</v>
      </c>
      <c r="O76">
        <v>0</v>
      </c>
      <c r="P76">
        <v>33.769230769230766</v>
      </c>
      <c r="Q76">
        <v>87.853846153846149</v>
      </c>
      <c r="R76">
        <v>-2.0641025641025692</v>
      </c>
      <c r="S76">
        <v>118</v>
      </c>
      <c r="T76">
        <v>0</v>
      </c>
      <c r="U76">
        <v>43.25</v>
      </c>
      <c r="V76">
        <v>131</v>
      </c>
      <c r="W76">
        <v>0</v>
      </c>
      <c r="X76">
        <v>28.189024390243901</v>
      </c>
      <c r="Y76">
        <v>121</v>
      </c>
      <c r="Z76">
        <v>0</v>
      </c>
      <c r="AA76">
        <v>116.45060975609761</v>
      </c>
      <c r="AB76">
        <v>274.39999999999998</v>
      </c>
      <c r="AC76">
        <v>0</v>
      </c>
      <c r="AD76">
        <v>47.472727272727283</v>
      </c>
      <c r="AE76">
        <v>171</v>
      </c>
      <c r="AF76">
        <v>0</v>
      </c>
      <c r="AG76">
        <v>81.038181818181826</v>
      </c>
      <c r="AH76">
        <v>175.4</v>
      </c>
      <c r="AI76">
        <v>0</v>
      </c>
      <c r="AJ76">
        <v>0</v>
      </c>
      <c r="AK76">
        <v>0</v>
      </c>
      <c r="AL76">
        <v>2299</v>
      </c>
      <c r="AM76">
        <v>839</v>
      </c>
      <c r="AN76">
        <v>3138</v>
      </c>
      <c r="AO76">
        <v>62</v>
      </c>
      <c r="AP76">
        <v>577</v>
      </c>
    </row>
    <row r="77" spans="1:42" x14ac:dyDescent="0.3">
      <c r="A77" t="s">
        <v>1726</v>
      </c>
      <c r="B77" t="s">
        <v>130</v>
      </c>
      <c r="C77" t="s">
        <v>5</v>
      </c>
      <c r="D77" t="s">
        <v>173</v>
      </c>
      <c r="E77" t="s">
        <v>994</v>
      </c>
      <c r="F77">
        <v>2024</v>
      </c>
      <c r="G77">
        <v>0</v>
      </c>
      <c r="H77">
        <v>0</v>
      </c>
      <c r="I77">
        <v>0</v>
      </c>
      <c r="J77">
        <v>2</v>
      </c>
      <c r="K77">
        <v>0</v>
      </c>
      <c r="L77" t="s">
        <v>1327</v>
      </c>
      <c r="M77">
        <v>35.885797950219619</v>
      </c>
      <c r="N77">
        <v>303</v>
      </c>
      <c r="O77">
        <v>0</v>
      </c>
      <c r="P77">
        <v>36.388888888888893</v>
      </c>
      <c r="Q77">
        <v>93.683333333333337</v>
      </c>
      <c r="R77">
        <v>0.50309093866926702</v>
      </c>
      <c r="S77">
        <v>208</v>
      </c>
      <c r="T77">
        <v>0</v>
      </c>
      <c r="U77">
        <v>43.25</v>
      </c>
      <c r="V77">
        <v>131</v>
      </c>
      <c r="W77">
        <v>0</v>
      </c>
      <c r="X77">
        <v>28.189024390243901</v>
      </c>
      <c r="Y77">
        <v>121</v>
      </c>
      <c r="Z77">
        <v>0</v>
      </c>
      <c r="AA77">
        <v>116.45060975609761</v>
      </c>
      <c r="AB77">
        <v>274.39999999999998</v>
      </c>
      <c r="AC77">
        <v>0</v>
      </c>
      <c r="AD77">
        <v>47.472727272727283</v>
      </c>
      <c r="AE77">
        <v>171</v>
      </c>
      <c r="AF77">
        <v>0</v>
      </c>
      <c r="AG77">
        <v>81.038181818181826</v>
      </c>
      <c r="AH77">
        <v>175.4</v>
      </c>
      <c r="AI77">
        <v>0</v>
      </c>
      <c r="AL77">
        <v>2299</v>
      </c>
      <c r="AM77">
        <v>839</v>
      </c>
      <c r="AN77">
        <v>3138</v>
      </c>
      <c r="AO77">
        <v>84</v>
      </c>
      <c r="AP77">
        <v>577</v>
      </c>
    </row>
    <row r="78" spans="1:42" x14ac:dyDescent="0.3">
      <c r="A78" t="s">
        <v>1193</v>
      </c>
      <c r="B78" t="s">
        <v>24</v>
      </c>
      <c r="C78" t="s">
        <v>83</v>
      </c>
      <c r="D78" t="s">
        <v>176</v>
      </c>
      <c r="E78" t="s">
        <v>994</v>
      </c>
      <c r="F78">
        <v>2024</v>
      </c>
      <c r="G78">
        <v>75.349999999999994</v>
      </c>
      <c r="H78">
        <v>9</v>
      </c>
      <c r="I78">
        <v>0</v>
      </c>
      <c r="J78">
        <v>99</v>
      </c>
      <c r="K78">
        <v>55</v>
      </c>
      <c r="L78" t="s">
        <v>979</v>
      </c>
      <c r="M78">
        <v>35.857771260997069</v>
      </c>
      <c r="N78">
        <v>303</v>
      </c>
      <c r="O78">
        <v>0</v>
      </c>
      <c r="P78">
        <v>28.285714285714281</v>
      </c>
      <c r="Q78">
        <v>82.242857142857147</v>
      </c>
      <c r="R78">
        <v>-7.5720569752827842</v>
      </c>
      <c r="S78">
        <v>55</v>
      </c>
      <c r="T78">
        <v>0</v>
      </c>
      <c r="U78">
        <v>37.163636363636357</v>
      </c>
      <c r="V78">
        <v>303</v>
      </c>
      <c r="W78">
        <v>0</v>
      </c>
      <c r="X78">
        <v>65.166666666666671</v>
      </c>
      <c r="Y78">
        <v>303</v>
      </c>
      <c r="Z78">
        <v>1</v>
      </c>
      <c r="AA78">
        <v>55.904545454545449</v>
      </c>
      <c r="AB78">
        <v>161.6</v>
      </c>
      <c r="AC78">
        <v>16.600000000000001</v>
      </c>
      <c r="AD78">
        <v>47.472727272727283</v>
      </c>
      <c r="AE78">
        <v>171</v>
      </c>
      <c r="AF78">
        <v>0</v>
      </c>
      <c r="AG78">
        <v>81.038181818181826</v>
      </c>
      <c r="AH78">
        <v>175.4</v>
      </c>
      <c r="AI78">
        <v>0</v>
      </c>
      <c r="AL78">
        <v>2290</v>
      </c>
      <c r="AM78">
        <v>839</v>
      </c>
      <c r="AN78">
        <v>3129</v>
      </c>
      <c r="AO78">
        <v>16</v>
      </c>
      <c r="AP78">
        <v>472</v>
      </c>
    </row>
    <row r="79" spans="1:42" x14ac:dyDescent="0.3">
      <c r="A79" t="s">
        <v>1618</v>
      </c>
      <c r="B79" t="s">
        <v>24</v>
      </c>
      <c r="C79" t="s">
        <v>83</v>
      </c>
      <c r="D79" t="s">
        <v>180</v>
      </c>
      <c r="E79" t="s">
        <v>987</v>
      </c>
      <c r="F79">
        <v>2023</v>
      </c>
      <c r="G79">
        <v>35.700000000000003</v>
      </c>
      <c r="H79">
        <v>1</v>
      </c>
      <c r="I79">
        <v>0</v>
      </c>
      <c r="J79">
        <v>9</v>
      </c>
      <c r="K79">
        <v>5</v>
      </c>
      <c r="L79" t="s">
        <v>1327</v>
      </c>
      <c r="M79">
        <v>35.903083700440533</v>
      </c>
      <c r="N79">
        <v>303</v>
      </c>
      <c r="O79">
        <v>0</v>
      </c>
      <c r="P79">
        <v>16.899999999999999</v>
      </c>
      <c r="Q79">
        <v>68.815000000000012</v>
      </c>
      <c r="R79">
        <v>-19.003083700440531</v>
      </c>
      <c r="S79">
        <v>57</v>
      </c>
      <c r="T79">
        <v>0</v>
      </c>
      <c r="U79">
        <v>37.163636363636357</v>
      </c>
      <c r="V79">
        <v>303</v>
      </c>
      <c r="W79">
        <v>0</v>
      </c>
      <c r="X79">
        <v>65.166666666666671</v>
      </c>
      <c r="Y79">
        <v>303</v>
      </c>
      <c r="Z79">
        <v>1</v>
      </c>
      <c r="AA79">
        <v>55.904545454545449</v>
      </c>
      <c r="AB79">
        <v>161.6</v>
      </c>
      <c r="AC79">
        <v>16.600000000000001</v>
      </c>
      <c r="AD79">
        <v>40.825000000000003</v>
      </c>
      <c r="AE79">
        <v>208</v>
      </c>
      <c r="AF79">
        <v>1</v>
      </c>
      <c r="AG79">
        <v>90.646250000000009</v>
      </c>
      <c r="AH79">
        <v>274.39999999999998</v>
      </c>
      <c r="AI79">
        <v>15.4</v>
      </c>
      <c r="AL79">
        <v>2289</v>
      </c>
      <c r="AM79">
        <v>839</v>
      </c>
      <c r="AN79">
        <v>3128</v>
      </c>
      <c r="AO79">
        <v>22</v>
      </c>
      <c r="AP79">
        <v>471</v>
      </c>
    </row>
    <row r="80" spans="1:42" x14ac:dyDescent="0.3">
      <c r="A80" t="s">
        <v>1240</v>
      </c>
      <c r="B80" t="s">
        <v>32</v>
      </c>
      <c r="C80" t="s">
        <v>16</v>
      </c>
      <c r="D80" t="s">
        <v>41</v>
      </c>
      <c r="E80" t="s">
        <v>981</v>
      </c>
      <c r="F80">
        <v>2023</v>
      </c>
      <c r="G80">
        <v>151.6</v>
      </c>
      <c r="H80">
        <v>4</v>
      </c>
      <c r="I80">
        <v>3</v>
      </c>
      <c r="J80">
        <v>31</v>
      </c>
      <c r="K80">
        <v>47</v>
      </c>
      <c r="L80" t="s">
        <v>979</v>
      </c>
      <c r="M80">
        <v>35.886764705882356</v>
      </c>
      <c r="N80">
        <v>303</v>
      </c>
      <c r="O80">
        <v>0</v>
      </c>
      <c r="P80">
        <v>34.043478260869563</v>
      </c>
      <c r="Q80">
        <v>108.0891304347826</v>
      </c>
      <c r="R80">
        <v>-1.8432864450127939</v>
      </c>
      <c r="S80">
        <v>95</v>
      </c>
      <c r="T80">
        <v>0</v>
      </c>
      <c r="U80">
        <v>44.710843373493979</v>
      </c>
      <c r="V80">
        <v>209</v>
      </c>
      <c r="W80">
        <v>0</v>
      </c>
      <c r="X80">
        <v>42.251824817518248</v>
      </c>
      <c r="Y80">
        <v>264</v>
      </c>
      <c r="Z80">
        <v>0</v>
      </c>
      <c r="AA80">
        <v>77.646715328467153</v>
      </c>
      <c r="AB80">
        <v>200</v>
      </c>
      <c r="AC80">
        <v>0</v>
      </c>
      <c r="AD80">
        <v>47.122448979591837</v>
      </c>
      <c r="AE80">
        <v>264</v>
      </c>
      <c r="AF80">
        <v>0</v>
      </c>
      <c r="AG80">
        <v>105.5040816326531</v>
      </c>
      <c r="AH80">
        <v>200</v>
      </c>
      <c r="AI80">
        <v>0</v>
      </c>
      <c r="AJ80">
        <v>47</v>
      </c>
      <c r="AK80">
        <v>162.1</v>
      </c>
      <c r="AL80">
        <v>2285</v>
      </c>
      <c r="AM80">
        <v>836</v>
      </c>
      <c r="AN80">
        <v>3121</v>
      </c>
      <c r="AO80">
        <v>93</v>
      </c>
      <c r="AP80">
        <v>1309</v>
      </c>
    </row>
    <row r="81" spans="1:42" x14ac:dyDescent="0.3">
      <c r="A81" t="s">
        <v>1241</v>
      </c>
      <c r="B81" t="s">
        <v>15</v>
      </c>
      <c r="C81" t="s">
        <v>16</v>
      </c>
      <c r="D81" t="s">
        <v>12</v>
      </c>
      <c r="E81" t="s">
        <v>981</v>
      </c>
      <c r="F81">
        <v>2023</v>
      </c>
      <c r="G81">
        <v>162.1</v>
      </c>
      <c r="H81">
        <v>4</v>
      </c>
      <c r="I81">
        <v>4</v>
      </c>
      <c r="J81">
        <v>29</v>
      </c>
      <c r="K81">
        <v>47</v>
      </c>
      <c r="L81" t="s">
        <v>979</v>
      </c>
      <c r="M81">
        <v>35.87039764359352</v>
      </c>
      <c r="N81">
        <v>303</v>
      </c>
      <c r="O81">
        <v>0</v>
      </c>
      <c r="P81">
        <v>31.203883495145629</v>
      </c>
      <c r="Q81">
        <v>120.5689320388349</v>
      </c>
      <c r="R81">
        <v>-4.666514148447888</v>
      </c>
      <c r="S81">
        <v>162</v>
      </c>
      <c r="T81">
        <v>0</v>
      </c>
      <c r="U81">
        <v>37.701754385964911</v>
      </c>
      <c r="V81">
        <v>147</v>
      </c>
      <c r="W81">
        <v>1</v>
      </c>
      <c r="X81">
        <v>42.251824817518248</v>
      </c>
      <c r="Y81">
        <v>264</v>
      </c>
      <c r="Z81">
        <v>0</v>
      </c>
      <c r="AA81">
        <v>77.646715328467153</v>
      </c>
      <c r="AB81">
        <v>200</v>
      </c>
      <c r="AC81">
        <v>0</v>
      </c>
      <c r="AD81">
        <v>47.122448979591837</v>
      </c>
      <c r="AE81">
        <v>264</v>
      </c>
      <c r="AF81">
        <v>0</v>
      </c>
      <c r="AG81">
        <v>105.5040816326531</v>
      </c>
      <c r="AH81">
        <v>200</v>
      </c>
      <c r="AI81">
        <v>0</v>
      </c>
      <c r="AJ81">
        <v>61</v>
      </c>
      <c r="AK81">
        <v>113</v>
      </c>
      <c r="AL81">
        <v>2281</v>
      </c>
      <c r="AM81">
        <v>832</v>
      </c>
      <c r="AN81">
        <v>3113</v>
      </c>
      <c r="AO81">
        <v>356</v>
      </c>
      <c r="AP81">
        <v>1301</v>
      </c>
    </row>
    <row r="82" spans="1:42" x14ac:dyDescent="0.3">
      <c r="A82" t="s">
        <v>1160</v>
      </c>
      <c r="B82" t="s">
        <v>187</v>
      </c>
      <c r="C82" t="s">
        <v>16</v>
      </c>
      <c r="D82" t="s">
        <v>103</v>
      </c>
      <c r="E82" t="s">
        <v>981</v>
      </c>
      <c r="F82">
        <v>2023</v>
      </c>
      <c r="G82">
        <v>113</v>
      </c>
      <c r="H82">
        <v>8</v>
      </c>
      <c r="I82">
        <v>2</v>
      </c>
      <c r="J82">
        <v>54</v>
      </c>
      <c r="K82">
        <v>61</v>
      </c>
      <c r="L82" t="s">
        <v>979</v>
      </c>
      <c r="M82">
        <v>35.833333333333343</v>
      </c>
      <c r="N82">
        <v>303</v>
      </c>
      <c r="O82">
        <v>0</v>
      </c>
      <c r="P82">
        <v>43.391304347826093</v>
      </c>
      <c r="Q82">
        <v>100.17391304347829</v>
      </c>
      <c r="R82">
        <v>7.5579710144927503</v>
      </c>
      <c r="S82">
        <v>209</v>
      </c>
      <c r="T82">
        <v>0</v>
      </c>
      <c r="U82">
        <v>53</v>
      </c>
      <c r="V82">
        <v>61</v>
      </c>
      <c r="W82">
        <v>53</v>
      </c>
      <c r="X82">
        <v>42.251824817518248</v>
      </c>
      <c r="Y82">
        <v>264</v>
      </c>
      <c r="Z82">
        <v>0</v>
      </c>
      <c r="AA82">
        <v>77.646715328467153</v>
      </c>
      <c r="AB82">
        <v>200</v>
      </c>
      <c r="AC82">
        <v>0</v>
      </c>
      <c r="AD82">
        <v>47.122448979591837</v>
      </c>
      <c r="AE82">
        <v>264</v>
      </c>
      <c r="AF82">
        <v>0</v>
      </c>
      <c r="AG82">
        <v>105.5040816326531</v>
      </c>
      <c r="AH82">
        <v>200</v>
      </c>
      <c r="AI82">
        <v>0</v>
      </c>
      <c r="AL82">
        <v>2273</v>
      </c>
      <c r="AM82">
        <v>830</v>
      </c>
      <c r="AN82">
        <v>3103</v>
      </c>
      <c r="AO82">
        <v>95</v>
      </c>
      <c r="AP82">
        <v>1291</v>
      </c>
    </row>
    <row r="83" spans="1:42" x14ac:dyDescent="0.3">
      <c r="A83" t="s">
        <v>1272</v>
      </c>
      <c r="B83" t="s">
        <v>24</v>
      </c>
      <c r="C83" t="s">
        <v>16</v>
      </c>
      <c r="D83" t="s">
        <v>139</v>
      </c>
      <c r="E83" t="s">
        <v>981</v>
      </c>
      <c r="F83">
        <v>2023</v>
      </c>
      <c r="G83">
        <v>166.7</v>
      </c>
      <c r="H83">
        <v>6</v>
      </c>
      <c r="I83">
        <v>2</v>
      </c>
      <c r="J83">
        <v>24</v>
      </c>
      <c r="K83">
        <v>40</v>
      </c>
      <c r="L83" t="s">
        <v>979</v>
      </c>
      <c r="M83">
        <v>35.827178729689813</v>
      </c>
      <c r="N83">
        <v>303</v>
      </c>
      <c r="O83">
        <v>0</v>
      </c>
      <c r="P83">
        <v>45.666666666666657</v>
      </c>
      <c r="Q83">
        <v>104.1166666666667</v>
      </c>
      <c r="R83">
        <v>9.8394879369768589</v>
      </c>
      <c r="S83">
        <v>264</v>
      </c>
      <c r="T83">
        <v>0</v>
      </c>
      <c r="U83">
        <v>37.163636363636357</v>
      </c>
      <c r="V83">
        <v>303</v>
      </c>
      <c r="W83">
        <v>0</v>
      </c>
      <c r="X83">
        <v>42.251824817518248</v>
      </c>
      <c r="Y83">
        <v>264</v>
      </c>
      <c r="Z83">
        <v>0</v>
      </c>
      <c r="AA83">
        <v>77.646715328467153</v>
      </c>
      <c r="AB83">
        <v>200</v>
      </c>
      <c r="AC83">
        <v>0</v>
      </c>
      <c r="AD83">
        <v>47.122448979591837</v>
      </c>
      <c r="AE83">
        <v>264</v>
      </c>
      <c r="AF83">
        <v>0</v>
      </c>
      <c r="AG83">
        <v>105.5040816326531</v>
      </c>
      <c r="AH83">
        <v>200</v>
      </c>
      <c r="AI83">
        <v>0</v>
      </c>
      <c r="AJ83">
        <v>4</v>
      </c>
      <c r="AK83">
        <v>200</v>
      </c>
      <c r="AL83">
        <v>2267</v>
      </c>
      <c r="AM83">
        <v>828</v>
      </c>
      <c r="AN83">
        <v>3095</v>
      </c>
      <c r="AO83">
        <v>173</v>
      </c>
      <c r="AP83">
        <v>1283</v>
      </c>
    </row>
    <row r="84" spans="1:42" x14ac:dyDescent="0.3">
      <c r="A84" t="s">
        <v>1646</v>
      </c>
      <c r="B84" t="s">
        <v>115</v>
      </c>
      <c r="C84" t="s">
        <v>16</v>
      </c>
      <c r="D84" t="s">
        <v>12</v>
      </c>
      <c r="E84" t="s">
        <v>981</v>
      </c>
      <c r="F84">
        <v>2023</v>
      </c>
      <c r="G84">
        <v>200</v>
      </c>
      <c r="H84">
        <v>1</v>
      </c>
      <c r="I84">
        <v>0</v>
      </c>
      <c r="J84">
        <v>2</v>
      </c>
      <c r="K84">
        <v>4</v>
      </c>
      <c r="L84" t="s">
        <v>1327</v>
      </c>
      <c r="M84">
        <v>35.874260355029577</v>
      </c>
      <c r="N84">
        <v>303</v>
      </c>
      <c r="O84">
        <v>0</v>
      </c>
      <c r="P84">
        <v>31.203883495145629</v>
      </c>
      <c r="Q84">
        <v>120.5689320388349</v>
      </c>
      <c r="R84">
        <v>-4.6703768598839517</v>
      </c>
      <c r="S84">
        <v>162</v>
      </c>
      <c r="T84">
        <v>0</v>
      </c>
      <c r="U84">
        <v>38.236842105263158</v>
      </c>
      <c r="V84">
        <v>264</v>
      </c>
      <c r="W84">
        <v>0</v>
      </c>
      <c r="X84">
        <v>42.251824817518248</v>
      </c>
      <c r="Y84">
        <v>264</v>
      </c>
      <c r="Z84">
        <v>0</v>
      </c>
      <c r="AA84">
        <v>77.646715328467153</v>
      </c>
      <c r="AB84">
        <v>200</v>
      </c>
      <c r="AC84">
        <v>0</v>
      </c>
      <c r="AD84">
        <v>47.122448979591837</v>
      </c>
      <c r="AE84">
        <v>264</v>
      </c>
      <c r="AF84">
        <v>0</v>
      </c>
      <c r="AG84">
        <v>105.5040816326531</v>
      </c>
      <c r="AH84">
        <v>200</v>
      </c>
      <c r="AI84">
        <v>0</v>
      </c>
      <c r="AJ84">
        <v>87</v>
      </c>
      <c r="AK84">
        <v>86.1</v>
      </c>
      <c r="AL84">
        <v>2266</v>
      </c>
      <c r="AM84">
        <v>828</v>
      </c>
      <c r="AN84">
        <v>3094</v>
      </c>
      <c r="AO84">
        <v>355</v>
      </c>
      <c r="AP84">
        <v>1282</v>
      </c>
    </row>
    <row r="85" spans="1:42" x14ac:dyDescent="0.3">
      <c r="A85" t="s">
        <v>1074</v>
      </c>
      <c r="B85" t="s">
        <v>76</v>
      </c>
      <c r="C85" t="s">
        <v>16</v>
      </c>
      <c r="D85" t="s">
        <v>142</v>
      </c>
      <c r="E85" t="s">
        <v>977</v>
      </c>
      <c r="F85">
        <v>2023</v>
      </c>
      <c r="G85">
        <v>86.1</v>
      </c>
      <c r="H85">
        <v>10</v>
      </c>
      <c r="I85">
        <v>3</v>
      </c>
      <c r="J85">
        <v>101</v>
      </c>
      <c r="K85">
        <v>87</v>
      </c>
      <c r="L85" t="s">
        <v>979</v>
      </c>
      <c r="M85">
        <v>35.79851851851852</v>
      </c>
      <c r="N85">
        <v>303</v>
      </c>
      <c r="O85">
        <v>0</v>
      </c>
      <c r="P85">
        <v>56.6</v>
      </c>
      <c r="Q85">
        <v>126.72</v>
      </c>
      <c r="R85">
        <v>20.801481481481481</v>
      </c>
      <c r="S85">
        <v>111</v>
      </c>
      <c r="T85">
        <v>4</v>
      </c>
      <c r="U85">
        <v>48.215686274509807</v>
      </c>
      <c r="V85">
        <v>187</v>
      </c>
      <c r="W85">
        <v>0</v>
      </c>
      <c r="X85">
        <v>42.251824817518248</v>
      </c>
      <c r="Y85">
        <v>264</v>
      </c>
      <c r="Z85">
        <v>0</v>
      </c>
      <c r="AA85">
        <v>77.646715328467153</v>
      </c>
      <c r="AB85">
        <v>200</v>
      </c>
      <c r="AC85">
        <v>0</v>
      </c>
      <c r="AD85">
        <v>49.901639344262293</v>
      </c>
      <c r="AE85">
        <v>303</v>
      </c>
      <c r="AF85">
        <v>0</v>
      </c>
      <c r="AG85">
        <v>90.971311475409848</v>
      </c>
      <c r="AH85">
        <v>200</v>
      </c>
      <c r="AI85">
        <v>0</v>
      </c>
      <c r="AL85">
        <v>2256</v>
      </c>
      <c r="AM85">
        <v>825</v>
      </c>
      <c r="AN85">
        <v>3081</v>
      </c>
      <c r="AO85">
        <v>22</v>
      </c>
      <c r="AP85">
        <v>1269</v>
      </c>
    </row>
    <row r="86" spans="1:42" x14ac:dyDescent="0.3">
      <c r="A86" t="s">
        <v>1243</v>
      </c>
      <c r="B86" t="s">
        <v>15</v>
      </c>
      <c r="C86" t="s">
        <v>16</v>
      </c>
      <c r="D86" t="s">
        <v>154</v>
      </c>
      <c r="E86" t="s">
        <v>977</v>
      </c>
      <c r="F86">
        <v>2023</v>
      </c>
      <c r="G86">
        <v>115</v>
      </c>
      <c r="H86">
        <v>4</v>
      </c>
      <c r="I86">
        <v>4</v>
      </c>
      <c r="J86">
        <v>40</v>
      </c>
      <c r="K86">
        <v>46</v>
      </c>
      <c r="L86" t="s">
        <v>979</v>
      </c>
      <c r="M86">
        <v>35.783382789317507</v>
      </c>
      <c r="N86">
        <v>303</v>
      </c>
      <c r="O86">
        <v>0</v>
      </c>
      <c r="P86">
        <v>37.4</v>
      </c>
      <c r="Q86">
        <v>83.72</v>
      </c>
      <c r="R86">
        <v>1.6166172106824921</v>
      </c>
      <c r="S86">
        <v>106</v>
      </c>
      <c r="T86">
        <v>1</v>
      </c>
      <c r="U86">
        <v>37.701754385964911</v>
      </c>
      <c r="V86">
        <v>147</v>
      </c>
      <c r="W86">
        <v>1</v>
      </c>
      <c r="X86">
        <v>42.251824817518248</v>
      </c>
      <c r="Y86">
        <v>264</v>
      </c>
      <c r="Z86">
        <v>0</v>
      </c>
      <c r="AA86">
        <v>77.646715328467153</v>
      </c>
      <c r="AB86">
        <v>200</v>
      </c>
      <c r="AC86">
        <v>0</v>
      </c>
      <c r="AD86">
        <v>49.901639344262293</v>
      </c>
      <c r="AE86">
        <v>303</v>
      </c>
      <c r="AF86">
        <v>0</v>
      </c>
      <c r="AG86">
        <v>90.971311475409848</v>
      </c>
      <c r="AH86">
        <v>200</v>
      </c>
      <c r="AI86">
        <v>0</v>
      </c>
      <c r="AJ86">
        <v>48</v>
      </c>
      <c r="AK86">
        <v>120</v>
      </c>
      <c r="AL86">
        <v>2252</v>
      </c>
      <c r="AM86">
        <v>821</v>
      </c>
      <c r="AN86">
        <v>3073</v>
      </c>
      <c r="AO86">
        <v>33</v>
      </c>
      <c r="AP86">
        <v>1261</v>
      </c>
    </row>
    <row r="87" spans="1:42" x14ac:dyDescent="0.3">
      <c r="A87" t="s">
        <v>1232</v>
      </c>
      <c r="B87" t="s">
        <v>73</v>
      </c>
      <c r="C87" t="s">
        <v>16</v>
      </c>
      <c r="D87" t="s">
        <v>100</v>
      </c>
      <c r="E87" t="s">
        <v>977</v>
      </c>
      <c r="F87">
        <v>2023</v>
      </c>
      <c r="G87">
        <v>120</v>
      </c>
      <c r="H87">
        <v>7</v>
      </c>
      <c r="I87">
        <v>2</v>
      </c>
      <c r="J87">
        <v>40</v>
      </c>
      <c r="K87">
        <v>48</v>
      </c>
      <c r="L87" t="s">
        <v>979</v>
      </c>
      <c r="M87">
        <v>35.765230312035662</v>
      </c>
      <c r="N87">
        <v>303</v>
      </c>
      <c r="O87">
        <v>0</v>
      </c>
      <c r="P87">
        <v>25.444444444444439</v>
      </c>
      <c r="Q87">
        <v>86.627777777777794</v>
      </c>
      <c r="R87">
        <v>-10.320785867591219</v>
      </c>
      <c r="S87">
        <v>85</v>
      </c>
      <c r="T87">
        <v>0</v>
      </c>
      <c r="U87">
        <v>38.228571428571428</v>
      </c>
      <c r="V87">
        <v>137</v>
      </c>
      <c r="W87">
        <v>0</v>
      </c>
      <c r="X87">
        <v>42.251824817518248</v>
      </c>
      <c r="Y87">
        <v>264</v>
      </c>
      <c r="Z87">
        <v>0</v>
      </c>
      <c r="AA87">
        <v>77.646715328467153</v>
      </c>
      <c r="AB87">
        <v>200</v>
      </c>
      <c r="AC87">
        <v>0</v>
      </c>
      <c r="AD87">
        <v>49.901639344262293</v>
      </c>
      <c r="AE87">
        <v>303</v>
      </c>
      <c r="AF87">
        <v>0</v>
      </c>
      <c r="AG87">
        <v>90.971311475409848</v>
      </c>
      <c r="AH87">
        <v>200</v>
      </c>
      <c r="AI87">
        <v>0</v>
      </c>
      <c r="AJ87">
        <v>86</v>
      </c>
      <c r="AK87">
        <v>136.5</v>
      </c>
      <c r="AL87">
        <v>2245</v>
      </c>
      <c r="AM87">
        <v>819</v>
      </c>
      <c r="AN87">
        <v>3064</v>
      </c>
      <c r="AO87">
        <v>57</v>
      </c>
      <c r="AP87">
        <v>1252</v>
      </c>
    </row>
    <row r="88" spans="1:42" x14ac:dyDescent="0.3">
      <c r="A88" t="s">
        <v>1077</v>
      </c>
      <c r="B88" t="s">
        <v>71</v>
      </c>
      <c r="C88" t="s">
        <v>16</v>
      </c>
      <c r="D88" t="s">
        <v>41</v>
      </c>
      <c r="E88" t="s">
        <v>977</v>
      </c>
      <c r="F88">
        <v>2023</v>
      </c>
      <c r="G88">
        <v>136.5</v>
      </c>
      <c r="H88">
        <v>6</v>
      </c>
      <c r="I88">
        <v>6</v>
      </c>
      <c r="J88">
        <v>63</v>
      </c>
      <c r="K88">
        <v>86</v>
      </c>
      <c r="L88" t="s">
        <v>979</v>
      </c>
      <c r="M88">
        <v>35.69047619047619</v>
      </c>
      <c r="N88">
        <v>303</v>
      </c>
      <c r="O88">
        <v>0</v>
      </c>
      <c r="P88">
        <v>34.043478260869563</v>
      </c>
      <c r="Q88">
        <v>108.0891304347826</v>
      </c>
      <c r="R88">
        <v>-1.6469979296066271</v>
      </c>
      <c r="S88">
        <v>95</v>
      </c>
      <c r="T88">
        <v>0</v>
      </c>
      <c r="U88">
        <v>33.333333333333343</v>
      </c>
      <c r="V88">
        <v>140</v>
      </c>
      <c r="W88">
        <v>0</v>
      </c>
      <c r="X88">
        <v>42.251824817518248</v>
      </c>
      <c r="Y88">
        <v>264</v>
      </c>
      <c r="Z88">
        <v>0</v>
      </c>
      <c r="AA88">
        <v>77.646715328467153</v>
      </c>
      <c r="AB88">
        <v>200</v>
      </c>
      <c r="AC88">
        <v>0</v>
      </c>
      <c r="AD88">
        <v>49.901639344262293</v>
      </c>
      <c r="AE88">
        <v>303</v>
      </c>
      <c r="AF88">
        <v>0</v>
      </c>
      <c r="AG88">
        <v>90.971311475409848</v>
      </c>
      <c r="AH88">
        <v>200</v>
      </c>
      <c r="AI88">
        <v>0</v>
      </c>
      <c r="AJ88">
        <v>131</v>
      </c>
      <c r="AK88">
        <v>156</v>
      </c>
      <c r="AL88">
        <v>2239</v>
      </c>
      <c r="AM88">
        <v>813</v>
      </c>
      <c r="AN88">
        <v>3052</v>
      </c>
      <c r="AO88">
        <v>81</v>
      </c>
      <c r="AP88">
        <v>1240</v>
      </c>
    </row>
    <row r="89" spans="1:42" x14ac:dyDescent="0.3">
      <c r="A89" t="s">
        <v>1018</v>
      </c>
      <c r="B89" t="s">
        <v>130</v>
      </c>
      <c r="C89" t="s">
        <v>16</v>
      </c>
      <c r="D89" t="s">
        <v>9</v>
      </c>
      <c r="E89" t="s">
        <v>977</v>
      </c>
      <c r="F89">
        <v>2023</v>
      </c>
      <c r="G89">
        <v>156</v>
      </c>
      <c r="H89">
        <v>16</v>
      </c>
      <c r="I89">
        <v>5</v>
      </c>
      <c r="J89">
        <v>84</v>
      </c>
      <c r="K89">
        <v>131</v>
      </c>
      <c r="L89" t="s">
        <v>979</v>
      </c>
      <c r="M89">
        <v>35.548435171385989</v>
      </c>
      <c r="N89">
        <v>303</v>
      </c>
      <c r="O89">
        <v>0</v>
      </c>
      <c r="P89">
        <v>38.36</v>
      </c>
      <c r="Q89">
        <v>122.748</v>
      </c>
      <c r="R89">
        <v>2.81156482861401</v>
      </c>
      <c r="S89">
        <v>131</v>
      </c>
      <c r="T89">
        <v>1</v>
      </c>
      <c r="U89">
        <v>43.25</v>
      </c>
      <c r="V89">
        <v>131</v>
      </c>
      <c r="W89">
        <v>0</v>
      </c>
      <c r="X89">
        <v>42.251824817518248</v>
      </c>
      <c r="Y89">
        <v>264</v>
      </c>
      <c r="Z89">
        <v>0</v>
      </c>
      <c r="AA89">
        <v>77.646715328467153</v>
      </c>
      <c r="AB89">
        <v>200</v>
      </c>
      <c r="AC89">
        <v>0</v>
      </c>
      <c r="AD89">
        <v>49.901639344262293</v>
      </c>
      <c r="AE89">
        <v>303</v>
      </c>
      <c r="AF89">
        <v>0</v>
      </c>
      <c r="AG89">
        <v>90.971311475409848</v>
      </c>
      <c r="AH89">
        <v>200</v>
      </c>
      <c r="AI89">
        <v>0</v>
      </c>
      <c r="AJ89">
        <v>0</v>
      </c>
      <c r="AK89">
        <v>0</v>
      </c>
      <c r="AL89">
        <v>2223</v>
      </c>
      <c r="AM89">
        <v>808</v>
      </c>
      <c r="AN89">
        <v>3031</v>
      </c>
      <c r="AO89">
        <v>93</v>
      </c>
      <c r="AP89">
        <v>1219</v>
      </c>
    </row>
    <row r="90" spans="1:42" x14ac:dyDescent="0.3">
      <c r="A90" t="s">
        <v>1727</v>
      </c>
      <c r="B90" t="s">
        <v>32</v>
      </c>
      <c r="C90" t="s">
        <v>16</v>
      </c>
      <c r="D90" t="s">
        <v>64</v>
      </c>
      <c r="E90" t="s">
        <v>977</v>
      </c>
      <c r="F90">
        <v>2023</v>
      </c>
      <c r="G90">
        <v>0</v>
      </c>
      <c r="H90">
        <v>0</v>
      </c>
      <c r="I90">
        <v>0</v>
      </c>
      <c r="J90">
        <v>6</v>
      </c>
      <c r="K90">
        <v>0</v>
      </c>
      <c r="L90" t="s">
        <v>1327</v>
      </c>
      <c r="M90">
        <v>35.601492537313433</v>
      </c>
      <c r="N90">
        <v>303</v>
      </c>
      <c r="O90">
        <v>0</v>
      </c>
      <c r="P90">
        <v>26</v>
      </c>
      <c r="Q90">
        <v>94.26964285714287</v>
      </c>
      <c r="R90">
        <v>-9.6014925373134332</v>
      </c>
      <c r="S90">
        <v>187</v>
      </c>
      <c r="T90">
        <v>0</v>
      </c>
      <c r="U90">
        <v>44.710843373493979</v>
      </c>
      <c r="V90">
        <v>209</v>
      </c>
      <c r="W90">
        <v>0</v>
      </c>
      <c r="X90">
        <v>42.251824817518248</v>
      </c>
      <c r="Y90">
        <v>264</v>
      </c>
      <c r="Z90">
        <v>0</v>
      </c>
      <c r="AA90">
        <v>77.646715328467153</v>
      </c>
      <c r="AB90">
        <v>200</v>
      </c>
      <c r="AC90">
        <v>0</v>
      </c>
      <c r="AD90">
        <v>49.901639344262293</v>
      </c>
      <c r="AE90">
        <v>303</v>
      </c>
      <c r="AF90">
        <v>0</v>
      </c>
      <c r="AG90">
        <v>90.971311475409848</v>
      </c>
      <c r="AH90">
        <v>200</v>
      </c>
      <c r="AI90">
        <v>0</v>
      </c>
      <c r="AL90">
        <v>2223</v>
      </c>
      <c r="AM90">
        <v>808</v>
      </c>
      <c r="AN90">
        <v>3031</v>
      </c>
      <c r="AO90">
        <v>88</v>
      </c>
      <c r="AP90">
        <v>1219</v>
      </c>
    </row>
    <row r="91" spans="1:42" x14ac:dyDescent="0.3">
      <c r="A91" t="s">
        <v>1088</v>
      </c>
      <c r="B91" t="s">
        <v>32</v>
      </c>
      <c r="C91" t="s">
        <v>16</v>
      </c>
      <c r="D91" t="s">
        <v>19</v>
      </c>
      <c r="E91" t="s">
        <v>1009</v>
      </c>
      <c r="F91">
        <v>2023</v>
      </c>
      <c r="G91">
        <v>142.1</v>
      </c>
      <c r="H91">
        <v>5</v>
      </c>
      <c r="I91">
        <v>6</v>
      </c>
      <c r="J91">
        <v>57</v>
      </c>
      <c r="K91">
        <v>81</v>
      </c>
      <c r="L91" t="s">
        <v>979</v>
      </c>
      <c r="M91">
        <v>35.533632286995513</v>
      </c>
      <c r="N91">
        <v>303</v>
      </c>
      <c r="O91">
        <v>0</v>
      </c>
      <c r="P91">
        <v>47.6</v>
      </c>
      <c r="Q91">
        <v>101.29</v>
      </c>
      <c r="R91">
        <v>12.066367713004491</v>
      </c>
      <c r="S91">
        <v>150</v>
      </c>
      <c r="T91">
        <v>5</v>
      </c>
      <c r="U91">
        <v>44.710843373493979</v>
      </c>
      <c r="V91">
        <v>209</v>
      </c>
      <c r="W91">
        <v>0</v>
      </c>
      <c r="X91">
        <v>42.251824817518248</v>
      </c>
      <c r="Y91">
        <v>264</v>
      </c>
      <c r="Z91">
        <v>0</v>
      </c>
      <c r="AA91">
        <v>77.646715328467153</v>
      </c>
      <c r="AB91">
        <v>200</v>
      </c>
      <c r="AC91">
        <v>0</v>
      </c>
      <c r="AD91">
        <v>38.25</v>
      </c>
      <c r="AE91">
        <v>138</v>
      </c>
      <c r="AF91">
        <v>0</v>
      </c>
      <c r="AG91">
        <v>106.2954545454546</v>
      </c>
      <c r="AH91">
        <v>230</v>
      </c>
      <c r="AI91">
        <v>0</v>
      </c>
      <c r="AL91">
        <v>2218</v>
      </c>
      <c r="AM91">
        <v>802</v>
      </c>
      <c r="AN91">
        <v>3020</v>
      </c>
      <c r="AO91">
        <v>30</v>
      </c>
      <c r="AP91">
        <v>1208</v>
      </c>
    </row>
    <row r="92" spans="1:42" x14ac:dyDescent="0.3">
      <c r="A92" t="s">
        <v>1728</v>
      </c>
      <c r="B92" t="s">
        <v>73</v>
      </c>
      <c r="C92" t="s">
        <v>16</v>
      </c>
      <c r="D92" t="s">
        <v>116</v>
      </c>
      <c r="E92" t="s">
        <v>1009</v>
      </c>
      <c r="F92">
        <v>2023</v>
      </c>
      <c r="G92">
        <v>0</v>
      </c>
      <c r="H92">
        <v>0</v>
      </c>
      <c r="I92">
        <v>0</v>
      </c>
      <c r="J92">
        <v>2</v>
      </c>
      <c r="K92">
        <v>0</v>
      </c>
      <c r="L92" t="s">
        <v>1327</v>
      </c>
      <c r="M92">
        <v>35.58682634730539</v>
      </c>
      <c r="N92">
        <v>303</v>
      </c>
      <c r="O92">
        <v>0</v>
      </c>
      <c r="P92">
        <v>32.821428571428569</v>
      </c>
      <c r="Q92">
        <v>89.621428571428581</v>
      </c>
      <c r="R92">
        <v>-2.7653977758768211</v>
      </c>
      <c r="S92">
        <v>113</v>
      </c>
      <c r="T92">
        <v>0</v>
      </c>
      <c r="U92">
        <v>38.228571428571428</v>
      </c>
      <c r="V92">
        <v>137</v>
      </c>
      <c r="W92">
        <v>0</v>
      </c>
      <c r="X92">
        <v>42.251824817518248</v>
      </c>
      <c r="Y92">
        <v>264</v>
      </c>
      <c r="Z92">
        <v>0</v>
      </c>
      <c r="AA92">
        <v>77.646715328467153</v>
      </c>
      <c r="AB92">
        <v>200</v>
      </c>
      <c r="AC92">
        <v>0</v>
      </c>
      <c r="AD92">
        <v>38.25</v>
      </c>
      <c r="AE92">
        <v>138</v>
      </c>
      <c r="AF92">
        <v>0</v>
      </c>
      <c r="AG92">
        <v>106.2954545454546</v>
      </c>
      <c r="AH92">
        <v>230</v>
      </c>
      <c r="AI92">
        <v>0</v>
      </c>
      <c r="AJ92">
        <v>109</v>
      </c>
      <c r="AK92">
        <v>112.35</v>
      </c>
      <c r="AL92">
        <v>2218</v>
      </c>
      <c r="AM92">
        <v>802</v>
      </c>
      <c r="AN92">
        <v>3020</v>
      </c>
      <c r="AO92">
        <v>88</v>
      </c>
      <c r="AP92">
        <v>1208</v>
      </c>
    </row>
    <row r="93" spans="1:42" x14ac:dyDescent="0.3">
      <c r="A93" t="s">
        <v>1200</v>
      </c>
      <c r="B93" t="s">
        <v>115</v>
      </c>
      <c r="C93" t="s">
        <v>16</v>
      </c>
      <c r="D93" t="s">
        <v>116</v>
      </c>
      <c r="E93" t="s">
        <v>1009</v>
      </c>
      <c r="F93">
        <v>2023</v>
      </c>
      <c r="G93">
        <v>110.4</v>
      </c>
      <c r="H93">
        <v>7</v>
      </c>
      <c r="I93">
        <v>2</v>
      </c>
      <c r="J93">
        <v>48</v>
      </c>
      <c r="K93">
        <v>53</v>
      </c>
      <c r="L93" t="s">
        <v>979</v>
      </c>
      <c r="M93">
        <v>35.560719640179911</v>
      </c>
      <c r="N93">
        <v>303</v>
      </c>
      <c r="O93">
        <v>0</v>
      </c>
      <c r="P93">
        <v>32.821428571428569</v>
      </c>
      <c r="Q93">
        <v>89.621428571428581</v>
      </c>
      <c r="R93">
        <v>-2.7392910687513421</v>
      </c>
      <c r="S93">
        <v>113</v>
      </c>
      <c r="T93">
        <v>0</v>
      </c>
      <c r="U93">
        <v>38.236842105263158</v>
      </c>
      <c r="V93">
        <v>264</v>
      </c>
      <c r="W93">
        <v>0</v>
      </c>
      <c r="X93">
        <v>42.251824817518248</v>
      </c>
      <c r="Y93">
        <v>264</v>
      </c>
      <c r="Z93">
        <v>0</v>
      </c>
      <c r="AA93">
        <v>77.646715328467153</v>
      </c>
      <c r="AB93">
        <v>200</v>
      </c>
      <c r="AC93">
        <v>0</v>
      </c>
      <c r="AD93">
        <v>38.25</v>
      </c>
      <c r="AE93">
        <v>138</v>
      </c>
      <c r="AF93">
        <v>0</v>
      </c>
      <c r="AG93">
        <v>106.2954545454546</v>
      </c>
      <c r="AH93">
        <v>230</v>
      </c>
      <c r="AI93">
        <v>0</v>
      </c>
      <c r="AJ93">
        <v>56</v>
      </c>
      <c r="AK93">
        <v>114.3</v>
      </c>
      <c r="AL93">
        <v>2211</v>
      </c>
      <c r="AM93">
        <v>800</v>
      </c>
      <c r="AN93">
        <v>3011</v>
      </c>
      <c r="AO93">
        <v>79</v>
      </c>
      <c r="AP93">
        <v>1199</v>
      </c>
    </row>
    <row r="94" spans="1:42" x14ac:dyDescent="0.3">
      <c r="A94" t="s">
        <v>1182</v>
      </c>
      <c r="B94" t="s">
        <v>71</v>
      </c>
      <c r="C94" t="s">
        <v>16</v>
      </c>
      <c r="D94" t="s">
        <v>116</v>
      </c>
      <c r="E94" t="s">
        <v>1009</v>
      </c>
      <c r="F94">
        <v>2023</v>
      </c>
      <c r="G94">
        <v>114.3</v>
      </c>
      <c r="H94">
        <v>6</v>
      </c>
      <c r="I94">
        <v>4</v>
      </c>
      <c r="J94">
        <v>49</v>
      </c>
      <c r="K94">
        <v>56</v>
      </c>
      <c r="L94" t="s">
        <v>979</v>
      </c>
      <c r="M94">
        <v>35.530030030030026</v>
      </c>
      <c r="N94">
        <v>303</v>
      </c>
      <c r="O94">
        <v>0</v>
      </c>
      <c r="P94">
        <v>32.821428571428569</v>
      </c>
      <c r="Q94">
        <v>89.621428571428581</v>
      </c>
      <c r="R94">
        <v>-2.7086014586014642</v>
      </c>
      <c r="S94">
        <v>113</v>
      </c>
      <c r="T94">
        <v>0</v>
      </c>
      <c r="U94">
        <v>33.333333333333343</v>
      </c>
      <c r="V94">
        <v>140</v>
      </c>
      <c r="W94">
        <v>0</v>
      </c>
      <c r="X94">
        <v>42.251824817518248</v>
      </c>
      <c r="Y94">
        <v>264</v>
      </c>
      <c r="Z94">
        <v>0</v>
      </c>
      <c r="AA94">
        <v>77.646715328467153</v>
      </c>
      <c r="AB94">
        <v>200</v>
      </c>
      <c r="AC94">
        <v>0</v>
      </c>
      <c r="AD94">
        <v>38.25</v>
      </c>
      <c r="AE94">
        <v>138</v>
      </c>
      <c r="AF94">
        <v>0</v>
      </c>
      <c r="AG94">
        <v>106.2954545454546</v>
      </c>
      <c r="AH94">
        <v>230</v>
      </c>
      <c r="AI94">
        <v>0</v>
      </c>
      <c r="AL94">
        <v>2205</v>
      </c>
      <c r="AM94">
        <v>796</v>
      </c>
      <c r="AN94">
        <v>3001</v>
      </c>
      <c r="AO94">
        <v>69</v>
      </c>
      <c r="AP94">
        <v>1189</v>
      </c>
    </row>
    <row r="95" spans="1:42" x14ac:dyDescent="0.3">
      <c r="A95" t="s">
        <v>1108</v>
      </c>
      <c r="B95" t="s">
        <v>203</v>
      </c>
      <c r="C95" t="s">
        <v>16</v>
      </c>
      <c r="D95" t="s">
        <v>204</v>
      </c>
      <c r="E95" t="s">
        <v>1009</v>
      </c>
      <c r="F95">
        <v>2023</v>
      </c>
      <c r="G95">
        <v>125.4</v>
      </c>
      <c r="H95">
        <v>6</v>
      </c>
      <c r="I95">
        <v>5</v>
      </c>
      <c r="J95">
        <v>59</v>
      </c>
      <c r="K95">
        <v>74</v>
      </c>
      <c r="L95" t="s">
        <v>979</v>
      </c>
      <c r="M95">
        <v>35.472180451127819</v>
      </c>
      <c r="N95">
        <v>303</v>
      </c>
      <c r="O95">
        <v>0</v>
      </c>
      <c r="P95">
        <v>53.4</v>
      </c>
      <c r="Q95">
        <v>85.059999999999988</v>
      </c>
      <c r="R95">
        <v>17.927819548872179</v>
      </c>
      <c r="S95">
        <v>124</v>
      </c>
      <c r="T95">
        <v>4</v>
      </c>
      <c r="V95">
        <v>74</v>
      </c>
      <c r="W95">
        <v>74</v>
      </c>
      <c r="X95">
        <v>42.251824817518248</v>
      </c>
      <c r="Y95">
        <v>264</v>
      </c>
      <c r="Z95">
        <v>0</v>
      </c>
      <c r="AA95">
        <v>77.646715328467153</v>
      </c>
      <c r="AB95">
        <v>200</v>
      </c>
      <c r="AC95">
        <v>0</v>
      </c>
      <c r="AD95">
        <v>38.25</v>
      </c>
      <c r="AE95">
        <v>138</v>
      </c>
      <c r="AF95">
        <v>0</v>
      </c>
      <c r="AG95">
        <v>106.2954545454546</v>
      </c>
      <c r="AH95">
        <v>230</v>
      </c>
      <c r="AI95">
        <v>0</v>
      </c>
      <c r="AJ95">
        <v>11</v>
      </c>
      <c r="AK95">
        <v>50</v>
      </c>
      <c r="AL95">
        <v>2199</v>
      </c>
      <c r="AM95">
        <v>791</v>
      </c>
      <c r="AN95">
        <v>2990</v>
      </c>
      <c r="AO95">
        <v>29</v>
      </c>
      <c r="AP95">
        <v>1178</v>
      </c>
    </row>
    <row r="96" spans="1:42" x14ac:dyDescent="0.3">
      <c r="A96" t="s">
        <v>1519</v>
      </c>
      <c r="B96" t="s">
        <v>71</v>
      </c>
      <c r="C96" t="s">
        <v>16</v>
      </c>
      <c r="D96" t="s">
        <v>204</v>
      </c>
      <c r="E96" t="s">
        <v>1009</v>
      </c>
      <c r="F96">
        <v>2023</v>
      </c>
      <c r="G96">
        <v>50</v>
      </c>
      <c r="H96">
        <v>2</v>
      </c>
      <c r="I96">
        <v>0</v>
      </c>
      <c r="J96">
        <v>22</v>
      </c>
      <c r="K96">
        <v>11</v>
      </c>
      <c r="L96" t="s">
        <v>1327</v>
      </c>
      <c r="M96">
        <v>35.50903614457831</v>
      </c>
      <c r="N96">
        <v>303</v>
      </c>
      <c r="O96">
        <v>0</v>
      </c>
      <c r="P96">
        <v>53.4</v>
      </c>
      <c r="Q96">
        <v>85.059999999999988</v>
      </c>
      <c r="R96">
        <v>17.890963855421688</v>
      </c>
      <c r="S96">
        <v>124</v>
      </c>
      <c r="T96">
        <v>4</v>
      </c>
      <c r="U96">
        <v>33.333333333333343</v>
      </c>
      <c r="V96">
        <v>140</v>
      </c>
      <c r="W96">
        <v>0</v>
      </c>
      <c r="X96">
        <v>42.251824817518248</v>
      </c>
      <c r="Y96">
        <v>264</v>
      </c>
      <c r="Z96">
        <v>0</v>
      </c>
      <c r="AA96">
        <v>77.646715328467153</v>
      </c>
      <c r="AB96">
        <v>200</v>
      </c>
      <c r="AC96">
        <v>0</v>
      </c>
      <c r="AD96">
        <v>38.25</v>
      </c>
      <c r="AE96">
        <v>138</v>
      </c>
      <c r="AF96">
        <v>0</v>
      </c>
      <c r="AG96">
        <v>106.2954545454546</v>
      </c>
      <c r="AH96">
        <v>230</v>
      </c>
      <c r="AI96">
        <v>0</v>
      </c>
      <c r="AL96">
        <v>2197</v>
      </c>
      <c r="AM96">
        <v>791</v>
      </c>
      <c r="AN96">
        <v>2988</v>
      </c>
      <c r="AO96">
        <v>27</v>
      </c>
      <c r="AP96">
        <v>1176</v>
      </c>
    </row>
    <row r="97" spans="1:42" x14ac:dyDescent="0.3">
      <c r="A97" t="s">
        <v>1503</v>
      </c>
      <c r="B97" t="s">
        <v>208</v>
      </c>
      <c r="C97" t="s">
        <v>16</v>
      </c>
      <c r="D97" t="s">
        <v>122</v>
      </c>
      <c r="E97" t="s">
        <v>1012</v>
      </c>
      <c r="F97">
        <v>2023</v>
      </c>
      <c r="G97">
        <v>63.2</v>
      </c>
      <c r="H97">
        <v>2</v>
      </c>
      <c r="I97">
        <v>0</v>
      </c>
      <c r="J97">
        <v>19</v>
      </c>
      <c r="K97">
        <v>12</v>
      </c>
      <c r="L97" t="s">
        <v>1327</v>
      </c>
      <c r="M97">
        <v>35.544494720965311</v>
      </c>
      <c r="N97">
        <v>303</v>
      </c>
      <c r="O97">
        <v>0</v>
      </c>
      <c r="P97">
        <v>22.6</v>
      </c>
      <c r="Q97">
        <v>107.78</v>
      </c>
      <c r="R97">
        <v>-12.944494720965309</v>
      </c>
      <c r="S97">
        <v>79</v>
      </c>
      <c r="T97">
        <v>5</v>
      </c>
      <c r="U97">
        <v>47.081967213114751</v>
      </c>
      <c r="V97">
        <v>177</v>
      </c>
      <c r="W97">
        <v>0</v>
      </c>
      <c r="X97">
        <v>42.251824817518248</v>
      </c>
      <c r="Y97">
        <v>264</v>
      </c>
      <c r="Z97">
        <v>0</v>
      </c>
      <c r="AA97">
        <v>77.646715328467153</v>
      </c>
      <c r="AB97">
        <v>200</v>
      </c>
      <c r="AC97">
        <v>0</v>
      </c>
      <c r="AD97">
        <v>37.228571428571428</v>
      </c>
      <c r="AE97">
        <v>137</v>
      </c>
      <c r="AF97">
        <v>0</v>
      </c>
      <c r="AG97">
        <v>73.452857142857127</v>
      </c>
      <c r="AH97">
        <v>178.6</v>
      </c>
      <c r="AI97">
        <v>0</v>
      </c>
      <c r="AL97">
        <v>2195</v>
      </c>
      <c r="AM97">
        <v>791</v>
      </c>
      <c r="AN97">
        <v>2986</v>
      </c>
      <c r="AO97">
        <v>11</v>
      </c>
      <c r="AP97">
        <v>1174</v>
      </c>
    </row>
    <row r="98" spans="1:42" x14ac:dyDescent="0.3">
      <c r="A98" t="s">
        <v>1011</v>
      </c>
      <c r="B98" t="s">
        <v>208</v>
      </c>
      <c r="C98" t="s">
        <v>83</v>
      </c>
      <c r="D98" t="s">
        <v>210</v>
      </c>
      <c r="E98" t="s">
        <v>1012</v>
      </c>
      <c r="F98">
        <v>2023</v>
      </c>
      <c r="G98">
        <v>92.7</v>
      </c>
      <c r="H98">
        <v>14</v>
      </c>
      <c r="I98">
        <v>5</v>
      </c>
      <c r="J98">
        <v>247</v>
      </c>
      <c r="K98">
        <v>137</v>
      </c>
      <c r="L98" t="s">
        <v>979</v>
      </c>
      <c r="M98">
        <v>35.391238670694861</v>
      </c>
      <c r="N98">
        <v>303</v>
      </c>
      <c r="O98">
        <v>0</v>
      </c>
      <c r="P98">
        <v>46.444444444444443</v>
      </c>
      <c r="Q98">
        <v>83.111111111111114</v>
      </c>
      <c r="R98">
        <v>11.05320577374958</v>
      </c>
      <c r="S98">
        <v>137</v>
      </c>
      <c r="T98">
        <v>7</v>
      </c>
      <c r="U98">
        <v>47.081967213114751</v>
      </c>
      <c r="V98">
        <v>177</v>
      </c>
      <c r="W98">
        <v>0</v>
      </c>
      <c r="X98">
        <v>65.166666666666671</v>
      </c>
      <c r="Y98">
        <v>303</v>
      </c>
      <c r="Z98">
        <v>1</v>
      </c>
      <c r="AA98">
        <v>55.904545454545449</v>
      </c>
      <c r="AB98">
        <v>161.6</v>
      </c>
      <c r="AC98">
        <v>16.600000000000001</v>
      </c>
      <c r="AD98">
        <v>37.228571428571428</v>
      </c>
      <c r="AE98">
        <v>137</v>
      </c>
      <c r="AF98">
        <v>0</v>
      </c>
      <c r="AG98">
        <v>73.452857142857127</v>
      </c>
      <c r="AH98">
        <v>178.6</v>
      </c>
      <c r="AI98">
        <v>0</v>
      </c>
      <c r="AL98">
        <v>2181</v>
      </c>
      <c r="AM98">
        <v>786</v>
      </c>
      <c r="AN98">
        <v>2967</v>
      </c>
      <c r="AO98">
        <v>25</v>
      </c>
      <c r="AP98">
        <v>452</v>
      </c>
    </row>
    <row r="99" spans="1:42" x14ac:dyDescent="0.3">
      <c r="A99" t="s">
        <v>1052</v>
      </c>
      <c r="B99" t="s">
        <v>208</v>
      </c>
      <c r="C99" t="s">
        <v>83</v>
      </c>
      <c r="D99" t="s">
        <v>214</v>
      </c>
      <c r="E99" t="s">
        <v>1012</v>
      </c>
      <c r="F99">
        <v>2023</v>
      </c>
      <c r="G99">
        <v>46.6</v>
      </c>
      <c r="H99">
        <v>10</v>
      </c>
      <c r="I99">
        <v>2</v>
      </c>
      <c r="J99">
        <v>185</v>
      </c>
      <c r="K99">
        <v>103</v>
      </c>
      <c r="L99" t="s">
        <v>979</v>
      </c>
      <c r="M99">
        <v>35.288956127080183</v>
      </c>
      <c r="N99">
        <v>303</v>
      </c>
      <c r="O99">
        <v>0</v>
      </c>
      <c r="P99">
        <v>103</v>
      </c>
      <c r="Q99">
        <v>46.6</v>
      </c>
      <c r="R99">
        <v>67.711043872919817</v>
      </c>
      <c r="S99">
        <v>103</v>
      </c>
      <c r="T99">
        <v>103</v>
      </c>
      <c r="U99">
        <v>47.081967213114751</v>
      </c>
      <c r="V99">
        <v>177</v>
      </c>
      <c r="W99">
        <v>0</v>
      </c>
      <c r="X99">
        <v>65.166666666666671</v>
      </c>
      <c r="Y99">
        <v>303</v>
      </c>
      <c r="Z99">
        <v>1</v>
      </c>
      <c r="AA99">
        <v>55.904545454545449</v>
      </c>
      <c r="AB99">
        <v>161.6</v>
      </c>
      <c r="AC99">
        <v>16.600000000000001</v>
      </c>
      <c r="AD99">
        <v>37.228571428571428</v>
      </c>
      <c r="AE99">
        <v>137</v>
      </c>
      <c r="AF99">
        <v>0</v>
      </c>
      <c r="AG99">
        <v>73.452857142857127</v>
      </c>
      <c r="AH99">
        <v>178.6</v>
      </c>
      <c r="AI99">
        <v>0</v>
      </c>
      <c r="AL99">
        <v>2171</v>
      </c>
      <c r="AM99">
        <v>784</v>
      </c>
      <c r="AN99">
        <v>2955</v>
      </c>
      <c r="AP99">
        <v>440</v>
      </c>
    </row>
    <row r="100" spans="1:42" x14ac:dyDescent="0.3">
      <c r="A100" t="s">
        <v>1169</v>
      </c>
      <c r="B100" t="s">
        <v>32</v>
      </c>
      <c r="C100" t="s">
        <v>83</v>
      </c>
      <c r="D100" t="s">
        <v>218</v>
      </c>
      <c r="E100" t="s">
        <v>1007</v>
      </c>
      <c r="F100">
        <v>2023</v>
      </c>
      <c r="G100">
        <v>64.599999999999994</v>
      </c>
      <c r="H100">
        <v>9</v>
      </c>
      <c r="I100">
        <v>1</v>
      </c>
      <c r="J100">
        <v>104</v>
      </c>
      <c r="K100">
        <v>58</v>
      </c>
      <c r="L100" t="s">
        <v>979</v>
      </c>
      <c r="M100">
        <v>35.254545454545458</v>
      </c>
      <c r="N100">
        <v>303</v>
      </c>
      <c r="O100">
        <v>0</v>
      </c>
      <c r="P100">
        <v>46.46153846153846</v>
      </c>
      <c r="Q100">
        <v>74.492307692307705</v>
      </c>
      <c r="R100">
        <v>11.206993006993001</v>
      </c>
      <c r="S100">
        <v>138</v>
      </c>
      <c r="T100">
        <v>0</v>
      </c>
      <c r="U100">
        <v>44.710843373493979</v>
      </c>
      <c r="V100">
        <v>209</v>
      </c>
      <c r="W100">
        <v>0</v>
      </c>
      <c r="X100">
        <v>65.166666666666671</v>
      </c>
      <c r="Y100">
        <v>303</v>
      </c>
      <c r="Z100">
        <v>1</v>
      </c>
      <c r="AA100">
        <v>55.904545454545449</v>
      </c>
      <c r="AB100">
        <v>161.6</v>
      </c>
      <c r="AC100">
        <v>16.600000000000001</v>
      </c>
      <c r="AD100">
        <v>37.180327868852459</v>
      </c>
      <c r="AE100">
        <v>140</v>
      </c>
      <c r="AF100">
        <v>0</v>
      </c>
      <c r="AG100">
        <v>82.911475409836058</v>
      </c>
      <c r="AH100">
        <v>224.4</v>
      </c>
      <c r="AI100">
        <v>0</v>
      </c>
      <c r="AL100">
        <v>2162</v>
      </c>
      <c r="AM100">
        <v>783</v>
      </c>
      <c r="AN100">
        <v>2945</v>
      </c>
      <c r="AO100">
        <v>68</v>
      </c>
      <c r="AP100">
        <v>430</v>
      </c>
    </row>
    <row r="101" spans="1:42" x14ac:dyDescent="0.3">
      <c r="A101" t="s">
        <v>1573</v>
      </c>
      <c r="B101" t="s">
        <v>43</v>
      </c>
      <c r="C101" t="s">
        <v>1043</v>
      </c>
      <c r="D101" t="s">
        <v>41</v>
      </c>
      <c r="E101" t="s">
        <v>1036</v>
      </c>
      <c r="F101">
        <v>2023</v>
      </c>
      <c r="G101">
        <v>114.3</v>
      </c>
      <c r="H101">
        <v>1</v>
      </c>
      <c r="I101">
        <v>0</v>
      </c>
      <c r="J101">
        <v>7</v>
      </c>
      <c r="K101">
        <v>8</v>
      </c>
      <c r="L101" t="s">
        <v>1327</v>
      </c>
      <c r="M101">
        <v>35.295902883156288</v>
      </c>
      <c r="N101">
        <v>303</v>
      </c>
      <c r="O101">
        <v>0</v>
      </c>
      <c r="P101">
        <v>34.043478260869563</v>
      </c>
      <c r="Q101">
        <v>108.0891304347826</v>
      </c>
      <c r="R101">
        <v>-1.2524246222867319</v>
      </c>
      <c r="S101">
        <v>95</v>
      </c>
      <c r="T101">
        <v>0</v>
      </c>
      <c r="U101">
        <v>20</v>
      </c>
      <c r="V101">
        <v>81</v>
      </c>
      <c r="W101">
        <v>2</v>
      </c>
      <c r="X101">
        <v>26.556862745098041</v>
      </c>
      <c r="Y101">
        <v>109</v>
      </c>
      <c r="Z101">
        <v>0</v>
      </c>
      <c r="AA101">
        <v>114.6301960784314</v>
      </c>
      <c r="AB101">
        <v>350</v>
      </c>
      <c r="AC101">
        <v>0</v>
      </c>
      <c r="AD101">
        <v>26.732758620689651</v>
      </c>
      <c r="AE101">
        <v>114</v>
      </c>
      <c r="AF101">
        <v>0</v>
      </c>
      <c r="AG101">
        <v>115.31896551724139</v>
      </c>
      <c r="AH101">
        <v>350</v>
      </c>
      <c r="AI101">
        <v>0</v>
      </c>
      <c r="AJ101">
        <v>67</v>
      </c>
      <c r="AK101">
        <v>130.69999999999999</v>
      </c>
      <c r="AL101">
        <v>2161</v>
      </c>
      <c r="AM101">
        <v>783</v>
      </c>
      <c r="AN101">
        <v>2944</v>
      </c>
      <c r="AO101">
        <v>80</v>
      </c>
      <c r="AP101">
        <v>763</v>
      </c>
    </row>
    <row r="102" spans="1:42" x14ac:dyDescent="0.3">
      <c r="A102" t="s">
        <v>1520</v>
      </c>
      <c r="B102" t="s">
        <v>51</v>
      </c>
      <c r="C102" t="s">
        <v>1043</v>
      </c>
      <c r="D102" t="s">
        <v>64</v>
      </c>
      <c r="E102" t="s">
        <v>1036</v>
      </c>
      <c r="F102">
        <v>2023</v>
      </c>
      <c r="G102">
        <v>110</v>
      </c>
      <c r="H102">
        <v>1</v>
      </c>
      <c r="I102">
        <v>1</v>
      </c>
      <c r="J102">
        <v>10</v>
      </c>
      <c r="K102">
        <v>11</v>
      </c>
      <c r="L102" t="s">
        <v>1327</v>
      </c>
      <c r="M102">
        <v>35.332826747720368</v>
      </c>
      <c r="N102">
        <v>303</v>
      </c>
      <c r="O102">
        <v>0</v>
      </c>
      <c r="P102">
        <v>26</v>
      </c>
      <c r="Q102">
        <v>94.26964285714287</v>
      </c>
      <c r="R102">
        <v>-9.3328267477203681</v>
      </c>
      <c r="S102">
        <v>187</v>
      </c>
      <c r="T102">
        <v>0</v>
      </c>
      <c r="U102">
        <v>27.5</v>
      </c>
      <c r="V102">
        <v>68</v>
      </c>
      <c r="W102">
        <v>4</v>
      </c>
      <c r="X102">
        <v>26.556862745098041</v>
      </c>
      <c r="Y102">
        <v>109</v>
      </c>
      <c r="Z102">
        <v>0</v>
      </c>
      <c r="AA102">
        <v>114.6301960784314</v>
      </c>
      <c r="AB102">
        <v>350</v>
      </c>
      <c r="AC102">
        <v>0</v>
      </c>
      <c r="AD102">
        <v>26.732758620689651</v>
      </c>
      <c r="AE102">
        <v>114</v>
      </c>
      <c r="AF102">
        <v>0</v>
      </c>
      <c r="AG102">
        <v>115.31896551724139</v>
      </c>
      <c r="AH102">
        <v>350</v>
      </c>
      <c r="AI102">
        <v>0</v>
      </c>
      <c r="AJ102">
        <v>56</v>
      </c>
      <c r="AK102">
        <v>151.4</v>
      </c>
      <c r="AL102">
        <v>2160</v>
      </c>
      <c r="AM102">
        <v>782</v>
      </c>
      <c r="AN102">
        <v>2942</v>
      </c>
      <c r="AO102">
        <v>86</v>
      </c>
      <c r="AP102">
        <v>761</v>
      </c>
    </row>
    <row r="103" spans="1:42" x14ac:dyDescent="0.3">
      <c r="A103" t="s">
        <v>1183</v>
      </c>
      <c r="B103" t="s">
        <v>53</v>
      </c>
      <c r="C103" t="s">
        <v>1043</v>
      </c>
      <c r="D103" t="s">
        <v>12</v>
      </c>
      <c r="E103" t="s">
        <v>1036</v>
      </c>
      <c r="F103">
        <v>2023</v>
      </c>
      <c r="G103">
        <v>151.4</v>
      </c>
      <c r="H103">
        <v>8</v>
      </c>
      <c r="I103">
        <v>1</v>
      </c>
      <c r="J103">
        <v>37</v>
      </c>
      <c r="K103">
        <v>56</v>
      </c>
      <c r="L103" t="s">
        <v>979</v>
      </c>
      <c r="M103">
        <v>35.301369863013697</v>
      </c>
      <c r="N103">
        <v>303</v>
      </c>
      <c r="O103">
        <v>0</v>
      </c>
      <c r="P103">
        <v>31.203883495145629</v>
      </c>
      <c r="Q103">
        <v>120.5689320388349</v>
      </c>
      <c r="R103">
        <v>-4.0974863678680649</v>
      </c>
      <c r="S103">
        <v>162</v>
      </c>
      <c r="T103">
        <v>0</v>
      </c>
      <c r="U103">
        <v>19.375</v>
      </c>
      <c r="V103">
        <v>70</v>
      </c>
      <c r="W103">
        <v>1</v>
      </c>
      <c r="X103">
        <v>26.556862745098041</v>
      </c>
      <c r="Y103">
        <v>109</v>
      </c>
      <c r="Z103">
        <v>0</v>
      </c>
      <c r="AA103">
        <v>114.6301960784314</v>
      </c>
      <c r="AB103">
        <v>350</v>
      </c>
      <c r="AC103">
        <v>0</v>
      </c>
      <c r="AD103">
        <v>26.732758620689651</v>
      </c>
      <c r="AE103">
        <v>114</v>
      </c>
      <c r="AF103">
        <v>0</v>
      </c>
      <c r="AG103">
        <v>115.31896551724139</v>
      </c>
      <c r="AH103">
        <v>350</v>
      </c>
      <c r="AI103">
        <v>0</v>
      </c>
      <c r="AJ103">
        <v>37</v>
      </c>
      <c r="AK103">
        <v>148</v>
      </c>
      <c r="AL103">
        <v>2152</v>
      </c>
      <c r="AM103">
        <v>781</v>
      </c>
      <c r="AN103">
        <v>2933</v>
      </c>
      <c r="AO103">
        <v>346</v>
      </c>
      <c r="AP103">
        <v>752</v>
      </c>
    </row>
    <row r="104" spans="1:42" x14ac:dyDescent="0.3">
      <c r="A104" t="s">
        <v>1288</v>
      </c>
      <c r="B104" t="s">
        <v>51</v>
      </c>
      <c r="C104" t="s">
        <v>1043</v>
      </c>
      <c r="D104" t="s">
        <v>142</v>
      </c>
      <c r="E104" t="s">
        <v>1036</v>
      </c>
      <c r="F104">
        <v>2023</v>
      </c>
      <c r="G104">
        <v>148</v>
      </c>
      <c r="H104">
        <v>1</v>
      </c>
      <c r="I104">
        <v>3</v>
      </c>
      <c r="J104">
        <v>25</v>
      </c>
      <c r="K104">
        <v>37</v>
      </c>
      <c r="L104" t="s">
        <v>979</v>
      </c>
      <c r="M104">
        <v>35.298780487804883</v>
      </c>
      <c r="N104">
        <v>303</v>
      </c>
      <c r="O104">
        <v>0</v>
      </c>
      <c r="P104">
        <v>56.6</v>
      </c>
      <c r="Q104">
        <v>126.72</v>
      </c>
      <c r="R104">
        <v>21.301219512195129</v>
      </c>
      <c r="S104">
        <v>111</v>
      </c>
      <c r="T104">
        <v>4</v>
      </c>
      <c r="U104">
        <v>27.5</v>
      </c>
      <c r="V104">
        <v>68</v>
      </c>
      <c r="W104">
        <v>4</v>
      </c>
      <c r="X104">
        <v>26.556862745098041</v>
      </c>
      <c r="Y104">
        <v>109</v>
      </c>
      <c r="Z104">
        <v>0</v>
      </c>
      <c r="AA104">
        <v>114.6301960784314</v>
      </c>
      <c r="AB104">
        <v>350</v>
      </c>
      <c r="AC104">
        <v>0</v>
      </c>
      <c r="AD104">
        <v>26.732758620689651</v>
      </c>
      <c r="AE104">
        <v>114</v>
      </c>
      <c r="AF104">
        <v>0</v>
      </c>
      <c r="AG104">
        <v>115.31896551724139</v>
      </c>
      <c r="AH104">
        <v>350</v>
      </c>
      <c r="AI104">
        <v>0</v>
      </c>
      <c r="AJ104">
        <v>29</v>
      </c>
      <c r="AK104">
        <v>161.1</v>
      </c>
      <c r="AL104">
        <v>2151</v>
      </c>
      <c r="AM104">
        <v>778</v>
      </c>
      <c r="AN104">
        <v>2929</v>
      </c>
      <c r="AO104">
        <v>18</v>
      </c>
      <c r="AP104">
        <v>748</v>
      </c>
    </row>
    <row r="105" spans="1:42" x14ac:dyDescent="0.3">
      <c r="A105" t="s">
        <v>1336</v>
      </c>
      <c r="B105" t="s">
        <v>43</v>
      </c>
      <c r="C105" t="s">
        <v>1043</v>
      </c>
      <c r="D105" t="s">
        <v>12</v>
      </c>
      <c r="E105" t="s">
        <v>1036</v>
      </c>
      <c r="F105">
        <v>2023</v>
      </c>
      <c r="G105">
        <v>161.1</v>
      </c>
      <c r="H105">
        <v>3</v>
      </c>
      <c r="I105">
        <v>2</v>
      </c>
      <c r="J105">
        <v>18</v>
      </c>
      <c r="K105">
        <v>29</v>
      </c>
      <c r="L105" t="s">
        <v>1327</v>
      </c>
      <c r="M105">
        <v>35.308396946564883</v>
      </c>
      <c r="N105">
        <v>303</v>
      </c>
      <c r="O105">
        <v>0</v>
      </c>
      <c r="P105">
        <v>31.203883495145629</v>
      </c>
      <c r="Q105">
        <v>120.5689320388349</v>
      </c>
      <c r="R105">
        <v>-4.1045134514192512</v>
      </c>
      <c r="S105">
        <v>162</v>
      </c>
      <c r="T105">
        <v>0</v>
      </c>
      <c r="U105">
        <v>20</v>
      </c>
      <c r="V105">
        <v>81</v>
      </c>
      <c r="W105">
        <v>2</v>
      </c>
      <c r="X105">
        <v>26.556862745098041</v>
      </c>
      <c r="Y105">
        <v>109</v>
      </c>
      <c r="Z105">
        <v>0</v>
      </c>
      <c r="AA105">
        <v>114.6301960784314</v>
      </c>
      <c r="AB105">
        <v>350</v>
      </c>
      <c r="AC105">
        <v>0</v>
      </c>
      <c r="AD105">
        <v>26.732758620689651</v>
      </c>
      <c r="AE105">
        <v>114</v>
      </c>
      <c r="AF105">
        <v>0</v>
      </c>
      <c r="AG105">
        <v>115.31896551724139</v>
      </c>
      <c r="AH105">
        <v>350</v>
      </c>
      <c r="AI105">
        <v>0</v>
      </c>
      <c r="AJ105">
        <v>7</v>
      </c>
      <c r="AK105">
        <v>87.5</v>
      </c>
      <c r="AL105">
        <v>2148</v>
      </c>
      <c r="AM105">
        <v>776</v>
      </c>
      <c r="AN105">
        <v>2924</v>
      </c>
      <c r="AO105">
        <v>341</v>
      </c>
      <c r="AP105">
        <v>743</v>
      </c>
    </row>
    <row r="106" spans="1:42" x14ac:dyDescent="0.3">
      <c r="A106" t="s">
        <v>1590</v>
      </c>
      <c r="B106" t="s">
        <v>60</v>
      </c>
      <c r="C106" t="s">
        <v>1043</v>
      </c>
      <c r="D106" t="s">
        <v>12</v>
      </c>
      <c r="E106" t="s">
        <v>1036</v>
      </c>
      <c r="F106">
        <v>2023</v>
      </c>
      <c r="G106">
        <v>87.5</v>
      </c>
      <c r="H106">
        <v>1</v>
      </c>
      <c r="I106">
        <v>0</v>
      </c>
      <c r="J106">
        <v>8</v>
      </c>
      <c r="K106">
        <v>7</v>
      </c>
      <c r="L106" t="s">
        <v>1327</v>
      </c>
      <c r="M106">
        <v>35.351681957186543</v>
      </c>
      <c r="N106">
        <v>303</v>
      </c>
      <c r="O106">
        <v>0</v>
      </c>
      <c r="P106">
        <v>31.203883495145629</v>
      </c>
      <c r="Q106">
        <v>120.5689320388349</v>
      </c>
      <c r="R106">
        <v>-4.1477984620409103</v>
      </c>
      <c r="S106">
        <v>162</v>
      </c>
      <c r="T106">
        <v>0</v>
      </c>
      <c r="U106">
        <v>25.96875</v>
      </c>
      <c r="V106">
        <v>94</v>
      </c>
      <c r="W106">
        <v>0</v>
      </c>
      <c r="X106">
        <v>26.556862745098041</v>
      </c>
      <c r="Y106">
        <v>109</v>
      </c>
      <c r="Z106">
        <v>0</v>
      </c>
      <c r="AA106">
        <v>114.6301960784314</v>
      </c>
      <c r="AB106">
        <v>350</v>
      </c>
      <c r="AC106">
        <v>0</v>
      </c>
      <c r="AD106">
        <v>26.732758620689651</v>
      </c>
      <c r="AE106">
        <v>114</v>
      </c>
      <c r="AF106">
        <v>0</v>
      </c>
      <c r="AG106">
        <v>115.31896551724139</v>
      </c>
      <c r="AH106">
        <v>350</v>
      </c>
      <c r="AI106">
        <v>0</v>
      </c>
      <c r="AJ106">
        <v>0</v>
      </c>
      <c r="AK106">
        <v>0</v>
      </c>
      <c r="AL106">
        <v>2147</v>
      </c>
      <c r="AM106">
        <v>776</v>
      </c>
      <c r="AN106">
        <v>2923</v>
      </c>
      <c r="AO106">
        <v>340</v>
      </c>
      <c r="AP106">
        <v>742</v>
      </c>
    </row>
    <row r="107" spans="1:42" x14ac:dyDescent="0.3">
      <c r="A107" t="s">
        <v>1729</v>
      </c>
      <c r="B107" t="s">
        <v>56</v>
      </c>
      <c r="C107" t="s">
        <v>1043</v>
      </c>
      <c r="D107" t="s">
        <v>64</v>
      </c>
      <c r="E107" t="s">
        <v>1036</v>
      </c>
      <c r="F107">
        <v>2023</v>
      </c>
      <c r="G107">
        <v>0</v>
      </c>
      <c r="H107">
        <v>0</v>
      </c>
      <c r="I107">
        <v>0</v>
      </c>
      <c r="J107">
        <v>3</v>
      </c>
      <c r="K107">
        <v>0</v>
      </c>
      <c r="L107" t="s">
        <v>1327</v>
      </c>
      <c r="M107">
        <v>35.405819295558963</v>
      </c>
      <c r="N107">
        <v>303</v>
      </c>
      <c r="O107">
        <v>0</v>
      </c>
      <c r="P107">
        <v>26</v>
      </c>
      <c r="Q107">
        <v>94.26964285714287</v>
      </c>
      <c r="R107">
        <v>-9.4058192955589561</v>
      </c>
      <c r="S107">
        <v>187</v>
      </c>
      <c r="T107">
        <v>0</v>
      </c>
      <c r="U107">
        <v>25.6</v>
      </c>
      <c r="V107">
        <v>105</v>
      </c>
      <c r="W107">
        <v>0</v>
      </c>
      <c r="X107">
        <v>26.556862745098041</v>
      </c>
      <c r="Y107">
        <v>109</v>
      </c>
      <c r="Z107">
        <v>0</v>
      </c>
      <c r="AA107">
        <v>114.6301960784314</v>
      </c>
      <c r="AB107">
        <v>350</v>
      </c>
      <c r="AC107">
        <v>0</v>
      </c>
      <c r="AD107">
        <v>26.732758620689651</v>
      </c>
      <c r="AE107">
        <v>114</v>
      </c>
      <c r="AF107">
        <v>0</v>
      </c>
      <c r="AG107">
        <v>115.31896551724139</v>
      </c>
      <c r="AH107">
        <v>350</v>
      </c>
      <c r="AI107">
        <v>0</v>
      </c>
      <c r="AJ107">
        <v>0</v>
      </c>
      <c r="AK107">
        <v>0</v>
      </c>
      <c r="AL107">
        <v>2147</v>
      </c>
      <c r="AM107">
        <v>776</v>
      </c>
      <c r="AN107">
        <v>2923</v>
      </c>
      <c r="AO107">
        <v>86</v>
      </c>
      <c r="AP107">
        <v>742</v>
      </c>
    </row>
    <row r="108" spans="1:42" x14ac:dyDescent="0.3">
      <c r="A108" t="s">
        <v>1730</v>
      </c>
      <c r="B108" t="s">
        <v>40</v>
      </c>
      <c r="C108" t="s">
        <v>1043</v>
      </c>
      <c r="D108" t="s">
        <v>173</v>
      </c>
      <c r="E108" t="s">
        <v>1036</v>
      </c>
      <c r="F108">
        <v>2023</v>
      </c>
      <c r="G108">
        <v>0</v>
      </c>
      <c r="H108">
        <v>0</v>
      </c>
      <c r="I108">
        <v>0</v>
      </c>
      <c r="J108">
        <v>3</v>
      </c>
      <c r="K108">
        <v>0</v>
      </c>
      <c r="L108" t="s">
        <v>1327</v>
      </c>
      <c r="M108">
        <v>35.460122699386503</v>
      </c>
      <c r="N108">
        <v>303</v>
      </c>
      <c r="O108">
        <v>0</v>
      </c>
      <c r="P108">
        <v>36.388888888888893</v>
      </c>
      <c r="Q108">
        <v>93.683333333333337</v>
      </c>
      <c r="R108">
        <v>0.9287661895023831</v>
      </c>
      <c r="S108">
        <v>208</v>
      </c>
      <c r="T108">
        <v>0</v>
      </c>
      <c r="U108">
        <v>28.12903225806452</v>
      </c>
      <c r="V108">
        <v>79</v>
      </c>
      <c r="W108">
        <v>0</v>
      </c>
      <c r="X108">
        <v>26.556862745098041</v>
      </c>
      <c r="Y108">
        <v>109</v>
      </c>
      <c r="Z108">
        <v>0</v>
      </c>
      <c r="AA108">
        <v>114.6301960784314</v>
      </c>
      <c r="AB108">
        <v>350</v>
      </c>
      <c r="AC108">
        <v>0</v>
      </c>
      <c r="AD108">
        <v>26.732758620689651</v>
      </c>
      <c r="AE108">
        <v>114</v>
      </c>
      <c r="AF108">
        <v>0</v>
      </c>
      <c r="AG108">
        <v>115.31896551724139</v>
      </c>
      <c r="AH108">
        <v>350</v>
      </c>
      <c r="AI108">
        <v>0</v>
      </c>
      <c r="AJ108">
        <v>3</v>
      </c>
      <c r="AK108">
        <v>60</v>
      </c>
      <c r="AL108">
        <v>2147</v>
      </c>
      <c r="AM108">
        <v>776</v>
      </c>
      <c r="AN108">
        <v>2923</v>
      </c>
      <c r="AO108">
        <v>84</v>
      </c>
      <c r="AP108">
        <v>742</v>
      </c>
    </row>
    <row r="109" spans="1:42" x14ac:dyDescent="0.3">
      <c r="A109" t="s">
        <v>1670</v>
      </c>
      <c r="B109" t="s">
        <v>4</v>
      </c>
      <c r="C109" t="s">
        <v>1043</v>
      </c>
      <c r="D109" t="s">
        <v>12</v>
      </c>
      <c r="E109" t="s">
        <v>1047</v>
      </c>
      <c r="F109">
        <v>2023</v>
      </c>
      <c r="G109">
        <v>60</v>
      </c>
      <c r="H109">
        <v>0</v>
      </c>
      <c r="I109">
        <v>0</v>
      </c>
      <c r="J109">
        <v>5</v>
      </c>
      <c r="K109">
        <v>3</v>
      </c>
      <c r="L109" t="s">
        <v>1327</v>
      </c>
      <c r="M109">
        <v>35.509984639016899</v>
      </c>
      <c r="N109">
        <v>303</v>
      </c>
      <c r="O109">
        <v>0</v>
      </c>
      <c r="P109">
        <v>31.203883495145629</v>
      </c>
      <c r="Q109">
        <v>120.5689320388349</v>
      </c>
      <c r="R109">
        <v>-4.3061011438712669</v>
      </c>
      <c r="S109">
        <v>162</v>
      </c>
      <c r="T109">
        <v>0</v>
      </c>
      <c r="U109">
        <v>20.68965517241379</v>
      </c>
      <c r="V109">
        <v>73</v>
      </c>
      <c r="W109">
        <v>0</v>
      </c>
      <c r="X109">
        <v>26.556862745098041</v>
      </c>
      <c r="Y109">
        <v>109</v>
      </c>
      <c r="Z109">
        <v>0</v>
      </c>
      <c r="AA109">
        <v>114.6301960784314</v>
      </c>
      <c r="AB109">
        <v>350</v>
      </c>
      <c r="AC109">
        <v>0</v>
      </c>
      <c r="AD109">
        <v>27.9758064516129</v>
      </c>
      <c r="AE109">
        <v>105</v>
      </c>
      <c r="AF109">
        <v>0</v>
      </c>
      <c r="AG109">
        <v>110.46935483870971</v>
      </c>
      <c r="AH109">
        <v>280</v>
      </c>
      <c r="AI109">
        <v>0</v>
      </c>
      <c r="AJ109">
        <v>2</v>
      </c>
      <c r="AK109">
        <v>25</v>
      </c>
      <c r="AL109">
        <v>2147</v>
      </c>
      <c r="AM109">
        <v>776</v>
      </c>
      <c r="AN109">
        <v>2923</v>
      </c>
      <c r="AO109">
        <v>340</v>
      </c>
      <c r="AP109">
        <v>742</v>
      </c>
    </row>
    <row r="110" spans="1:42" x14ac:dyDescent="0.3">
      <c r="A110" t="s">
        <v>1683</v>
      </c>
      <c r="B110" t="s">
        <v>43</v>
      </c>
      <c r="C110" t="s">
        <v>1043</v>
      </c>
      <c r="D110" t="s">
        <v>41</v>
      </c>
      <c r="E110" t="s">
        <v>1047</v>
      </c>
      <c r="F110">
        <v>2023</v>
      </c>
      <c r="G110">
        <v>25</v>
      </c>
      <c r="H110">
        <v>0</v>
      </c>
      <c r="I110">
        <v>0</v>
      </c>
      <c r="J110">
        <v>8</v>
      </c>
      <c r="K110">
        <v>2</v>
      </c>
      <c r="L110" t="s">
        <v>1327</v>
      </c>
      <c r="M110">
        <v>35.561538461538461</v>
      </c>
      <c r="N110">
        <v>303</v>
      </c>
      <c r="O110">
        <v>0</v>
      </c>
      <c r="P110">
        <v>34.043478260869563</v>
      </c>
      <c r="Q110">
        <v>108.0891304347826</v>
      </c>
      <c r="R110">
        <v>-1.518060200668899</v>
      </c>
      <c r="S110">
        <v>95</v>
      </c>
      <c r="T110">
        <v>0</v>
      </c>
      <c r="U110">
        <v>20</v>
      </c>
      <c r="V110">
        <v>81</v>
      </c>
      <c r="W110">
        <v>2</v>
      </c>
      <c r="X110">
        <v>26.556862745098041</v>
      </c>
      <c r="Y110">
        <v>109</v>
      </c>
      <c r="Z110">
        <v>0</v>
      </c>
      <c r="AA110">
        <v>114.6301960784314</v>
      </c>
      <c r="AB110">
        <v>350</v>
      </c>
      <c r="AC110">
        <v>0</v>
      </c>
      <c r="AD110">
        <v>27.9758064516129</v>
      </c>
      <c r="AE110">
        <v>105</v>
      </c>
      <c r="AF110">
        <v>0</v>
      </c>
      <c r="AG110">
        <v>110.46935483870971</v>
      </c>
      <c r="AH110">
        <v>280</v>
      </c>
      <c r="AI110">
        <v>0</v>
      </c>
      <c r="AJ110">
        <v>44</v>
      </c>
      <c r="AK110">
        <v>163</v>
      </c>
      <c r="AL110">
        <v>2147</v>
      </c>
      <c r="AM110">
        <v>776</v>
      </c>
      <c r="AN110">
        <v>2923</v>
      </c>
      <c r="AO110">
        <v>80</v>
      </c>
      <c r="AP110">
        <v>742</v>
      </c>
    </row>
    <row r="111" spans="1:42" x14ac:dyDescent="0.3">
      <c r="A111" t="s">
        <v>1249</v>
      </c>
      <c r="B111" t="s">
        <v>40</v>
      </c>
      <c r="C111" t="s">
        <v>1043</v>
      </c>
      <c r="D111" t="s">
        <v>12</v>
      </c>
      <c r="E111" t="s">
        <v>1047</v>
      </c>
      <c r="F111">
        <v>2023</v>
      </c>
      <c r="G111">
        <v>163</v>
      </c>
      <c r="H111">
        <v>4</v>
      </c>
      <c r="I111">
        <v>3</v>
      </c>
      <c r="J111">
        <v>27</v>
      </c>
      <c r="K111">
        <v>44</v>
      </c>
      <c r="L111" t="s">
        <v>979</v>
      </c>
      <c r="M111">
        <v>35.548536209553163</v>
      </c>
      <c r="N111">
        <v>303</v>
      </c>
      <c r="O111">
        <v>0</v>
      </c>
      <c r="P111">
        <v>31.203883495145629</v>
      </c>
      <c r="Q111">
        <v>120.5689320388349</v>
      </c>
      <c r="R111">
        <v>-4.3446527144075233</v>
      </c>
      <c r="S111">
        <v>162</v>
      </c>
      <c r="T111">
        <v>0</v>
      </c>
      <c r="U111">
        <v>28.12903225806452</v>
      </c>
      <c r="V111">
        <v>79</v>
      </c>
      <c r="W111">
        <v>0</v>
      </c>
      <c r="X111">
        <v>26.556862745098041</v>
      </c>
      <c r="Y111">
        <v>109</v>
      </c>
      <c r="Z111">
        <v>0</v>
      </c>
      <c r="AA111">
        <v>114.6301960784314</v>
      </c>
      <c r="AB111">
        <v>350</v>
      </c>
      <c r="AC111">
        <v>0</v>
      </c>
      <c r="AD111">
        <v>27.9758064516129</v>
      </c>
      <c r="AE111">
        <v>105</v>
      </c>
      <c r="AF111">
        <v>0</v>
      </c>
      <c r="AG111">
        <v>110.46935483870971</v>
      </c>
      <c r="AH111">
        <v>280</v>
      </c>
      <c r="AI111">
        <v>0</v>
      </c>
      <c r="AJ111">
        <v>28</v>
      </c>
      <c r="AK111">
        <v>155.6</v>
      </c>
      <c r="AL111">
        <v>2143</v>
      </c>
      <c r="AM111">
        <v>773</v>
      </c>
      <c r="AN111">
        <v>2916</v>
      </c>
      <c r="AO111">
        <v>333</v>
      </c>
      <c r="AP111">
        <v>735</v>
      </c>
    </row>
    <row r="112" spans="1:42" x14ac:dyDescent="0.3">
      <c r="A112" t="s">
        <v>1344</v>
      </c>
      <c r="B112" t="s">
        <v>53</v>
      </c>
      <c r="C112" t="s">
        <v>1043</v>
      </c>
      <c r="D112" t="s">
        <v>54</v>
      </c>
      <c r="E112" t="s">
        <v>1047</v>
      </c>
      <c r="F112">
        <v>2023</v>
      </c>
      <c r="G112">
        <v>155.6</v>
      </c>
      <c r="H112">
        <v>6</v>
      </c>
      <c r="I112">
        <v>0</v>
      </c>
      <c r="J112">
        <v>18</v>
      </c>
      <c r="K112">
        <v>28</v>
      </c>
      <c r="L112" t="s">
        <v>1327</v>
      </c>
      <c r="M112">
        <v>35.560185185185183</v>
      </c>
      <c r="N112">
        <v>303</v>
      </c>
      <c r="O112">
        <v>0</v>
      </c>
      <c r="P112">
        <v>30</v>
      </c>
      <c r="Q112">
        <v>129.072</v>
      </c>
      <c r="R112">
        <v>-5.5601851851851833</v>
      </c>
      <c r="S112">
        <v>76</v>
      </c>
      <c r="T112">
        <v>1</v>
      </c>
      <c r="U112">
        <v>19.375</v>
      </c>
      <c r="V112">
        <v>70</v>
      </c>
      <c r="W112">
        <v>1</v>
      </c>
      <c r="X112">
        <v>26.556862745098041</v>
      </c>
      <c r="Y112">
        <v>109</v>
      </c>
      <c r="Z112">
        <v>0</v>
      </c>
      <c r="AA112">
        <v>114.6301960784314</v>
      </c>
      <c r="AB112">
        <v>350</v>
      </c>
      <c r="AC112">
        <v>0</v>
      </c>
      <c r="AD112">
        <v>27.9758064516129</v>
      </c>
      <c r="AE112">
        <v>105</v>
      </c>
      <c r="AF112">
        <v>0</v>
      </c>
      <c r="AG112">
        <v>110.46935483870971</v>
      </c>
      <c r="AH112">
        <v>280</v>
      </c>
      <c r="AI112">
        <v>0</v>
      </c>
      <c r="AJ112">
        <v>20</v>
      </c>
      <c r="AK112">
        <v>153.80000000000001</v>
      </c>
      <c r="AL112">
        <v>2137</v>
      </c>
      <c r="AM112">
        <v>773</v>
      </c>
      <c r="AN112">
        <v>2910</v>
      </c>
      <c r="AO112">
        <v>80</v>
      </c>
      <c r="AP112">
        <v>729</v>
      </c>
    </row>
    <row r="113" spans="1:42" x14ac:dyDescent="0.3">
      <c r="A113" t="s">
        <v>1413</v>
      </c>
      <c r="B113" t="s">
        <v>11</v>
      </c>
      <c r="C113" t="s">
        <v>1043</v>
      </c>
      <c r="D113" t="s">
        <v>12</v>
      </c>
      <c r="E113" t="s">
        <v>1047</v>
      </c>
      <c r="F113">
        <v>2023</v>
      </c>
      <c r="G113">
        <v>153.80000000000001</v>
      </c>
      <c r="H113">
        <v>1</v>
      </c>
      <c r="I113">
        <v>2</v>
      </c>
      <c r="J113">
        <v>13</v>
      </c>
      <c r="K113">
        <v>20</v>
      </c>
      <c r="L113" t="s">
        <v>1327</v>
      </c>
      <c r="M113">
        <v>35.584234930448233</v>
      </c>
      <c r="N113">
        <v>303</v>
      </c>
      <c r="O113">
        <v>0</v>
      </c>
      <c r="P113">
        <v>31.203883495145629</v>
      </c>
      <c r="Q113">
        <v>120.5689320388349</v>
      </c>
      <c r="R113">
        <v>-4.3803514353025932</v>
      </c>
      <c r="S113">
        <v>162</v>
      </c>
      <c r="T113">
        <v>0</v>
      </c>
      <c r="U113">
        <v>31.852941176470591</v>
      </c>
      <c r="V113">
        <v>109</v>
      </c>
      <c r="W113">
        <v>0</v>
      </c>
      <c r="X113">
        <v>26.556862745098041</v>
      </c>
      <c r="Y113">
        <v>109</v>
      </c>
      <c r="Z113">
        <v>0</v>
      </c>
      <c r="AA113">
        <v>114.6301960784314</v>
      </c>
      <c r="AB113">
        <v>350</v>
      </c>
      <c r="AC113">
        <v>0</v>
      </c>
      <c r="AD113">
        <v>27.9758064516129</v>
      </c>
      <c r="AE113">
        <v>105</v>
      </c>
      <c r="AF113">
        <v>0</v>
      </c>
      <c r="AG113">
        <v>110.46935483870971</v>
      </c>
      <c r="AH113">
        <v>280</v>
      </c>
      <c r="AI113">
        <v>0</v>
      </c>
      <c r="AJ113">
        <v>65</v>
      </c>
      <c r="AK113">
        <v>144.4</v>
      </c>
      <c r="AL113">
        <v>2136</v>
      </c>
      <c r="AM113">
        <v>771</v>
      </c>
      <c r="AN113">
        <v>2907</v>
      </c>
      <c r="AO113">
        <v>330</v>
      </c>
      <c r="AP113">
        <v>726</v>
      </c>
    </row>
    <row r="114" spans="1:42" x14ac:dyDescent="0.3">
      <c r="A114" t="s">
        <v>1137</v>
      </c>
      <c r="B114" t="s">
        <v>8</v>
      </c>
      <c r="C114" t="s">
        <v>1043</v>
      </c>
      <c r="D114" t="s">
        <v>9</v>
      </c>
      <c r="E114" t="s">
        <v>1047</v>
      </c>
      <c r="F114">
        <v>2023</v>
      </c>
      <c r="G114">
        <v>144.4</v>
      </c>
      <c r="H114">
        <v>6</v>
      </c>
      <c r="I114">
        <v>4</v>
      </c>
      <c r="J114">
        <v>45</v>
      </c>
      <c r="K114">
        <v>65</v>
      </c>
      <c r="L114" t="s">
        <v>979</v>
      </c>
      <c r="M114">
        <v>35.538699690402467</v>
      </c>
      <c r="N114">
        <v>303</v>
      </c>
      <c r="O114">
        <v>0</v>
      </c>
      <c r="P114">
        <v>38.36</v>
      </c>
      <c r="Q114">
        <v>122.748</v>
      </c>
      <c r="R114">
        <v>2.8213003095975249</v>
      </c>
      <c r="S114">
        <v>131</v>
      </c>
      <c r="T114">
        <v>1</v>
      </c>
      <c r="U114">
        <v>28.567567567567568</v>
      </c>
      <c r="V114">
        <v>74</v>
      </c>
      <c r="W114">
        <v>0</v>
      </c>
      <c r="X114">
        <v>26.556862745098041</v>
      </c>
      <c r="Y114">
        <v>109</v>
      </c>
      <c r="Z114">
        <v>0</v>
      </c>
      <c r="AA114">
        <v>114.6301960784314</v>
      </c>
      <c r="AB114">
        <v>350</v>
      </c>
      <c r="AC114">
        <v>0</v>
      </c>
      <c r="AD114">
        <v>27.9758064516129</v>
      </c>
      <c r="AE114">
        <v>105</v>
      </c>
      <c r="AF114">
        <v>0</v>
      </c>
      <c r="AG114">
        <v>110.46935483870971</v>
      </c>
      <c r="AH114">
        <v>280</v>
      </c>
      <c r="AI114">
        <v>0</v>
      </c>
      <c r="AJ114">
        <v>21</v>
      </c>
      <c r="AK114">
        <v>161.5</v>
      </c>
      <c r="AL114">
        <v>2130</v>
      </c>
      <c r="AM114">
        <v>767</v>
      </c>
      <c r="AN114">
        <v>2897</v>
      </c>
      <c r="AO114">
        <v>83</v>
      </c>
      <c r="AP114">
        <v>716</v>
      </c>
    </row>
    <row r="115" spans="1:42" x14ac:dyDescent="0.3">
      <c r="A115" t="s">
        <v>1401</v>
      </c>
      <c r="B115" t="s">
        <v>56</v>
      </c>
      <c r="C115" t="s">
        <v>1043</v>
      </c>
      <c r="D115" t="s">
        <v>12</v>
      </c>
      <c r="E115" t="s">
        <v>1047</v>
      </c>
      <c r="F115">
        <v>2023</v>
      </c>
      <c r="G115">
        <v>161.5</v>
      </c>
      <c r="H115">
        <v>3</v>
      </c>
      <c r="I115">
        <v>1</v>
      </c>
      <c r="J115">
        <v>13</v>
      </c>
      <c r="K115">
        <v>21</v>
      </c>
      <c r="L115" t="s">
        <v>1327</v>
      </c>
      <c r="M115">
        <v>35.561240310077523</v>
      </c>
      <c r="N115">
        <v>303</v>
      </c>
      <c r="O115">
        <v>0</v>
      </c>
      <c r="P115">
        <v>31.203883495145629</v>
      </c>
      <c r="Q115">
        <v>120.5689320388349</v>
      </c>
      <c r="R115">
        <v>-4.3573568149318902</v>
      </c>
      <c r="S115">
        <v>162</v>
      </c>
      <c r="T115">
        <v>0</v>
      </c>
      <c r="U115">
        <v>25.6</v>
      </c>
      <c r="V115">
        <v>105</v>
      </c>
      <c r="W115">
        <v>0</v>
      </c>
      <c r="X115">
        <v>26.556862745098041</v>
      </c>
      <c r="Y115">
        <v>109</v>
      </c>
      <c r="Z115">
        <v>0</v>
      </c>
      <c r="AA115">
        <v>114.6301960784314</v>
      </c>
      <c r="AB115">
        <v>350</v>
      </c>
      <c r="AC115">
        <v>0</v>
      </c>
      <c r="AD115">
        <v>27.9758064516129</v>
      </c>
      <c r="AE115">
        <v>105</v>
      </c>
      <c r="AF115">
        <v>0</v>
      </c>
      <c r="AG115">
        <v>110.46935483870971</v>
      </c>
      <c r="AH115">
        <v>280</v>
      </c>
      <c r="AI115">
        <v>0</v>
      </c>
      <c r="AL115">
        <v>2127</v>
      </c>
      <c r="AM115">
        <v>766</v>
      </c>
      <c r="AN115">
        <v>2893</v>
      </c>
      <c r="AO115">
        <v>326</v>
      </c>
      <c r="AP115">
        <v>712</v>
      </c>
    </row>
    <row r="116" spans="1:42" x14ac:dyDescent="0.3">
      <c r="A116" t="s">
        <v>1704</v>
      </c>
      <c r="B116" t="s">
        <v>60</v>
      </c>
      <c r="C116" t="s">
        <v>1043</v>
      </c>
      <c r="D116" t="s">
        <v>103</v>
      </c>
      <c r="E116" t="s">
        <v>1047</v>
      </c>
      <c r="F116">
        <v>2023</v>
      </c>
      <c r="G116">
        <v>10</v>
      </c>
      <c r="H116">
        <v>0</v>
      </c>
      <c r="I116">
        <v>0</v>
      </c>
      <c r="J116">
        <v>10</v>
      </c>
      <c r="K116">
        <v>1</v>
      </c>
      <c r="L116" t="s">
        <v>1327</v>
      </c>
      <c r="M116">
        <v>35.614906832298139</v>
      </c>
      <c r="N116">
        <v>303</v>
      </c>
      <c r="O116">
        <v>0</v>
      </c>
      <c r="P116">
        <v>43.391304347826093</v>
      </c>
      <c r="Q116">
        <v>100.17391304347829</v>
      </c>
      <c r="R116">
        <v>7.7763975155279468</v>
      </c>
      <c r="S116">
        <v>209</v>
      </c>
      <c r="T116">
        <v>0</v>
      </c>
      <c r="U116">
        <v>25.96875</v>
      </c>
      <c r="V116">
        <v>94</v>
      </c>
      <c r="W116">
        <v>0</v>
      </c>
      <c r="X116">
        <v>26.556862745098041</v>
      </c>
      <c r="Y116">
        <v>109</v>
      </c>
      <c r="Z116">
        <v>0</v>
      </c>
      <c r="AA116">
        <v>114.6301960784314</v>
      </c>
      <c r="AB116">
        <v>350</v>
      </c>
      <c r="AC116">
        <v>0</v>
      </c>
      <c r="AD116">
        <v>27.9758064516129</v>
      </c>
      <c r="AE116">
        <v>105</v>
      </c>
      <c r="AF116">
        <v>0</v>
      </c>
      <c r="AG116">
        <v>110.46935483870971</v>
      </c>
      <c r="AH116">
        <v>280</v>
      </c>
      <c r="AI116">
        <v>0</v>
      </c>
      <c r="AL116">
        <v>2127</v>
      </c>
      <c r="AM116">
        <v>766</v>
      </c>
      <c r="AN116">
        <v>2893</v>
      </c>
      <c r="AO116">
        <v>95</v>
      </c>
      <c r="AP116">
        <v>712</v>
      </c>
    </row>
    <row r="117" spans="1:42" x14ac:dyDescent="0.3">
      <c r="A117" t="s">
        <v>1326</v>
      </c>
      <c r="B117" t="s">
        <v>32</v>
      </c>
      <c r="C117" t="s">
        <v>16</v>
      </c>
      <c r="D117" t="s">
        <v>64</v>
      </c>
      <c r="E117" t="s">
        <v>1016</v>
      </c>
      <c r="F117">
        <v>2023</v>
      </c>
      <c r="G117">
        <v>176.5</v>
      </c>
      <c r="H117">
        <v>2</v>
      </c>
      <c r="I117">
        <v>2</v>
      </c>
      <c r="J117">
        <v>17</v>
      </c>
      <c r="K117">
        <v>30</v>
      </c>
      <c r="L117" t="s">
        <v>1327</v>
      </c>
      <c r="M117">
        <v>35.623639191290827</v>
      </c>
      <c r="N117">
        <v>303</v>
      </c>
      <c r="O117">
        <v>0</v>
      </c>
      <c r="P117">
        <v>26</v>
      </c>
      <c r="Q117">
        <v>94.26964285714287</v>
      </c>
      <c r="R117">
        <v>-9.6236391912908275</v>
      </c>
      <c r="S117">
        <v>187</v>
      </c>
      <c r="T117">
        <v>0</v>
      </c>
      <c r="U117">
        <v>44.710843373493979</v>
      </c>
      <c r="V117">
        <v>209</v>
      </c>
      <c r="W117">
        <v>0</v>
      </c>
      <c r="X117">
        <v>42.251824817518248</v>
      </c>
      <c r="Y117">
        <v>264</v>
      </c>
      <c r="Z117">
        <v>0</v>
      </c>
      <c r="AA117">
        <v>77.646715328467153</v>
      </c>
      <c r="AB117">
        <v>200</v>
      </c>
      <c r="AC117">
        <v>0</v>
      </c>
      <c r="AD117">
        <v>34.313432835820898</v>
      </c>
      <c r="AE117">
        <v>137</v>
      </c>
      <c r="AF117">
        <v>0</v>
      </c>
      <c r="AG117">
        <v>101.9507462686567</v>
      </c>
      <c r="AH117">
        <v>216.7</v>
      </c>
      <c r="AI117">
        <v>0</v>
      </c>
      <c r="AJ117">
        <v>13</v>
      </c>
      <c r="AK117">
        <v>86.7</v>
      </c>
      <c r="AL117">
        <v>2125</v>
      </c>
      <c r="AM117">
        <v>764</v>
      </c>
      <c r="AN117">
        <v>2889</v>
      </c>
      <c r="AO117">
        <v>82</v>
      </c>
      <c r="AP117">
        <v>1170</v>
      </c>
    </row>
    <row r="118" spans="1:42" x14ac:dyDescent="0.3">
      <c r="A118" t="s">
        <v>1489</v>
      </c>
      <c r="B118" t="s">
        <v>32</v>
      </c>
      <c r="C118" t="s">
        <v>16</v>
      </c>
      <c r="D118" t="s">
        <v>25</v>
      </c>
      <c r="E118" t="s">
        <v>1016</v>
      </c>
      <c r="F118">
        <v>2023</v>
      </c>
      <c r="G118">
        <v>86.7</v>
      </c>
      <c r="H118">
        <v>2</v>
      </c>
      <c r="I118">
        <v>0</v>
      </c>
      <c r="J118">
        <v>15</v>
      </c>
      <c r="K118">
        <v>13</v>
      </c>
      <c r="L118" t="s">
        <v>1327</v>
      </c>
      <c r="M118">
        <v>35.658878504672899</v>
      </c>
      <c r="N118">
        <v>303</v>
      </c>
      <c r="O118">
        <v>0</v>
      </c>
      <c r="P118">
        <v>56.375</v>
      </c>
      <c r="Q118">
        <v>92.453125</v>
      </c>
      <c r="R118">
        <v>20.716121495327101</v>
      </c>
      <c r="S118">
        <v>303</v>
      </c>
      <c r="T118">
        <v>4</v>
      </c>
      <c r="U118">
        <v>44.710843373493979</v>
      </c>
      <c r="V118">
        <v>209</v>
      </c>
      <c r="W118">
        <v>0</v>
      </c>
      <c r="X118">
        <v>42.251824817518248</v>
      </c>
      <c r="Y118">
        <v>264</v>
      </c>
      <c r="Z118">
        <v>0</v>
      </c>
      <c r="AA118">
        <v>77.646715328467153</v>
      </c>
      <c r="AB118">
        <v>200</v>
      </c>
      <c r="AC118">
        <v>0</v>
      </c>
      <c r="AD118">
        <v>34.313432835820898</v>
      </c>
      <c r="AE118">
        <v>137</v>
      </c>
      <c r="AF118">
        <v>0</v>
      </c>
      <c r="AG118">
        <v>101.9507462686567</v>
      </c>
      <c r="AH118">
        <v>216.7</v>
      </c>
      <c r="AI118">
        <v>0</v>
      </c>
      <c r="AL118">
        <v>2123</v>
      </c>
      <c r="AM118">
        <v>764</v>
      </c>
      <c r="AN118">
        <v>2887</v>
      </c>
      <c r="AO118">
        <v>107</v>
      </c>
      <c r="AP118">
        <v>1168</v>
      </c>
    </row>
    <row r="119" spans="1:42" x14ac:dyDescent="0.3">
      <c r="A119" t="s">
        <v>1300</v>
      </c>
      <c r="B119" t="s">
        <v>32</v>
      </c>
      <c r="C119" t="s">
        <v>83</v>
      </c>
      <c r="D119" t="s">
        <v>41</v>
      </c>
      <c r="E119" t="s">
        <v>1016</v>
      </c>
      <c r="F119">
        <v>2023</v>
      </c>
      <c r="G119">
        <v>60.3</v>
      </c>
      <c r="H119">
        <v>3</v>
      </c>
      <c r="I119">
        <v>1</v>
      </c>
      <c r="J119">
        <v>63</v>
      </c>
      <c r="K119">
        <v>35</v>
      </c>
      <c r="L119" t="s">
        <v>979</v>
      </c>
      <c r="M119">
        <v>35.659906396255849</v>
      </c>
      <c r="N119">
        <v>303</v>
      </c>
      <c r="O119">
        <v>0</v>
      </c>
      <c r="P119">
        <v>34.043478260869563</v>
      </c>
      <c r="Q119">
        <v>108.0891304347826</v>
      </c>
      <c r="R119">
        <v>-1.6164281353862859</v>
      </c>
      <c r="S119">
        <v>95</v>
      </c>
      <c r="T119">
        <v>0</v>
      </c>
      <c r="U119">
        <v>44.710843373493979</v>
      </c>
      <c r="V119">
        <v>209</v>
      </c>
      <c r="W119">
        <v>0</v>
      </c>
      <c r="X119">
        <v>65.166666666666671</v>
      </c>
      <c r="Y119">
        <v>303</v>
      </c>
      <c r="Z119">
        <v>1</v>
      </c>
      <c r="AA119">
        <v>55.904545454545449</v>
      </c>
      <c r="AB119">
        <v>161.6</v>
      </c>
      <c r="AC119">
        <v>16.600000000000001</v>
      </c>
      <c r="AD119">
        <v>34.313432835820898</v>
      </c>
      <c r="AE119">
        <v>137</v>
      </c>
      <c r="AF119">
        <v>0</v>
      </c>
      <c r="AG119">
        <v>101.9507462686567</v>
      </c>
      <c r="AH119">
        <v>216.7</v>
      </c>
      <c r="AI119">
        <v>0</v>
      </c>
      <c r="AL119">
        <v>2120</v>
      </c>
      <c r="AM119">
        <v>763</v>
      </c>
      <c r="AN119">
        <v>2883</v>
      </c>
      <c r="AO119">
        <v>76</v>
      </c>
      <c r="AP119">
        <v>426</v>
      </c>
    </row>
    <row r="120" spans="1:42" x14ac:dyDescent="0.3">
      <c r="A120" t="s">
        <v>1377</v>
      </c>
      <c r="B120" t="s">
        <v>32</v>
      </c>
      <c r="C120" t="s">
        <v>83</v>
      </c>
      <c r="D120" t="s">
        <v>17</v>
      </c>
      <c r="E120" t="s">
        <v>1016</v>
      </c>
      <c r="F120">
        <v>2023</v>
      </c>
      <c r="G120">
        <v>44.2</v>
      </c>
      <c r="H120">
        <v>3</v>
      </c>
      <c r="I120">
        <v>0</v>
      </c>
      <c r="J120">
        <v>43</v>
      </c>
      <c r="K120">
        <v>24</v>
      </c>
      <c r="L120" t="s">
        <v>1327</v>
      </c>
      <c r="M120">
        <v>35.678125000000001</v>
      </c>
      <c r="N120">
        <v>303</v>
      </c>
      <c r="O120">
        <v>0</v>
      </c>
      <c r="P120">
        <v>33.769230769230766</v>
      </c>
      <c r="Q120">
        <v>87.853846153846149</v>
      </c>
      <c r="R120">
        <v>-1.9088942307692349</v>
      </c>
      <c r="S120">
        <v>118</v>
      </c>
      <c r="T120">
        <v>0</v>
      </c>
      <c r="U120">
        <v>44.710843373493979</v>
      </c>
      <c r="V120">
        <v>209</v>
      </c>
      <c r="W120">
        <v>0</v>
      </c>
      <c r="X120">
        <v>65.166666666666671</v>
      </c>
      <c r="Y120">
        <v>303</v>
      </c>
      <c r="Z120">
        <v>1</v>
      </c>
      <c r="AA120">
        <v>55.904545454545449</v>
      </c>
      <c r="AB120">
        <v>161.6</v>
      </c>
      <c r="AC120">
        <v>16.600000000000001</v>
      </c>
      <c r="AD120">
        <v>34.313432835820898</v>
      </c>
      <c r="AE120">
        <v>137</v>
      </c>
      <c r="AF120">
        <v>0</v>
      </c>
      <c r="AG120">
        <v>101.9507462686567</v>
      </c>
      <c r="AH120">
        <v>216.7</v>
      </c>
      <c r="AI120">
        <v>0</v>
      </c>
      <c r="AL120">
        <v>2117</v>
      </c>
      <c r="AM120">
        <v>763</v>
      </c>
      <c r="AN120">
        <v>2880</v>
      </c>
      <c r="AO120">
        <v>59</v>
      </c>
      <c r="AP120">
        <v>423</v>
      </c>
    </row>
    <row r="121" spans="1:42" x14ac:dyDescent="0.3">
      <c r="A121" t="s">
        <v>1150</v>
      </c>
      <c r="B121" t="s">
        <v>32</v>
      </c>
      <c r="C121" t="s">
        <v>83</v>
      </c>
      <c r="D121" t="s">
        <v>9</v>
      </c>
      <c r="E121" t="s">
        <v>990</v>
      </c>
      <c r="F121">
        <v>2023</v>
      </c>
      <c r="G121">
        <v>100.65</v>
      </c>
      <c r="H121">
        <v>5</v>
      </c>
      <c r="I121">
        <v>2</v>
      </c>
      <c r="J121">
        <v>113</v>
      </c>
      <c r="K121">
        <v>63</v>
      </c>
      <c r="L121" t="s">
        <v>979</v>
      </c>
      <c r="M121">
        <v>35.635367762128332</v>
      </c>
      <c r="N121">
        <v>303</v>
      </c>
      <c r="O121">
        <v>0</v>
      </c>
      <c r="P121">
        <v>38.36</v>
      </c>
      <c r="Q121">
        <v>122.748</v>
      </c>
      <c r="R121">
        <v>2.7246322378716741</v>
      </c>
      <c r="S121">
        <v>131</v>
      </c>
      <c r="T121">
        <v>1</v>
      </c>
      <c r="U121">
        <v>44.710843373493979</v>
      </c>
      <c r="V121">
        <v>209</v>
      </c>
      <c r="W121">
        <v>0</v>
      </c>
      <c r="X121">
        <v>65.166666666666671</v>
      </c>
      <c r="Y121">
        <v>303</v>
      </c>
      <c r="Z121">
        <v>1</v>
      </c>
      <c r="AA121">
        <v>55.904545454545449</v>
      </c>
      <c r="AB121">
        <v>161.6</v>
      </c>
      <c r="AC121">
        <v>16.600000000000001</v>
      </c>
      <c r="AD121">
        <v>31.115942028985511</v>
      </c>
      <c r="AE121">
        <v>187</v>
      </c>
      <c r="AF121">
        <v>0</v>
      </c>
      <c r="AG121">
        <v>73.336956521739125</v>
      </c>
      <c r="AH121">
        <v>233.3</v>
      </c>
      <c r="AI121">
        <v>0</v>
      </c>
      <c r="AL121">
        <v>2112</v>
      </c>
      <c r="AM121">
        <v>761</v>
      </c>
      <c r="AN121">
        <v>2873</v>
      </c>
      <c r="AO121">
        <v>76</v>
      </c>
      <c r="AP121">
        <v>416</v>
      </c>
    </row>
    <row r="122" spans="1:42" x14ac:dyDescent="0.3">
      <c r="A122" t="s">
        <v>1028</v>
      </c>
      <c r="B122" t="s">
        <v>32</v>
      </c>
      <c r="C122" t="s">
        <v>83</v>
      </c>
      <c r="D122" t="s">
        <v>80</v>
      </c>
      <c r="E122" t="s">
        <v>990</v>
      </c>
      <c r="F122">
        <v>2023</v>
      </c>
      <c r="G122">
        <v>56.600000000000009</v>
      </c>
      <c r="H122">
        <v>15</v>
      </c>
      <c r="I122">
        <v>2</v>
      </c>
      <c r="J122">
        <v>216</v>
      </c>
      <c r="K122">
        <v>120</v>
      </c>
      <c r="L122" t="s">
        <v>979</v>
      </c>
      <c r="M122">
        <v>35.503134796238243</v>
      </c>
      <c r="N122">
        <v>303</v>
      </c>
      <c r="O122">
        <v>0</v>
      </c>
      <c r="P122">
        <v>45.785714285714278</v>
      </c>
      <c r="Q122">
        <v>80.371428571428552</v>
      </c>
      <c r="R122">
        <v>10.28257948947604</v>
      </c>
      <c r="S122">
        <v>125</v>
      </c>
      <c r="T122">
        <v>0</v>
      </c>
      <c r="U122">
        <v>44.710843373493979</v>
      </c>
      <c r="V122">
        <v>209</v>
      </c>
      <c r="W122">
        <v>0</v>
      </c>
      <c r="X122">
        <v>65.166666666666671</v>
      </c>
      <c r="Y122">
        <v>303</v>
      </c>
      <c r="Z122">
        <v>1</v>
      </c>
      <c r="AA122">
        <v>55.904545454545449</v>
      </c>
      <c r="AB122">
        <v>161.6</v>
      </c>
      <c r="AC122">
        <v>16.600000000000001</v>
      </c>
      <c r="AD122">
        <v>31.115942028985511</v>
      </c>
      <c r="AE122">
        <v>187</v>
      </c>
      <c r="AF122">
        <v>0</v>
      </c>
      <c r="AG122">
        <v>73.336956521739125</v>
      </c>
      <c r="AH122">
        <v>233.3</v>
      </c>
      <c r="AI122">
        <v>0</v>
      </c>
      <c r="AL122">
        <v>2097</v>
      </c>
      <c r="AM122">
        <v>759</v>
      </c>
      <c r="AN122">
        <v>2856</v>
      </c>
      <c r="AO122">
        <v>62</v>
      </c>
      <c r="AP122">
        <v>399</v>
      </c>
    </row>
    <row r="123" spans="1:42" x14ac:dyDescent="0.3">
      <c r="A123" t="s">
        <v>1057</v>
      </c>
      <c r="B123" t="s">
        <v>15</v>
      </c>
      <c r="C123" t="s">
        <v>16</v>
      </c>
      <c r="D123" t="s">
        <v>17</v>
      </c>
      <c r="E123" t="s">
        <v>994</v>
      </c>
      <c r="F123">
        <v>2023</v>
      </c>
      <c r="G123">
        <v>118.8</v>
      </c>
      <c r="H123">
        <v>9</v>
      </c>
      <c r="I123">
        <v>6</v>
      </c>
      <c r="J123">
        <v>85</v>
      </c>
      <c r="K123">
        <v>101</v>
      </c>
      <c r="L123" t="s">
        <v>979</v>
      </c>
      <c r="M123">
        <v>35.400313971742541</v>
      </c>
      <c r="N123">
        <v>303</v>
      </c>
      <c r="O123">
        <v>0</v>
      </c>
      <c r="P123">
        <v>33.769230769230766</v>
      </c>
      <c r="Q123">
        <v>87.853846153846149</v>
      </c>
      <c r="R123">
        <v>-1.631083202511775</v>
      </c>
      <c r="S123">
        <v>118</v>
      </c>
      <c r="T123">
        <v>0</v>
      </c>
      <c r="U123">
        <v>37.701754385964911</v>
      </c>
      <c r="V123">
        <v>147</v>
      </c>
      <c r="W123">
        <v>1</v>
      </c>
      <c r="X123">
        <v>42.251824817518248</v>
      </c>
      <c r="Y123">
        <v>264</v>
      </c>
      <c r="Z123">
        <v>0</v>
      </c>
      <c r="AA123">
        <v>77.646715328467153</v>
      </c>
      <c r="AB123">
        <v>200</v>
      </c>
      <c r="AC123">
        <v>0</v>
      </c>
      <c r="AD123">
        <v>47.472727272727283</v>
      </c>
      <c r="AE123">
        <v>171</v>
      </c>
      <c r="AF123">
        <v>0</v>
      </c>
      <c r="AG123">
        <v>81.038181818181826</v>
      </c>
      <c r="AH123">
        <v>175.4</v>
      </c>
      <c r="AI123">
        <v>0</v>
      </c>
      <c r="AJ123">
        <v>51</v>
      </c>
      <c r="AK123">
        <v>102</v>
      </c>
      <c r="AL123">
        <v>2088</v>
      </c>
      <c r="AM123">
        <v>753</v>
      </c>
      <c r="AN123">
        <v>2841</v>
      </c>
      <c r="AO123">
        <v>44</v>
      </c>
      <c r="AP123">
        <v>1153</v>
      </c>
    </row>
    <row r="124" spans="1:42" x14ac:dyDescent="0.3">
      <c r="A124" t="s">
        <v>1213</v>
      </c>
      <c r="B124" t="s">
        <v>15</v>
      </c>
      <c r="C124" t="s">
        <v>16</v>
      </c>
      <c r="D124" t="s">
        <v>27</v>
      </c>
      <c r="E124" t="s">
        <v>994</v>
      </c>
      <c r="F124">
        <v>2023</v>
      </c>
      <c r="G124">
        <v>102</v>
      </c>
      <c r="H124">
        <v>7</v>
      </c>
      <c r="I124">
        <v>2</v>
      </c>
      <c r="J124">
        <v>50</v>
      </c>
      <c r="K124">
        <v>51</v>
      </c>
      <c r="L124" t="s">
        <v>979</v>
      </c>
      <c r="M124">
        <v>35.375786163522022</v>
      </c>
      <c r="N124">
        <v>303</v>
      </c>
      <c r="O124">
        <v>0</v>
      </c>
      <c r="P124">
        <v>32.5</v>
      </c>
      <c r="Q124">
        <v>138.5</v>
      </c>
      <c r="R124">
        <v>-2.8757861635220152</v>
      </c>
      <c r="S124">
        <v>51</v>
      </c>
      <c r="T124">
        <v>14</v>
      </c>
      <c r="U124">
        <v>37.701754385964911</v>
      </c>
      <c r="V124">
        <v>147</v>
      </c>
      <c r="W124">
        <v>1</v>
      </c>
      <c r="X124">
        <v>42.251824817518248</v>
      </c>
      <c r="Y124">
        <v>264</v>
      </c>
      <c r="Z124">
        <v>0</v>
      </c>
      <c r="AA124">
        <v>77.646715328467153</v>
      </c>
      <c r="AB124">
        <v>200</v>
      </c>
      <c r="AC124">
        <v>0</v>
      </c>
      <c r="AD124">
        <v>47.472727272727283</v>
      </c>
      <c r="AE124">
        <v>171</v>
      </c>
      <c r="AF124">
        <v>0</v>
      </c>
      <c r="AG124">
        <v>81.038181818181826</v>
      </c>
      <c r="AH124">
        <v>175.4</v>
      </c>
      <c r="AI124">
        <v>0</v>
      </c>
      <c r="AJ124">
        <v>34</v>
      </c>
      <c r="AK124">
        <v>89.5</v>
      </c>
      <c r="AL124">
        <v>2081</v>
      </c>
      <c r="AM124">
        <v>751</v>
      </c>
      <c r="AN124">
        <v>2832</v>
      </c>
      <c r="AP124">
        <v>1144</v>
      </c>
    </row>
    <row r="125" spans="1:42" x14ac:dyDescent="0.3">
      <c r="A125" t="s">
        <v>1305</v>
      </c>
      <c r="B125" t="s">
        <v>15</v>
      </c>
      <c r="C125" t="s">
        <v>16</v>
      </c>
      <c r="D125" t="s">
        <v>54</v>
      </c>
      <c r="E125" t="s">
        <v>994</v>
      </c>
      <c r="F125">
        <v>2023</v>
      </c>
      <c r="G125">
        <v>89.5</v>
      </c>
      <c r="H125">
        <v>4</v>
      </c>
      <c r="I125">
        <v>2</v>
      </c>
      <c r="J125">
        <v>38</v>
      </c>
      <c r="K125">
        <v>34</v>
      </c>
      <c r="L125" t="s">
        <v>979</v>
      </c>
      <c r="M125">
        <v>35.377952755905511</v>
      </c>
      <c r="N125">
        <v>303</v>
      </c>
      <c r="O125">
        <v>0</v>
      </c>
      <c r="P125">
        <v>30</v>
      </c>
      <c r="Q125">
        <v>129.072</v>
      </c>
      <c r="R125">
        <v>-5.3779527559055111</v>
      </c>
      <c r="S125">
        <v>76</v>
      </c>
      <c r="T125">
        <v>1</v>
      </c>
      <c r="U125">
        <v>37.701754385964911</v>
      </c>
      <c r="V125">
        <v>147</v>
      </c>
      <c r="W125">
        <v>1</v>
      </c>
      <c r="X125">
        <v>42.251824817518248</v>
      </c>
      <c r="Y125">
        <v>264</v>
      </c>
      <c r="Z125">
        <v>0</v>
      </c>
      <c r="AA125">
        <v>77.646715328467153</v>
      </c>
      <c r="AB125">
        <v>200</v>
      </c>
      <c r="AC125">
        <v>0</v>
      </c>
      <c r="AD125">
        <v>47.472727272727283</v>
      </c>
      <c r="AE125">
        <v>171</v>
      </c>
      <c r="AF125">
        <v>0</v>
      </c>
      <c r="AG125">
        <v>81.038181818181826</v>
      </c>
      <c r="AH125">
        <v>175.4</v>
      </c>
      <c r="AI125">
        <v>0</v>
      </c>
      <c r="AJ125">
        <v>42</v>
      </c>
      <c r="AK125">
        <v>85.7</v>
      </c>
      <c r="AL125">
        <v>2077</v>
      </c>
      <c r="AM125">
        <v>749</v>
      </c>
      <c r="AN125">
        <v>2826</v>
      </c>
      <c r="AO125">
        <v>74</v>
      </c>
      <c r="AP125">
        <v>1138</v>
      </c>
    </row>
    <row r="126" spans="1:42" x14ac:dyDescent="0.3">
      <c r="A126" t="s">
        <v>1262</v>
      </c>
      <c r="B126" t="s">
        <v>115</v>
      </c>
      <c r="C126" t="s">
        <v>16</v>
      </c>
      <c r="D126" t="s">
        <v>254</v>
      </c>
      <c r="E126" t="s">
        <v>994</v>
      </c>
      <c r="F126">
        <v>2023</v>
      </c>
      <c r="G126">
        <v>85.7</v>
      </c>
      <c r="H126">
        <v>2</v>
      </c>
      <c r="I126">
        <v>3</v>
      </c>
      <c r="J126">
        <v>49</v>
      </c>
      <c r="K126">
        <v>42</v>
      </c>
      <c r="L126" t="s">
        <v>979</v>
      </c>
      <c r="M126">
        <v>35.367507886435327</v>
      </c>
      <c r="N126">
        <v>303</v>
      </c>
      <c r="O126">
        <v>0</v>
      </c>
      <c r="P126">
        <v>25.6</v>
      </c>
      <c r="Q126">
        <v>74.08</v>
      </c>
      <c r="R126">
        <v>-9.7675078864353324</v>
      </c>
      <c r="S126">
        <v>63</v>
      </c>
      <c r="T126">
        <v>0</v>
      </c>
      <c r="U126">
        <v>38.236842105263158</v>
      </c>
      <c r="V126">
        <v>264</v>
      </c>
      <c r="W126">
        <v>0</v>
      </c>
      <c r="X126">
        <v>42.251824817518248</v>
      </c>
      <c r="Y126">
        <v>264</v>
      </c>
      <c r="Z126">
        <v>0</v>
      </c>
      <c r="AA126">
        <v>77.646715328467153</v>
      </c>
      <c r="AB126">
        <v>200</v>
      </c>
      <c r="AC126">
        <v>0</v>
      </c>
      <c r="AD126">
        <v>47.472727272727283</v>
      </c>
      <c r="AE126">
        <v>171</v>
      </c>
      <c r="AF126">
        <v>0</v>
      </c>
      <c r="AG126">
        <v>81.038181818181826</v>
      </c>
      <c r="AH126">
        <v>175.4</v>
      </c>
      <c r="AI126">
        <v>0</v>
      </c>
      <c r="AJ126">
        <v>100</v>
      </c>
      <c r="AK126">
        <v>102.45</v>
      </c>
      <c r="AL126">
        <v>2075</v>
      </c>
      <c r="AM126">
        <v>746</v>
      </c>
      <c r="AN126">
        <v>2821</v>
      </c>
      <c r="AO126">
        <v>12</v>
      </c>
      <c r="AP126">
        <v>1133</v>
      </c>
    </row>
    <row r="127" spans="1:42" x14ac:dyDescent="0.3">
      <c r="A127" t="s">
        <v>1447</v>
      </c>
      <c r="B127" t="s">
        <v>115</v>
      </c>
      <c r="C127" t="s">
        <v>16</v>
      </c>
      <c r="D127" t="s">
        <v>139</v>
      </c>
      <c r="E127" t="s">
        <v>994</v>
      </c>
      <c r="F127">
        <v>2023</v>
      </c>
      <c r="G127">
        <v>81</v>
      </c>
      <c r="H127">
        <v>2</v>
      </c>
      <c r="I127">
        <v>1</v>
      </c>
      <c r="J127">
        <v>21</v>
      </c>
      <c r="K127">
        <v>17</v>
      </c>
      <c r="L127" t="s">
        <v>1327</v>
      </c>
      <c r="M127">
        <v>35.396524486571877</v>
      </c>
      <c r="N127">
        <v>303</v>
      </c>
      <c r="O127">
        <v>0</v>
      </c>
      <c r="P127">
        <v>45.666666666666657</v>
      </c>
      <c r="Q127">
        <v>104.1166666666667</v>
      </c>
      <c r="R127">
        <v>10.270142180094791</v>
      </c>
      <c r="S127">
        <v>264</v>
      </c>
      <c r="T127">
        <v>0</v>
      </c>
      <c r="U127">
        <v>38.236842105263158</v>
      </c>
      <c r="V127">
        <v>264</v>
      </c>
      <c r="W127">
        <v>0</v>
      </c>
      <c r="X127">
        <v>42.251824817518248</v>
      </c>
      <c r="Y127">
        <v>264</v>
      </c>
      <c r="Z127">
        <v>0</v>
      </c>
      <c r="AA127">
        <v>77.646715328467153</v>
      </c>
      <c r="AB127">
        <v>200</v>
      </c>
      <c r="AC127">
        <v>0</v>
      </c>
      <c r="AD127">
        <v>47.472727272727283</v>
      </c>
      <c r="AE127">
        <v>171</v>
      </c>
      <c r="AF127">
        <v>0</v>
      </c>
      <c r="AG127">
        <v>81.038181818181826</v>
      </c>
      <c r="AH127">
        <v>175.4</v>
      </c>
      <c r="AI127">
        <v>0</v>
      </c>
      <c r="AJ127">
        <v>83</v>
      </c>
      <c r="AK127">
        <v>123.9</v>
      </c>
      <c r="AL127">
        <v>2073</v>
      </c>
      <c r="AM127">
        <v>745</v>
      </c>
      <c r="AN127">
        <v>2818</v>
      </c>
      <c r="AO127">
        <v>170</v>
      </c>
      <c r="AP127">
        <v>1130</v>
      </c>
    </row>
    <row r="128" spans="1:42" x14ac:dyDescent="0.3">
      <c r="A128" t="s">
        <v>1083</v>
      </c>
      <c r="B128" t="s">
        <v>115</v>
      </c>
      <c r="C128" t="s">
        <v>16</v>
      </c>
      <c r="D128" t="s">
        <v>6</v>
      </c>
      <c r="E128" t="s">
        <v>994</v>
      </c>
      <c r="F128">
        <v>2023</v>
      </c>
      <c r="G128">
        <v>123.9</v>
      </c>
      <c r="H128">
        <v>9</v>
      </c>
      <c r="I128">
        <v>3</v>
      </c>
      <c r="J128">
        <v>67</v>
      </c>
      <c r="K128">
        <v>83</v>
      </c>
      <c r="L128" t="s">
        <v>979</v>
      </c>
      <c r="M128">
        <v>35.321202531645568</v>
      </c>
      <c r="N128">
        <v>303</v>
      </c>
      <c r="O128">
        <v>0</v>
      </c>
      <c r="P128">
        <v>58.2</v>
      </c>
      <c r="Q128">
        <v>130.66</v>
      </c>
      <c r="R128">
        <v>22.878797468354431</v>
      </c>
      <c r="S128">
        <v>152</v>
      </c>
      <c r="T128">
        <v>5</v>
      </c>
      <c r="U128">
        <v>38.236842105263158</v>
      </c>
      <c r="V128">
        <v>264</v>
      </c>
      <c r="W128">
        <v>0</v>
      </c>
      <c r="X128">
        <v>42.251824817518248</v>
      </c>
      <c r="Y128">
        <v>264</v>
      </c>
      <c r="Z128">
        <v>0</v>
      </c>
      <c r="AA128">
        <v>77.646715328467153</v>
      </c>
      <c r="AB128">
        <v>200</v>
      </c>
      <c r="AC128">
        <v>0</v>
      </c>
      <c r="AD128">
        <v>47.472727272727283</v>
      </c>
      <c r="AE128">
        <v>171</v>
      </c>
      <c r="AF128">
        <v>0</v>
      </c>
      <c r="AG128">
        <v>81.038181818181826</v>
      </c>
      <c r="AH128">
        <v>175.4</v>
      </c>
      <c r="AI128">
        <v>0</v>
      </c>
      <c r="AL128">
        <v>2064</v>
      </c>
      <c r="AM128">
        <v>742</v>
      </c>
      <c r="AN128">
        <v>2806</v>
      </c>
      <c r="AO128">
        <v>33</v>
      </c>
      <c r="AP128">
        <v>1118</v>
      </c>
    </row>
    <row r="129" spans="1:42" x14ac:dyDescent="0.3">
      <c r="A129" t="s">
        <v>1214</v>
      </c>
      <c r="B129" t="s">
        <v>73</v>
      </c>
      <c r="C129" t="s">
        <v>16</v>
      </c>
      <c r="D129" t="s">
        <v>259</v>
      </c>
      <c r="E129" t="s">
        <v>987</v>
      </c>
      <c r="F129">
        <v>2022</v>
      </c>
      <c r="G129">
        <v>182.1</v>
      </c>
      <c r="H129">
        <v>3</v>
      </c>
      <c r="I129">
        <v>5</v>
      </c>
      <c r="J129">
        <v>28</v>
      </c>
      <c r="K129">
        <v>51</v>
      </c>
      <c r="L129" t="s">
        <v>979</v>
      </c>
      <c r="M129">
        <v>35.296354992076068</v>
      </c>
      <c r="N129">
        <v>303</v>
      </c>
      <c r="O129">
        <v>0</v>
      </c>
      <c r="P129">
        <v>31</v>
      </c>
      <c r="Q129">
        <v>95.613043478260863</v>
      </c>
      <c r="R129">
        <v>-4.2963549920760684</v>
      </c>
      <c r="S129">
        <v>83</v>
      </c>
      <c r="T129">
        <v>0</v>
      </c>
      <c r="U129">
        <v>38.228571428571428</v>
      </c>
      <c r="V129">
        <v>137</v>
      </c>
      <c r="W129">
        <v>0</v>
      </c>
      <c r="X129">
        <v>42.251824817518248</v>
      </c>
      <c r="Y129">
        <v>264</v>
      </c>
      <c r="Z129">
        <v>0</v>
      </c>
      <c r="AA129">
        <v>77.646715328467153</v>
      </c>
      <c r="AB129">
        <v>200</v>
      </c>
      <c r="AC129">
        <v>0</v>
      </c>
      <c r="AD129">
        <v>40.825000000000003</v>
      </c>
      <c r="AE129">
        <v>208</v>
      </c>
      <c r="AF129">
        <v>1</v>
      </c>
      <c r="AG129">
        <v>90.646250000000009</v>
      </c>
      <c r="AH129">
        <v>274.39999999999998</v>
      </c>
      <c r="AI129">
        <v>15.4</v>
      </c>
      <c r="AJ129">
        <v>27</v>
      </c>
      <c r="AK129">
        <v>87.1</v>
      </c>
      <c r="AL129">
        <v>2061</v>
      </c>
      <c r="AM129">
        <v>737</v>
      </c>
      <c r="AN129">
        <v>2798</v>
      </c>
      <c r="AO129">
        <v>82</v>
      </c>
      <c r="AP129">
        <v>1110</v>
      </c>
    </row>
    <row r="130" spans="1:42" x14ac:dyDescent="0.3">
      <c r="A130" t="s">
        <v>1352</v>
      </c>
      <c r="B130" t="s">
        <v>73</v>
      </c>
      <c r="C130" t="s">
        <v>16</v>
      </c>
      <c r="D130" t="s">
        <v>259</v>
      </c>
      <c r="E130" t="s">
        <v>987</v>
      </c>
      <c r="F130">
        <v>2022</v>
      </c>
      <c r="G130">
        <v>87.1</v>
      </c>
      <c r="H130">
        <v>4</v>
      </c>
      <c r="I130">
        <v>1</v>
      </c>
      <c r="J130">
        <v>31</v>
      </c>
      <c r="K130">
        <v>27</v>
      </c>
      <c r="L130" t="s">
        <v>1327</v>
      </c>
      <c r="M130">
        <v>35.30952380952381</v>
      </c>
      <c r="N130">
        <v>303</v>
      </c>
      <c r="O130">
        <v>0</v>
      </c>
      <c r="P130">
        <v>31</v>
      </c>
      <c r="Q130">
        <v>95.613043478260863</v>
      </c>
      <c r="R130">
        <v>-4.3095238095238102</v>
      </c>
      <c r="S130">
        <v>83</v>
      </c>
      <c r="T130">
        <v>0</v>
      </c>
      <c r="U130">
        <v>38.228571428571428</v>
      </c>
      <c r="V130">
        <v>137</v>
      </c>
      <c r="W130">
        <v>0</v>
      </c>
      <c r="X130">
        <v>42.251824817518248</v>
      </c>
      <c r="Y130">
        <v>264</v>
      </c>
      <c r="Z130">
        <v>0</v>
      </c>
      <c r="AA130">
        <v>77.646715328467153</v>
      </c>
      <c r="AB130">
        <v>200</v>
      </c>
      <c r="AC130">
        <v>0</v>
      </c>
      <c r="AD130">
        <v>40.825000000000003</v>
      </c>
      <c r="AE130">
        <v>208</v>
      </c>
      <c r="AF130">
        <v>1</v>
      </c>
      <c r="AG130">
        <v>90.646250000000009</v>
      </c>
      <c r="AH130">
        <v>274.39999999999998</v>
      </c>
      <c r="AI130">
        <v>15.4</v>
      </c>
      <c r="AL130">
        <v>2057</v>
      </c>
      <c r="AM130">
        <v>736</v>
      </c>
      <c r="AN130">
        <v>2793</v>
      </c>
      <c r="AO130">
        <v>77</v>
      </c>
      <c r="AP130">
        <v>1105</v>
      </c>
    </row>
    <row r="131" spans="1:42" x14ac:dyDescent="0.3">
      <c r="A131" t="s">
        <v>1353</v>
      </c>
      <c r="B131" t="s">
        <v>76</v>
      </c>
      <c r="C131" t="s">
        <v>5</v>
      </c>
      <c r="D131" t="s">
        <v>35</v>
      </c>
      <c r="E131" t="s">
        <v>981</v>
      </c>
      <c r="F131">
        <v>2022</v>
      </c>
      <c r="G131">
        <v>96.4</v>
      </c>
      <c r="H131">
        <v>4</v>
      </c>
      <c r="I131">
        <v>0</v>
      </c>
      <c r="J131">
        <v>28</v>
      </c>
      <c r="K131">
        <v>27</v>
      </c>
      <c r="L131" t="s">
        <v>1327</v>
      </c>
      <c r="M131">
        <v>35.32273449920509</v>
      </c>
      <c r="N131">
        <v>303</v>
      </c>
      <c r="O131">
        <v>0</v>
      </c>
      <c r="P131">
        <v>27.69230769230769</v>
      </c>
      <c r="Q131">
        <v>65.492307692307691</v>
      </c>
      <c r="R131">
        <v>-7.6304268068973968</v>
      </c>
      <c r="S131">
        <v>73</v>
      </c>
      <c r="T131">
        <v>1</v>
      </c>
      <c r="U131">
        <v>48.215686274509807</v>
      </c>
      <c r="V131">
        <v>187</v>
      </c>
      <c r="W131">
        <v>0</v>
      </c>
      <c r="X131">
        <v>28.189024390243901</v>
      </c>
      <c r="Y131">
        <v>121</v>
      </c>
      <c r="Z131">
        <v>0</v>
      </c>
      <c r="AA131">
        <v>116.45060975609761</v>
      </c>
      <c r="AB131">
        <v>274.39999999999998</v>
      </c>
      <c r="AC131">
        <v>0</v>
      </c>
      <c r="AD131">
        <v>47.122448979591837</v>
      </c>
      <c r="AE131">
        <v>264</v>
      </c>
      <c r="AF131">
        <v>0</v>
      </c>
      <c r="AG131">
        <v>105.5040816326531</v>
      </c>
      <c r="AH131">
        <v>200</v>
      </c>
      <c r="AI131">
        <v>0</v>
      </c>
      <c r="AJ131">
        <v>15</v>
      </c>
      <c r="AK131">
        <v>115.4</v>
      </c>
      <c r="AL131">
        <v>2053</v>
      </c>
      <c r="AM131">
        <v>736</v>
      </c>
      <c r="AN131">
        <v>2789</v>
      </c>
      <c r="AO131">
        <v>27</v>
      </c>
      <c r="AP131">
        <v>573</v>
      </c>
    </row>
    <row r="132" spans="1:42" x14ac:dyDescent="0.3">
      <c r="A132" t="s">
        <v>1460</v>
      </c>
      <c r="B132" t="s">
        <v>264</v>
      </c>
      <c r="C132" t="s">
        <v>5</v>
      </c>
      <c r="D132" t="s">
        <v>84</v>
      </c>
      <c r="E132" t="s">
        <v>981</v>
      </c>
      <c r="F132">
        <v>2022</v>
      </c>
      <c r="G132">
        <v>115.4</v>
      </c>
      <c r="H132">
        <v>2</v>
      </c>
      <c r="I132">
        <v>0</v>
      </c>
      <c r="J132">
        <v>13</v>
      </c>
      <c r="K132">
        <v>15</v>
      </c>
      <c r="L132" t="s">
        <v>1327</v>
      </c>
      <c r="M132">
        <v>35.355095541401283</v>
      </c>
      <c r="N132">
        <v>303</v>
      </c>
      <c r="O132">
        <v>0</v>
      </c>
      <c r="P132">
        <v>39.769230769230766</v>
      </c>
      <c r="Q132">
        <v>74.015384615384619</v>
      </c>
      <c r="R132">
        <v>4.4141352278294903</v>
      </c>
      <c r="S132">
        <v>138</v>
      </c>
      <c r="T132">
        <v>0</v>
      </c>
      <c r="U132">
        <v>31.5</v>
      </c>
      <c r="V132">
        <v>114</v>
      </c>
      <c r="W132">
        <v>1</v>
      </c>
      <c r="X132">
        <v>28.189024390243901</v>
      </c>
      <c r="Y132">
        <v>121</v>
      </c>
      <c r="Z132">
        <v>0</v>
      </c>
      <c r="AA132">
        <v>116.45060975609761</v>
      </c>
      <c r="AB132">
        <v>274.39999999999998</v>
      </c>
      <c r="AC132">
        <v>0</v>
      </c>
      <c r="AD132">
        <v>47.122448979591837</v>
      </c>
      <c r="AE132">
        <v>264</v>
      </c>
      <c r="AF132">
        <v>0</v>
      </c>
      <c r="AG132">
        <v>105.5040816326531</v>
      </c>
      <c r="AH132">
        <v>200</v>
      </c>
      <c r="AI132">
        <v>0</v>
      </c>
      <c r="AJ132">
        <v>2</v>
      </c>
      <c r="AK132">
        <v>25</v>
      </c>
      <c r="AL132">
        <v>2051</v>
      </c>
      <c r="AM132">
        <v>736</v>
      </c>
      <c r="AN132">
        <v>2787</v>
      </c>
      <c r="AO132">
        <v>48</v>
      </c>
      <c r="AP132">
        <v>571</v>
      </c>
    </row>
    <row r="133" spans="1:42" x14ac:dyDescent="0.3">
      <c r="A133" t="s">
        <v>1684</v>
      </c>
      <c r="B133" t="s">
        <v>73</v>
      </c>
      <c r="C133" t="s">
        <v>5</v>
      </c>
      <c r="D133" t="s">
        <v>35</v>
      </c>
      <c r="E133" t="s">
        <v>981</v>
      </c>
      <c r="F133">
        <v>2022</v>
      </c>
      <c r="G133">
        <v>25</v>
      </c>
      <c r="H133">
        <v>0</v>
      </c>
      <c r="I133">
        <v>0</v>
      </c>
      <c r="J133">
        <v>8</v>
      </c>
      <c r="K133">
        <v>2</v>
      </c>
      <c r="L133" t="s">
        <v>1327</v>
      </c>
      <c r="M133">
        <v>35.408293460925037</v>
      </c>
      <c r="N133">
        <v>303</v>
      </c>
      <c r="O133">
        <v>0</v>
      </c>
      <c r="P133">
        <v>27.69230769230769</v>
      </c>
      <c r="Q133">
        <v>65.492307692307691</v>
      </c>
      <c r="R133">
        <v>-7.7159857686173439</v>
      </c>
      <c r="S133">
        <v>73</v>
      </c>
      <c r="T133">
        <v>1</v>
      </c>
      <c r="U133">
        <v>38.228571428571428</v>
      </c>
      <c r="V133">
        <v>137</v>
      </c>
      <c r="W133">
        <v>0</v>
      </c>
      <c r="X133">
        <v>28.189024390243901</v>
      </c>
      <c r="Y133">
        <v>121</v>
      </c>
      <c r="Z133">
        <v>0</v>
      </c>
      <c r="AA133">
        <v>116.45060975609761</v>
      </c>
      <c r="AB133">
        <v>274.39999999999998</v>
      </c>
      <c r="AC133">
        <v>0</v>
      </c>
      <c r="AD133">
        <v>47.122448979591837</v>
      </c>
      <c r="AE133">
        <v>264</v>
      </c>
      <c r="AF133">
        <v>0</v>
      </c>
      <c r="AG133">
        <v>105.5040816326531</v>
      </c>
      <c r="AH133">
        <v>200</v>
      </c>
      <c r="AI133">
        <v>0</v>
      </c>
      <c r="AJ133">
        <v>15</v>
      </c>
      <c r="AK133">
        <v>107.1</v>
      </c>
      <c r="AL133">
        <v>2051</v>
      </c>
      <c r="AM133">
        <v>736</v>
      </c>
      <c r="AN133">
        <v>2787</v>
      </c>
      <c r="AO133">
        <v>27</v>
      </c>
      <c r="AP133">
        <v>571</v>
      </c>
    </row>
    <row r="134" spans="1:42" x14ac:dyDescent="0.3">
      <c r="A134" t="s">
        <v>1461</v>
      </c>
      <c r="B134" t="s">
        <v>24</v>
      </c>
      <c r="C134" t="s">
        <v>5</v>
      </c>
      <c r="D134" t="s">
        <v>37</v>
      </c>
      <c r="E134" t="s">
        <v>977</v>
      </c>
      <c r="F134">
        <v>2022</v>
      </c>
      <c r="G134">
        <v>107.1</v>
      </c>
      <c r="H134">
        <v>1</v>
      </c>
      <c r="I134">
        <v>1</v>
      </c>
      <c r="J134">
        <v>14</v>
      </c>
      <c r="K134">
        <v>15</v>
      </c>
      <c r="L134" t="s">
        <v>1327</v>
      </c>
      <c r="M134">
        <v>35.440894568690098</v>
      </c>
      <c r="N134">
        <v>303</v>
      </c>
      <c r="O134">
        <v>0</v>
      </c>
      <c r="P134">
        <v>44.666666666666657</v>
      </c>
      <c r="Q134">
        <v>78.399999999999991</v>
      </c>
      <c r="R134">
        <v>9.2257720979765665</v>
      </c>
      <c r="S134">
        <v>171</v>
      </c>
      <c r="T134">
        <v>7</v>
      </c>
      <c r="U134">
        <v>37.163636363636357</v>
      </c>
      <c r="V134">
        <v>303</v>
      </c>
      <c r="W134">
        <v>0</v>
      </c>
      <c r="X134">
        <v>28.189024390243901</v>
      </c>
      <c r="Y134">
        <v>121</v>
      </c>
      <c r="Z134">
        <v>0</v>
      </c>
      <c r="AA134">
        <v>116.45060975609761</v>
      </c>
      <c r="AB134">
        <v>274.39999999999998</v>
      </c>
      <c r="AC134">
        <v>0</v>
      </c>
      <c r="AD134">
        <v>49.901639344262293</v>
      </c>
      <c r="AE134">
        <v>303</v>
      </c>
      <c r="AF134">
        <v>0</v>
      </c>
      <c r="AG134">
        <v>90.971311475409848</v>
      </c>
      <c r="AH134">
        <v>200</v>
      </c>
      <c r="AI134">
        <v>0</v>
      </c>
      <c r="AJ134">
        <v>53</v>
      </c>
      <c r="AK134">
        <v>135.9</v>
      </c>
      <c r="AL134">
        <v>2050</v>
      </c>
      <c r="AM134">
        <v>735</v>
      </c>
      <c r="AN134">
        <v>2785</v>
      </c>
      <c r="AO134">
        <v>33</v>
      </c>
      <c r="AP134">
        <v>569</v>
      </c>
    </row>
    <row r="135" spans="1:42" x14ac:dyDescent="0.3">
      <c r="A135" t="s">
        <v>1201</v>
      </c>
      <c r="B135" t="s">
        <v>187</v>
      </c>
      <c r="C135" t="s">
        <v>5</v>
      </c>
      <c r="D135" t="s">
        <v>33</v>
      </c>
      <c r="E135" t="s">
        <v>977</v>
      </c>
      <c r="F135">
        <v>2022</v>
      </c>
      <c r="G135">
        <v>135.9</v>
      </c>
      <c r="H135">
        <v>4</v>
      </c>
      <c r="I135">
        <v>3</v>
      </c>
      <c r="J135">
        <v>39</v>
      </c>
      <c r="K135">
        <v>53</v>
      </c>
      <c r="L135" t="s">
        <v>979</v>
      </c>
      <c r="M135">
        <v>35.412799999999997</v>
      </c>
      <c r="N135">
        <v>303</v>
      </c>
      <c r="O135">
        <v>0</v>
      </c>
      <c r="P135">
        <v>68.36363636363636</v>
      </c>
      <c r="Q135">
        <v>88.454545454545453</v>
      </c>
      <c r="R135">
        <v>32.950836363636363</v>
      </c>
      <c r="S135">
        <v>133</v>
      </c>
      <c r="T135">
        <v>1</v>
      </c>
      <c r="U135">
        <v>53</v>
      </c>
      <c r="V135">
        <v>61</v>
      </c>
      <c r="W135">
        <v>53</v>
      </c>
      <c r="X135">
        <v>28.189024390243901</v>
      </c>
      <c r="Y135">
        <v>121</v>
      </c>
      <c r="Z135">
        <v>0</v>
      </c>
      <c r="AA135">
        <v>116.45060975609761</v>
      </c>
      <c r="AB135">
        <v>274.39999999999998</v>
      </c>
      <c r="AC135">
        <v>0</v>
      </c>
      <c r="AD135">
        <v>49.901639344262293</v>
      </c>
      <c r="AE135">
        <v>303</v>
      </c>
      <c r="AF135">
        <v>0</v>
      </c>
      <c r="AG135">
        <v>90.971311475409848</v>
      </c>
      <c r="AH135">
        <v>200</v>
      </c>
      <c r="AI135">
        <v>0</v>
      </c>
      <c r="AJ135">
        <v>4</v>
      </c>
      <c r="AK135">
        <v>57.1</v>
      </c>
      <c r="AL135">
        <v>2046</v>
      </c>
      <c r="AM135">
        <v>732</v>
      </c>
      <c r="AN135">
        <v>2778</v>
      </c>
      <c r="AO135">
        <v>65</v>
      </c>
      <c r="AP135">
        <v>562</v>
      </c>
    </row>
    <row r="136" spans="1:42" x14ac:dyDescent="0.3">
      <c r="A136" t="s">
        <v>1647</v>
      </c>
      <c r="B136" t="s">
        <v>71</v>
      </c>
      <c r="C136" t="s">
        <v>5</v>
      </c>
      <c r="D136" t="s">
        <v>84</v>
      </c>
      <c r="E136" t="s">
        <v>977</v>
      </c>
      <c r="F136">
        <v>2022</v>
      </c>
      <c r="G136">
        <v>57.1</v>
      </c>
      <c r="H136">
        <v>0</v>
      </c>
      <c r="I136">
        <v>0</v>
      </c>
      <c r="J136">
        <v>7</v>
      </c>
      <c r="K136">
        <v>4</v>
      </c>
      <c r="L136" t="s">
        <v>1327</v>
      </c>
      <c r="M136">
        <v>35.463141025641029</v>
      </c>
      <c r="N136">
        <v>303</v>
      </c>
      <c r="O136">
        <v>0</v>
      </c>
      <c r="P136">
        <v>39.769230769230766</v>
      </c>
      <c r="Q136">
        <v>74.015384615384619</v>
      </c>
      <c r="R136">
        <v>4.3060897435897374</v>
      </c>
      <c r="S136">
        <v>138</v>
      </c>
      <c r="T136">
        <v>0</v>
      </c>
      <c r="U136">
        <v>33.333333333333343</v>
      </c>
      <c r="V136">
        <v>140</v>
      </c>
      <c r="W136">
        <v>0</v>
      </c>
      <c r="X136">
        <v>28.189024390243901</v>
      </c>
      <c r="Y136">
        <v>121</v>
      </c>
      <c r="Z136">
        <v>0</v>
      </c>
      <c r="AA136">
        <v>116.45060975609761</v>
      </c>
      <c r="AB136">
        <v>274.39999999999998</v>
      </c>
      <c r="AC136">
        <v>0</v>
      </c>
      <c r="AD136">
        <v>49.901639344262293</v>
      </c>
      <c r="AE136">
        <v>303</v>
      </c>
      <c r="AF136">
        <v>0</v>
      </c>
      <c r="AG136">
        <v>90.971311475409848</v>
      </c>
      <c r="AH136">
        <v>200</v>
      </c>
      <c r="AI136">
        <v>0</v>
      </c>
      <c r="AL136">
        <v>2046</v>
      </c>
      <c r="AM136">
        <v>732</v>
      </c>
      <c r="AN136">
        <v>2778</v>
      </c>
      <c r="AO136">
        <v>48</v>
      </c>
      <c r="AP136">
        <v>562</v>
      </c>
    </row>
    <row r="137" spans="1:42" x14ac:dyDescent="0.3">
      <c r="A137" t="s">
        <v>1731</v>
      </c>
      <c r="B137" t="s">
        <v>24</v>
      </c>
      <c r="C137" t="s">
        <v>5</v>
      </c>
      <c r="D137" t="s">
        <v>17</v>
      </c>
      <c r="E137" t="s">
        <v>977</v>
      </c>
      <c r="F137">
        <v>2022</v>
      </c>
      <c r="G137">
        <v>0</v>
      </c>
      <c r="H137">
        <v>0</v>
      </c>
      <c r="I137">
        <v>0</v>
      </c>
      <c r="J137">
        <v>2</v>
      </c>
      <c r="K137">
        <v>0</v>
      </c>
      <c r="L137" t="s">
        <v>1327</v>
      </c>
      <c r="M137">
        <v>35.520064205457473</v>
      </c>
      <c r="N137">
        <v>303</v>
      </c>
      <c r="O137">
        <v>0</v>
      </c>
      <c r="P137">
        <v>33.769230769230766</v>
      </c>
      <c r="Q137">
        <v>87.853846153846149</v>
      </c>
      <c r="R137">
        <v>-1.7508334362266991</v>
      </c>
      <c r="S137">
        <v>118</v>
      </c>
      <c r="T137">
        <v>0</v>
      </c>
      <c r="U137">
        <v>37.163636363636357</v>
      </c>
      <c r="V137">
        <v>303</v>
      </c>
      <c r="W137">
        <v>0</v>
      </c>
      <c r="X137">
        <v>28.189024390243901</v>
      </c>
      <c r="Y137">
        <v>121</v>
      </c>
      <c r="Z137">
        <v>0</v>
      </c>
      <c r="AA137">
        <v>116.45060975609761</v>
      </c>
      <c r="AB137">
        <v>274.39999999999998</v>
      </c>
      <c r="AC137">
        <v>0</v>
      </c>
      <c r="AD137">
        <v>49.901639344262293</v>
      </c>
      <c r="AE137">
        <v>303</v>
      </c>
      <c r="AF137">
        <v>0</v>
      </c>
      <c r="AG137">
        <v>90.971311475409848</v>
      </c>
      <c r="AH137">
        <v>200</v>
      </c>
      <c r="AI137">
        <v>0</v>
      </c>
      <c r="AJ137">
        <v>43</v>
      </c>
      <c r="AK137">
        <v>116.2</v>
      </c>
      <c r="AL137">
        <v>2046</v>
      </c>
      <c r="AM137">
        <v>732</v>
      </c>
      <c r="AN137">
        <v>2778</v>
      </c>
      <c r="AO137">
        <v>44</v>
      </c>
      <c r="AP137">
        <v>562</v>
      </c>
    </row>
    <row r="138" spans="1:42" x14ac:dyDescent="0.3">
      <c r="A138" t="s">
        <v>1254</v>
      </c>
      <c r="B138" t="s">
        <v>24</v>
      </c>
      <c r="C138" t="s">
        <v>5</v>
      </c>
      <c r="D138" t="s">
        <v>6</v>
      </c>
      <c r="E138" t="s">
        <v>977</v>
      </c>
      <c r="F138">
        <v>2022</v>
      </c>
      <c r="G138">
        <v>116.2</v>
      </c>
      <c r="H138">
        <v>7</v>
      </c>
      <c r="I138">
        <v>1</v>
      </c>
      <c r="J138">
        <v>37</v>
      </c>
      <c r="K138">
        <v>43</v>
      </c>
      <c r="L138" t="s">
        <v>979</v>
      </c>
      <c r="M138">
        <v>35.508038585209</v>
      </c>
      <c r="N138">
        <v>303</v>
      </c>
      <c r="O138">
        <v>0</v>
      </c>
      <c r="P138">
        <v>58.2</v>
      </c>
      <c r="Q138">
        <v>130.66</v>
      </c>
      <c r="R138">
        <v>22.691961414790999</v>
      </c>
      <c r="S138">
        <v>152</v>
      </c>
      <c r="T138">
        <v>5</v>
      </c>
      <c r="U138">
        <v>37.163636363636357</v>
      </c>
      <c r="V138">
        <v>303</v>
      </c>
      <c r="W138">
        <v>0</v>
      </c>
      <c r="X138">
        <v>28.189024390243901</v>
      </c>
      <c r="Y138">
        <v>121</v>
      </c>
      <c r="Z138">
        <v>0</v>
      </c>
      <c r="AA138">
        <v>116.45060975609761</v>
      </c>
      <c r="AB138">
        <v>274.39999999999998</v>
      </c>
      <c r="AC138">
        <v>0</v>
      </c>
      <c r="AD138">
        <v>49.901639344262293</v>
      </c>
      <c r="AE138">
        <v>303</v>
      </c>
      <c r="AF138">
        <v>0</v>
      </c>
      <c r="AG138">
        <v>90.971311475409848</v>
      </c>
      <c r="AH138">
        <v>200</v>
      </c>
      <c r="AI138">
        <v>0</v>
      </c>
      <c r="AJ138">
        <v>0</v>
      </c>
      <c r="AK138">
        <v>0</v>
      </c>
      <c r="AL138">
        <v>2039</v>
      </c>
      <c r="AM138">
        <v>731</v>
      </c>
      <c r="AN138">
        <v>2770</v>
      </c>
      <c r="AO138">
        <v>25</v>
      </c>
      <c r="AP138">
        <v>554</v>
      </c>
    </row>
    <row r="139" spans="1:42" x14ac:dyDescent="0.3">
      <c r="A139" t="s">
        <v>1732</v>
      </c>
      <c r="B139" t="s">
        <v>24</v>
      </c>
      <c r="C139" t="s">
        <v>5</v>
      </c>
      <c r="D139" t="s">
        <v>254</v>
      </c>
      <c r="E139" t="s">
        <v>1009</v>
      </c>
      <c r="F139">
        <v>2022</v>
      </c>
      <c r="G139">
        <v>0</v>
      </c>
      <c r="H139">
        <v>0</v>
      </c>
      <c r="I139">
        <v>0</v>
      </c>
      <c r="J139">
        <v>2</v>
      </c>
      <c r="K139">
        <v>0</v>
      </c>
      <c r="L139" t="s">
        <v>1327</v>
      </c>
      <c r="M139">
        <v>35.565217391304351</v>
      </c>
      <c r="N139">
        <v>303</v>
      </c>
      <c r="O139">
        <v>0</v>
      </c>
      <c r="P139">
        <v>25.6</v>
      </c>
      <c r="Q139">
        <v>74.08</v>
      </c>
      <c r="R139">
        <v>-9.9652173913043498</v>
      </c>
      <c r="S139">
        <v>63</v>
      </c>
      <c r="T139">
        <v>0</v>
      </c>
      <c r="U139">
        <v>37.163636363636357</v>
      </c>
      <c r="V139">
        <v>303</v>
      </c>
      <c r="W139">
        <v>0</v>
      </c>
      <c r="X139">
        <v>28.189024390243901</v>
      </c>
      <c r="Y139">
        <v>121</v>
      </c>
      <c r="Z139">
        <v>0</v>
      </c>
      <c r="AA139">
        <v>116.45060975609761</v>
      </c>
      <c r="AB139">
        <v>274.39999999999998</v>
      </c>
      <c r="AC139">
        <v>0</v>
      </c>
      <c r="AD139">
        <v>38.25</v>
      </c>
      <c r="AE139">
        <v>138</v>
      </c>
      <c r="AF139">
        <v>0</v>
      </c>
      <c r="AG139">
        <v>106.2954545454546</v>
      </c>
      <c r="AH139">
        <v>230</v>
      </c>
      <c r="AI139">
        <v>0</v>
      </c>
      <c r="AJ139">
        <v>63</v>
      </c>
      <c r="AK139">
        <v>175.7</v>
      </c>
      <c r="AL139">
        <v>2039</v>
      </c>
      <c r="AM139">
        <v>731</v>
      </c>
      <c r="AN139">
        <v>2770</v>
      </c>
      <c r="AO139">
        <v>12</v>
      </c>
      <c r="AP139">
        <v>554</v>
      </c>
    </row>
    <row r="140" spans="1:42" x14ac:dyDescent="0.3">
      <c r="A140" t="s">
        <v>1448</v>
      </c>
      <c r="B140" t="s">
        <v>32</v>
      </c>
      <c r="C140" t="s">
        <v>5</v>
      </c>
      <c r="D140" t="s">
        <v>54</v>
      </c>
      <c r="E140" t="s">
        <v>1009</v>
      </c>
      <c r="F140">
        <v>2022</v>
      </c>
      <c r="G140">
        <v>121.4</v>
      </c>
      <c r="H140">
        <v>2</v>
      </c>
      <c r="I140">
        <v>1</v>
      </c>
      <c r="J140">
        <v>14</v>
      </c>
      <c r="K140">
        <v>17</v>
      </c>
      <c r="L140" t="s">
        <v>1327</v>
      </c>
      <c r="M140">
        <v>35.595161290322579</v>
      </c>
      <c r="N140">
        <v>303</v>
      </c>
      <c r="O140">
        <v>0</v>
      </c>
      <c r="P140">
        <v>30</v>
      </c>
      <c r="Q140">
        <v>129.072</v>
      </c>
      <c r="R140">
        <v>-5.5951612903225794</v>
      </c>
      <c r="S140">
        <v>76</v>
      </c>
      <c r="T140">
        <v>1</v>
      </c>
      <c r="U140">
        <v>44.710843373493979</v>
      </c>
      <c r="V140">
        <v>209</v>
      </c>
      <c r="W140">
        <v>0</v>
      </c>
      <c r="X140">
        <v>28.189024390243901</v>
      </c>
      <c r="Y140">
        <v>121</v>
      </c>
      <c r="Z140">
        <v>0</v>
      </c>
      <c r="AA140">
        <v>116.45060975609761</v>
      </c>
      <c r="AB140">
        <v>274.39999999999998</v>
      </c>
      <c r="AC140">
        <v>0</v>
      </c>
      <c r="AD140">
        <v>38.25</v>
      </c>
      <c r="AE140">
        <v>138</v>
      </c>
      <c r="AF140">
        <v>0</v>
      </c>
      <c r="AG140">
        <v>106.2954545454546</v>
      </c>
      <c r="AH140">
        <v>230</v>
      </c>
      <c r="AI140">
        <v>0</v>
      </c>
      <c r="AJ140">
        <v>57</v>
      </c>
      <c r="AK140">
        <v>176.1</v>
      </c>
      <c r="AL140">
        <v>2037</v>
      </c>
      <c r="AM140">
        <v>730</v>
      </c>
      <c r="AN140">
        <v>2767</v>
      </c>
      <c r="AO140">
        <v>71</v>
      </c>
      <c r="AP140">
        <v>551</v>
      </c>
    </row>
    <row r="141" spans="1:42" x14ac:dyDescent="0.3">
      <c r="A141" t="s">
        <v>1244</v>
      </c>
      <c r="B141" t="s">
        <v>32</v>
      </c>
      <c r="C141" t="s">
        <v>5</v>
      </c>
      <c r="D141" t="s">
        <v>80</v>
      </c>
      <c r="E141" t="s">
        <v>1009</v>
      </c>
      <c r="F141">
        <v>2022</v>
      </c>
      <c r="G141">
        <v>230</v>
      </c>
      <c r="H141">
        <v>4</v>
      </c>
      <c r="I141">
        <v>4</v>
      </c>
      <c r="J141">
        <v>20</v>
      </c>
      <c r="K141">
        <v>46</v>
      </c>
      <c r="L141" t="s">
        <v>979</v>
      </c>
      <c r="M141">
        <v>35.578352180937003</v>
      </c>
      <c r="N141">
        <v>303</v>
      </c>
      <c r="O141">
        <v>0</v>
      </c>
      <c r="P141">
        <v>45.785714285714278</v>
      </c>
      <c r="Q141">
        <v>80.371428571428552</v>
      </c>
      <c r="R141">
        <v>10.207362104777291</v>
      </c>
      <c r="S141">
        <v>125</v>
      </c>
      <c r="T141">
        <v>0</v>
      </c>
      <c r="U141">
        <v>44.710843373493979</v>
      </c>
      <c r="V141">
        <v>209</v>
      </c>
      <c r="W141">
        <v>0</v>
      </c>
      <c r="X141">
        <v>28.189024390243901</v>
      </c>
      <c r="Y141">
        <v>121</v>
      </c>
      <c r="Z141">
        <v>0</v>
      </c>
      <c r="AA141">
        <v>116.45060975609761</v>
      </c>
      <c r="AB141">
        <v>274.39999999999998</v>
      </c>
      <c r="AC141">
        <v>0</v>
      </c>
      <c r="AD141">
        <v>38.25</v>
      </c>
      <c r="AE141">
        <v>138</v>
      </c>
      <c r="AF141">
        <v>0</v>
      </c>
      <c r="AG141">
        <v>106.2954545454546</v>
      </c>
      <c r="AH141">
        <v>230</v>
      </c>
      <c r="AI141">
        <v>0</v>
      </c>
      <c r="AJ141">
        <v>11</v>
      </c>
      <c r="AK141">
        <v>122.2</v>
      </c>
      <c r="AL141">
        <v>2033</v>
      </c>
      <c r="AM141">
        <v>726</v>
      </c>
      <c r="AN141">
        <v>2759</v>
      </c>
      <c r="AO141">
        <v>54</v>
      </c>
      <c r="AP141">
        <v>543</v>
      </c>
    </row>
    <row r="142" spans="1:42" x14ac:dyDescent="0.3">
      <c r="A142" t="s">
        <v>1521</v>
      </c>
      <c r="B142" t="s">
        <v>32</v>
      </c>
      <c r="C142" t="s">
        <v>5</v>
      </c>
      <c r="D142" t="s">
        <v>173</v>
      </c>
      <c r="E142" t="s">
        <v>1009</v>
      </c>
      <c r="F142">
        <v>2022</v>
      </c>
      <c r="G142">
        <v>122.2</v>
      </c>
      <c r="H142">
        <v>1</v>
      </c>
      <c r="I142">
        <v>1</v>
      </c>
      <c r="J142">
        <v>9</v>
      </c>
      <c r="K142">
        <v>11</v>
      </c>
      <c r="L142" t="s">
        <v>1327</v>
      </c>
      <c r="M142">
        <v>35.618122977346282</v>
      </c>
      <c r="N142">
        <v>303</v>
      </c>
      <c r="O142">
        <v>0</v>
      </c>
      <c r="P142">
        <v>36.388888888888893</v>
      </c>
      <c r="Q142">
        <v>93.683333333333337</v>
      </c>
      <c r="R142">
        <v>0.77076591154260399</v>
      </c>
      <c r="S142">
        <v>208</v>
      </c>
      <c r="T142">
        <v>0</v>
      </c>
      <c r="U142">
        <v>44.710843373493979</v>
      </c>
      <c r="V142">
        <v>209</v>
      </c>
      <c r="W142">
        <v>0</v>
      </c>
      <c r="X142">
        <v>28.189024390243901</v>
      </c>
      <c r="Y142">
        <v>121</v>
      </c>
      <c r="Z142">
        <v>0</v>
      </c>
      <c r="AA142">
        <v>116.45060975609761</v>
      </c>
      <c r="AB142">
        <v>274.39999999999998</v>
      </c>
      <c r="AC142">
        <v>0</v>
      </c>
      <c r="AD142">
        <v>38.25</v>
      </c>
      <c r="AE142">
        <v>138</v>
      </c>
      <c r="AF142">
        <v>0</v>
      </c>
      <c r="AG142">
        <v>106.2954545454546</v>
      </c>
      <c r="AH142">
        <v>230</v>
      </c>
      <c r="AI142">
        <v>0</v>
      </c>
      <c r="AL142">
        <v>2032</v>
      </c>
      <c r="AM142">
        <v>725</v>
      </c>
      <c r="AN142">
        <v>2757</v>
      </c>
      <c r="AO142">
        <v>82</v>
      </c>
      <c r="AP142">
        <v>541</v>
      </c>
    </row>
    <row r="143" spans="1:42" x14ac:dyDescent="0.3">
      <c r="A143" t="s">
        <v>1115</v>
      </c>
      <c r="B143" t="s">
        <v>115</v>
      </c>
      <c r="C143" t="s">
        <v>5</v>
      </c>
      <c r="D143" t="s">
        <v>67</v>
      </c>
      <c r="E143" t="s">
        <v>1009</v>
      </c>
      <c r="F143">
        <v>2022</v>
      </c>
      <c r="G143">
        <v>175.6</v>
      </c>
      <c r="H143">
        <v>5</v>
      </c>
      <c r="I143">
        <v>4</v>
      </c>
      <c r="J143">
        <v>41</v>
      </c>
      <c r="K143">
        <v>72</v>
      </c>
      <c r="L143" t="s">
        <v>979</v>
      </c>
      <c r="M143">
        <v>35.559157212317658</v>
      </c>
      <c r="N143">
        <v>303</v>
      </c>
      <c r="O143">
        <v>0</v>
      </c>
      <c r="P143">
        <v>35.03846153846154</v>
      </c>
      <c r="Q143">
        <v>104.65</v>
      </c>
      <c r="R143">
        <v>-0.52069567385612459</v>
      </c>
      <c r="S143">
        <v>111</v>
      </c>
      <c r="T143">
        <v>0</v>
      </c>
      <c r="U143">
        <v>38.236842105263158</v>
      </c>
      <c r="V143">
        <v>264</v>
      </c>
      <c r="W143">
        <v>0</v>
      </c>
      <c r="X143">
        <v>28.189024390243901</v>
      </c>
      <c r="Y143">
        <v>121</v>
      </c>
      <c r="Z143">
        <v>0</v>
      </c>
      <c r="AA143">
        <v>116.45060975609761</v>
      </c>
      <c r="AB143">
        <v>274.39999999999998</v>
      </c>
      <c r="AC143">
        <v>0</v>
      </c>
      <c r="AD143">
        <v>38.25</v>
      </c>
      <c r="AE143">
        <v>138</v>
      </c>
      <c r="AF143">
        <v>0</v>
      </c>
      <c r="AG143">
        <v>106.2954545454546</v>
      </c>
      <c r="AH143">
        <v>230</v>
      </c>
      <c r="AI143">
        <v>0</v>
      </c>
      <c r="AJ143">
        <v>28</v>
      </c>
      <c r="AK143">
        <v>175</v>
      </c>
      <c r="AL143">
        <v>2027</v>
      </c>
      <c r="AM143">
        <v>721</v>
      </c>
      <c r="AN143">
        <v>2748</v>
      </c>
      <c r="AO143">
        <v>87</v>
      </c>
      <c r="AP143">
        <v>532</v>
      </c>
    </row>
    <row r="144" spans="1:42" x14ac:dyDescent="0.3">
      <c r="A144" t="s">
        <v>1345</v>
      </c>
      <c r="B144" t="s">
        <v>71</v>
      </c>
      <c r="C144" t="s">
        <v>5</v>
      </c>
      <c r="D144" t="s">
        <v>67</v>
      </c>
      <c r="E144" t="s">
        <v>1009</v>
      </c>
      <c r="F144">
        <v>2022</v>
      </c>
      <c r="G144">
        <v>175</v>
      </c>
      <c r="H144">
        <v>3</v>
      </c>
      <c r="I144">
        <v>2</v>
      </c>
      <c r="J144">
        <v>16</v>
      </c>
      <c r="K144">
        <v>28</v>
      </c>
      <c r="L144" t="s">
        <v>1327</v>
      </c>
      <c r="M144">
        <v>35.571428571428569</v>
      </c>
      <c r="N144">
        <v>303</v>
      </c>
      <c r="O144">
        <v>0</v>
      </c>
      <c r="P144">
        <v>35.03846153846154</v>
      </c>
      <c r="Q144">
        <v>104.65</v>
      </c>
      <c r="R144">
        <v>-0.5329670329670293</v>
      </c>
      <c r="S144">
        <v>111</v>
      </c>
      <c r="T144">
        <v>0</v>
      </c>
      <c r="U144">
        <v>33.333333333333343</v>
      </c>
      <c r="V144">
        <v>140</v>
      </c>
      <c r="W144">
        <v>0</v>
      </c>
      <c r="X144">
        <v>28.189024390243901</v>
      </c>
      <c r="Y144">
        <v>121</v>
      </c>
      <c r="Z144">
        <v>0</v>
      </c>
      <c r="AA144">
        <v>116.45060975609761</v>
      </c>
      <c r="AB144">
        <v>274.39999999999998</v>
      </c>
      <c r="AC144">
        <v>0</v>
      </c>
      <c r="AD144">
        <v>38.25</v>
      </c>
      <c r="AE144">
        <v>138</v>
      </c>
      <c r="AF144">
        <v>0</v>
      </c>
      <c r="AG144">
        <v>106.2954545454546</v>
      </c>
      <c r="AH144">
        <v>230</v>
      </c>
      <c r="AI144">
        <v>0</v>
      </c>
      <c r="AJ144">
        <v>21</v>
      </c>
      <c r="AK144">
        <v>161.5</v>
      </c>
      <c r="AL144">
        <v>2024</v>
      </c>
      <c r="AM144">
        <v>719</v>
      </c>
      <c r="AN144">
        <v>2743</v>
      </c>
      <c r="AO144">
        <v>82</v>
      </c>
      <c r="AP144">
        <v>527</v>
      </c>
    </row>
    <row r="145" spans="1:42" x14ac:dyDescent="0.3">
      <c r="A145" t="s">
        <v>1402</v>
      </c>
      <c r="B145" t="s">
        <v>277</v>
      </c>
      <c r="C145" t="s">
        <v>5</v>
      </c>
      <c r="D145" t="s">
        <v>67</v>
      </c>
      <c r="E145" t="s">
        <v>1021</v>
      </c>
      <c r="F145">
        <v>2022</v>
      </c>
      <c r="G145">
        <v>161.5</v>
      </c>
      <c r="H145">
        <v>2</v>
      </c>
      <c r="I145">
        <v>1</v>
      </c>
      <c r="J145">
        <v>13</v>
      </c>
      <c r="K145">
        <v>21</v>
      </c>
      <c r="L145" t="s">
        <v>1327</v>
      </c>
      <c r="M145">
        <v>35.595121951219511</v>
      </c>
      <c r="N145">
        <v>303</v>
      </c>
      <c r="O145">
        <v>0</v>
      </c>
      <c r="P145">
        <v>35.03846153846154</v>
      </c>
      <c r="Q145">
        <v>104.65</v>
      </c>
      <c r="R145">
        <v>-0.55666041275797085</v>
      </c>
      <c r="S145">
        <v>111</v>
      </c>
      <c r="T145">
        <v>0</v>
      </c>
      <c r="U145">
        <v>17</v>
      </c>
      <c r="V145">
        <v>23</v>
      </c>
      <c r="W145">
        <v>11</v>
      </c>
      <c r="X145">
        <v>28.189024390243901</v>
      </c>
      <c r="Y145">
        <v>121</v>
      </c>
      <c r="Z145">
        <v>0</v>
      </c>
      <c r="AA145">
        <v>116.45060975609761</v>
      </c>
      <c r="AB145">
        <v>274.39999999999998</v>
      </c>
      <c r="AC145">
        <v>0</v>
      </c>
      <c r="AD145">
        <v>37</v>
      </c>
      <c r="AE145">
        <v>124</v>
      </c>
      <c r="AF145">
        <v>0</v>
      </c>
      <c r="AG145">
        <v>84.736842105263165</v>
      </c>
      <c r="AH145">
        <v>221.4</v>
      </c>
      <c r="AI145">
        <v>0</v>
      </c>
      <c r="AJ145">
        <v>12</v>
      </c>
      <c r="AK145">
        <v>66.7</v>
      </c>
      <c r="AL145">
        <v>2022</v>
      </c>
      <c r="AM145">
        <v>718</v>
      </c>
      <c r="AN145">
        <v>2740</v>
      </c>
      <c r="AO145">
        <v>79</v>
      </c>
      <c r="AP145">
        <v>524</v>
      </c>
    </row>
    <row r="146" spans="1:42" x14ac:dyDescent="0.3">
      <c r="A146" t="s">
        <v>1504</v>
      </c>
      <c r="B146" t="s">
        <v>71</v>
      </c>
      <c r="C146" t="s">
        <v>5</v>
      </c>
      <c r="D146" t="s">
        <v>67</v>
      </c>
      <c r="E146" t="s">
        <v>1021</v>
      </c>
      <c r="F146">
        <v>2022</v>
      </c>
      <c r="G146">
        <v>66.7</v>
      </c>
      <c r="H146">
        <v>0</v>
      </c>
      <c r="I146">
        <v>1</v>
      </c>
      <c r="J146">
        <v>18</v>
      </c>
      <c r="K146">
        <v>12</v>
      </c>
      <c r="L146" t="s">
        <v>1327</v>
      </c>
      <c r="M146">
        <v>35.633550488599347</v>
      </c>
      <c r="N146">
        <v>303</v>
      </c>
      <c r="O146">
        <v>0</v>
      </c>
      <c r="P146">
        <v>35.03846153846154</v>
      </c>
      <c r="Q146">
        <v>104.65</v>
      </c>
      <c r="R146">
        <v>-0.59508895013780716</v>
      </c>
      <c r="S146">
        <v>111</v>
      </c>
      <c r="T146">
        <v>0</v>
      </c>
      <c r="U146">
        <v>33.333333333333343</v>
      </c>
      <c r="V146">
        <v>140</v>
      </c>
      <c r="W146">
        <v>0</v>
      </c>
      <c r="X146">
        <v>28.189024390243901</v>
      </c>
      <c r="Y146">
        <v>121</v>
      </c>
      <c r="Z146">
        <v>0</v>
      </c>
      <c r="AA146">
        <v>116.45060975609761</v>
      </c>
      <c r="AB146">
        <v>274.39999999999998</v>
      </c>
      <c r="AC146">
        <v>0</v>
      </c>
      <c r="AD146">
        <v>37</v>
      </c>
      <c r="AE146">
        <v>124</v>
      </c>
      <c r="AF146">
        <v>0</v>
      </c>
      <c r="AG146">
        <v>84.736842105263165</v>
      </c>
      <c r="AH146">
        <v>221.4</v>
      </c>
      <c r="AI146">
        <v>0</v>
      </c>
      <c r="AL146">
        <v>2022</v>
      </c>
      <c r="AM146">
        <v>717</v>
      </c>
      <c r="AN146">
        <v>2739</v>
      </c>
      <c r="AO146">
        <v>78</v>
      </c>
      <c r="AP146">
        <v>523</v>
      </c>
    </row>
    <row r="147" spans="1:42" x14ac:dyDescent="0.3">
      <c r="A147" t="s">
        <v>1309</v>
      </c>
      <c r="B147" t="s">
        <v>208</v>
      </c>
      <c r="C147" t="s">
        <v>5</v>
      </c>
      <c r="D147" t="s">
        <v>281</v>
      </c>
      <c r="E147" t="s">
        <v>1021</v>
      </c>
      <c r="F147">
        <v>2022</v>
      </c>
      <c r="G147">
        <v>206.3</v>
      </c>
      <c r="H147">
        <v>2</v>
      </c>
      <c r="I147">
        <v>3</v>
      </c>
      <c r="J147">
        <v>16</v>
      </c>
      <c r="K147">
        <v>33</v>
      </c>
      <c r="L147" t="s">
        <v>979</v>
      </c>
      <c r="M147">
        <v>35.637846655791193</v>
      </c>
      <c r="N147">
        <v>303</v>
      </c>
      <c r="O147">
        <v>0</v>
      </c>
      <c r="P147">
        <v>39.200000000000003</v>
      </c>
      <c r="Q147">
        <v>156.02000000000001</v>
      </c>
      <c r="R147">
        <v>3.5621533442088089</v>
      </c>
      <c r="S147">
        <v>67</v>
      </c>
      <c r="T147">
        <v>10</v>
      </c>
      <c r="U147">
        <v>47.081967213114751</v>
      </c>
      <c r="V147">
        <v>177</v>
      </c>
      <c r="W147">
        <v>0</v>
      </c>
      <c r="X147">
        <v>28.189024390243901</v>
      </c>
      <c r="Y147">
        <v>121</v>
      </c>
      <c r="Z147">
        <v>0</v>
      </c>
      <c r="AA147">
        <v>116.45060975609761</v>
      </c>
      <c r="AB147">
        <v>274.39999999999998</v>
      </c>
      <c r="AC147">
        <v>0</v>
      </c>
      <c r="AD147">
        <v>37</v>
      </c>
      <c r="AE147">
        <v>124</v>
      </c>
      <c r="AF147">
        <v>0</v>
      </c>
      <c r="AG147">
        <v>84.736842105263165</v>
      </c>
      <c r="AH147">
        <v>221.4</v>
      </c>
      <c r="AI147">
        <v>0</v>
      </c>
      <c r="AJ147">
        <v>11</v>
      </c>
      <c r="AK147">
        <v>110</v>
      </c>
      <c r="AL147">
        <v>2020</v>
      </c>
      <c r="AM147">
        <v>714</v>
      </c>
      <c r="AN147">
        <v>2734</v>
      </c>
      <c r="AO147">
        <v>22</v>
      </c>
      <c r="AP147">
        <v>518</v>
      </c>
    </row>
    <row r="148" spans="1:42" x14ac:dyDescent="0.3">
      <c r="A148" t="s">
        <v>1522</v>
      </c>
      <c r="B148" t="s">
        <v>208</v>
      </c>
      <c r="C148" t="s">
        <v>5</v>
      </c>
      <c r="D148" t="s">
        <v>283</v>
      </c>
      <c r="E148" t="s">
        <v>1021</v>
      </c>
      <c r="F148">
        <v>2022</v>
      </c>
      <c r="G148">
        <v>220</v>
      </c>
      <c r="H148">
        <v>1</v>
      </c>
      <c r="I148">
        <v>1</v>
      </c>
      <c r="J148">
        <v>5</v>
      </c>
      <c r="K148">
        <v>11</v>
      </c>
      <c r="L148" t="s">
        <v>1327</v>
      </c>
      <c r="M148">
        <v>35.678104575163403</v>
      </c>
      <c r="N148">
        <v>303</v>
      </c>
      <c r="O148">
        <v>0</v>
      </c>
      <c r="P148">
        <v>5.5</v>
      </c>
      <c r="Q148">
        <v>110</v>
      </c>
      <c r="R148">
        <v>-30.178104575163399</v>
      </c>
      <c r="S148">
        <v>11</v>
      </c>
      <c r="T148">
        <v>0</v>
      </c>
      <c r="U148">
        <v>47.081967213114751</v>
      </c>
      <c r="V148">
        <v>177</v>
      </c>
      <c r="W148">
        <v>0</v>
      </c>
      <c r="X148">
        <v>28.189024390243901</v>
      </c>
      <c r="Y148">
        <v>121</v>
      </c>
      <c r="Z148">
        <v>0</v>
      </c>
      <c r="AA148">
        <v>116.45060975609761</v>
      </c>
      <c r="AB148">
        <v>274.39999999999998</v>
      </c>
      <c r="AC148">
        <v>0</v>
      </c>
      <c r="AD148">
        <v>37</v>
      </c>
      <c r="AE148">
        <v>124</v>
      </c>
      <c r="AF148">
        <v>0</v>
      </c>
      <c r="AG148">
        <v>84.736842105263165</v>
      </c>
      <c r="AH148">
        <v>221.4</v>
      </c>
      <c r="AI148">
        <v>0</v>
      </c>
      <c r="AJ148">
        <v>64</v>
      </c>
      <c r="AK148">
        <v>72.75</v>
      </c>
      <c r="AL148">
        <v>2019</v>
      </c>
      <c r="AM148">
        <v>713</v>
      </c>
      <c r="AN148">
        <v>2732</v>
      </c>
      <c r="AO148">
        <v>0</v>
      </c>
      <c r="AP148">
        <v>516</v>
      </c>
    </row>
    <row r="149" spans="1:42" x14ac:dyDescent="0.3">
      <c r="A149" t="s">
        <v>1733</v>
      </c>
      <c r="B149" t="s">
        <v>208</v>
      </c>
      <c r="C149" t="s">
        <v>5</v>
      </c>
      <c r="D149" t="s">
        <v>283</v>
      </c>
      <c r="E149" t="s">
        <v>1021</v>
      </c>
      <c r="F149">
        <v>2022</v>
      </c>
      <c r="G149">
        <v>0</v>
      </c>
      <c r="H149">
        <v>0</v>
      </c>
      <c r="I149">
        <v>0</v>
      </c>
      <c r="J149">
        <v>1</v>
      </c>
      <c r="K149">
        <v>0</v>
      </c>
      <c r="L149" t="s">
        <v>1327</v>
      </c>
      <c r="M149">
        <v>35.736497545008177</v>
      </c>
      <c r="N149">
        <v>303</v>
      </c>
      <c r="O149">
        <v>0</v>
      </c>
      <c r="P149">
        <v>5.5</v>
      </c>
      <c r="Q149">
        <v>110</v>
      </c>
      <c r="R149">
        <v>-30.236497545008181</v>
      </c>
      <c r="S149">
        <v>11</v>
      </c>
      <c r="T149">
        <v>0</v>
      </c>
      <c r="U149">
        <v>47.081967213114751</v>
      </c>
      <c r="V149">
        <v>177</v>
      </c>
      <c r="W149">
        <v>0</v>
      </c>
      <c r="X149">
        <v>28.189024390243901</v>
      </c>
      <c r="Y149">
        <v>121</v>
      </c>
      <c r="Z149">
        <v>0</v>
      </c>
      <c r="AA149">
        <v>116.45060975609761</v>
      </c>
      <c r="AB149">
        <v>274.39999999999998</v>
      </c>
      <c r="AC149">
        <v>0</v>
      </c>
      <c r="AD149">
        <v>37</v>
      </c>
      <c r="AE149">
        <v>124</v>
      </c>
      <c r="AF149">
        <v>0</v>
      </c>
      <c r="AG149">
        <v>84.736842105263165</v>
      </c>
      <c r="AH149">
        <v>221.4</v>
      </c>
      <c r="AI149">
        <v>0</v>
      </c>
      <c r="AJ149">
        <v>64</v>
      </c>
      <c r="AK149">
        <v>145.5</v>
      </c>
      <c r="AL149">
        <v>2019</v>
      </c>
      <c r="AM149">
        <v>713</v>
      </c>
      <c r="AN149">
        <v>2732</v>
      </c>
      <c r="AP149">
        <v>516</v>
      </c>
    </row>
    <row r="150" spans="1:42" x14ac:dyDescent="0.3">
      <c r="A150" t="s">
        <v>1144</v>
      </c>
      <c r="B150" t="s">
        <v>208</v>
      </c>
      <c r="C150" t="s">
        <v>5</v>
      </c>
      <c r="D150" t="s">
        <v>284</v>
      </c>
      <c r="E150" t="s">
        <v>1012</v>
      </c>
      <c r="F150">
        <v>2022</v>
      </c>
      <c r="G150">
        <v>145.5</v>
      </c>
      <c r="H150">
        <v>7</v>
      </c>
      <c r="I150">
        <v>2</v>
      </c>
      <c r="J150">
        <v>44</v>
      </c>
      <c r="K150">
        <v>64</v>
      </c>
      <c r="L150" t="s">
        <v>979</v>
      </c>
      <c r="M150">
        <v>35.690163934426231</v>
      </c>
      <c r="N150">
        <v>303</v>
      </c>
      <c r="O150">
        <v>0</v>
      </c>
      <c r="P150">
        <v>64</v>
      </c>
      <c r="Q150">
        <v>145.5</v>
      </c>
      <c r="R150">
        <v>28.309836065573769</v>
      </c>
      <c r="S150">
        <v>64</v>
      </c>
      <c r="T150">
        <v>64</v>
      </c>
      <c r="U150">
        <v>47.081967213114751</v>
      </c>
      <c r="V150">
        <v>177</v>
      </c>
      <c r="W150">
        <v>0</v>
      </c>
      <c r="X150">
        <v>28.189024390243901</v>
      </c>
      <c r="Y150">
        <v>121</v>
      </c>
      <c r="Z150">
        <v>0</v>
      </c>
      <c r="AA150">
        <v>116.45060975609761</v>
      </c>
      <c r="AB150">
        <v>274.39999999999998</v>
      </c>
      <c r="AC150">
        <v>0</v>
      </c>
      <c r="AD150">
        <v>37.228571428571428</v>
      </c>
      <c r="AE150">
        <v>137</v>
      </c>
      <c r="AF150">
        <v>0</v>
      </c>
      <c r="AG150">
        <v>73.452857142857127</v>
      </c>
      <c r="AH150">
        <v>178.6</v>
      </c>
      <c r="AI150">
        <v>0</v>
      </c>
      <c r="AL150">
        <v>2012</v>
      </c>
      <c r="AM150">
        <v>711</v>
      </c>
      <c r="AN150">
        <v>2723</v>
      </c>
      <c r="AP150">
        <v>507</v>
      </c>
    </row>
    <row r="151" spans="1:42" x14ac:dyDescent="0.3">
      <c r="A151" t="s">
        <v>1449</v>
      </c>
      <c r="B151" t="s">
        <v>76</v>
      </c>
      <c r="C151" t="s">
        <v>16</v>
      </c>
      <c r="D151" t="s">
        <v>287</v>
      </c>
      <c r="E151" t="s">
        <v>1012</v>
      </c>
      <c r="F151">
        <v>2022</v>
      </c>
      <c r="G151">
        <v>100</v>
      </c>
      <c r="H151">
        <v>4</v>
      </c>
      <c r="I151">
        <v>0</v>
      </c>
      <c r="J151">
        <v>17</v>
      </c>
      <c r="K151">
        <v>17</v>
      </c>
      <c r="L151" t="s">
        <v>1327</v>
      </c>
      <c r="M151">
        <v>35.720853858784892</v>
      </c>
      <c r="N151">
        <v>303</v>
      </c>
      <c r="O151">
        <v>0</v>
      </c>
      <c r="P151">
        <v>34.833333333333343</v>
      </c>
      <c r="Q151">
        <v>77.86666666666666</v>
      </c>
      <c r="R151">
        <v>-0.88752052545155635</v>
      </c>
      <c r="S151">
        <v>140</v>
      </c>
      <c r="T151">
        <v>1</v>
      </c>
      <c r="U151">
        <v>48.215686274509807</v>
      </c>
      <c r="V151">
        <v>187</v>
      </c>
      <c r="W151">
        <v>0</v>
      </c>
      <c r="X151">
        <v>42.251824817518248</v>
      </c>
      <c r="Y151">
        <v>264</v>
      </c>
      <c r="Z151">
        <v>0</v>
      </c>
      <c r="AA151">
        <v>77.646715328467153</v>
      </c>
      <c r="AB151">
        <v>200</v>
      </c>
      <c r="AC151">
        <v>0</v>
      </c>
      <c r="AD151">
        <v>37.228571428571428</v>
      </c>
      <c r="AE151">
        <v>137</v>
      </c>
      <c r="AF151">
        <v>0</v>
      </c>
      <c r="AG151">
        <v>73.452857142857127</v>
      </c>
      <c r="AH151">
        <v>178.6</v>
      </c>
      <c r="AI151">
        <v>0</v>
      </c>
      <c r="AJ151">
        <v>76</v>
      </c>
      <c r="AK151">
        <v>65.5</v>
      </c>
      <c r="AL151">
        <v>2008</v>
      </c>
      <c r="AM151">
        <v>711</v>
      </c>
      <c r="AN151">
        <v>2719</v>
      </c>
      <c r="AO151">
        <v>23</v>
      </c>
      <c r="AP151">
        <v>1101</v>
      </c>
    </row>
    <row r="152" spans="1:42" x14ac:dyDescent="0.3">
      <c r="A152" t="s">
        <v>1734</v>
      </c>
      <c r="B152" t="s">
        <v>76</v>
      </c>
      <c r="C152" t="s">
        <v>16</v>
      </c>
      <c r="D152" t="s">
        <v>218</v>
      </c>
      <c r="E152" t="s">
        <v>1012</v>
      </c>
      <c r="F152">
        <v>2022</v>
      </c>
      <c r="G152">
        <v>0</v>
      </c>
      <c r="H152">
        <v>0</v>
      </c>
      <c r="I152">
        <v>0</v>
      </c>
      <c r="J152">
        <v>10</v>
      </c>
      <c r="K152">
        <v>0</v>
      </c>
      <c r="L152" t="s">
        <v>1327</v>
      </c>
      <c r="M152">
        <v>35.779605263157897</v>
      </c>
      <c r="N152">
        <v>303</v>
      </c>
      <c r="O152">
        <v>0</v>
      </c>
      <c r="P152">
        <v>46.46153846153846</v>
      </c>
      <c r="Q152">
        <v>74.492307692307705</v>
      </c>
      <c r="R152">
        <v>10.681933198380561</v>
      </c>
      <c r="S152">
        <v>138</v>
      </c>
      <c r="T152">
        <v>0</v>
      </c>
      <c r="U152">
        <v>48.215686274509807</v>
      </c>
      <c r="V152">
        <v>187</v>
      </c>
      <c r="W152">
        <v>0</v>
      </c>
      <c r="X152">
        <v>42.251824817518248</v>
      </c>
      <c r="Y152">
        <v>264</v>
      </c>
      <c r="Z152">
        <v>0</v>
      </c>
      <c r="AA152">
        <v>77.646715328467153</v>
      </c>
      <c r="AB152">
        <v>200</v>
      </c>
      <c r="AC152">
        <v>0</v>
      </c>
      <c r="AD152">
        <v>37.228571428571428</v>
      </c>
      <c r="AE152">
        <v>137</v>
      </c>
      <c r="AF152">
        <v>0</v>
      </c>
      <c r="AG152">
        <v>73.452857142857127</v>
      </c>
      <c r="AH152">
        <v>178.6</v>
      </c>
      <c r="AI152">
        <v>0</v>
      </c>
      <c r="AJ152">
        <v>118</v>
      </c>
      <c r="AK152">
        <v>125.9</v>
      </c>
      <c r="AL152">
        <v>2008</v>
      </c>
      <c r="AM152">
        <v>711</v>
      </c>
      <c r="AN152">
        <v>2719</v>
      </c>
      <c r="AO152">
        <v>68</v>
      </c>
      <c r="AP152">
        <v>1101</v>
      </c>
    </row>
    <row r="153" spans="1:42" x14ac:dyDescent="0.3">
      <c r="A153" t="s">
        <v>1102</v>
      </c>
      <c r="B153" t="s">
        <v>76</v>
      </c>
      <c r="C153" t="s">
        <v>16</v>
      </c>
      <c r="D153" t="s">
        <v>218</v>
      </c>
      <c r="E153" t="s">
        <v>1012</v>
      </c>
      <c r="F153">
        <v>2022</v>
      </c>
      <c r="G153">
        <v>131</v>
      </c>
      <c r="H153">
        <v>6</v>
      </c>
      <c r="I153">
        <v>5</v>
      </c>
      <c r="J153">
        <v>58</v>
      </c>
      <c r="K153">
        <v>76</v>
      </c>
      <c r="L153" t="s">
        <v>979</v>
      </c>
      <c r="M153">
        <v>35.713344316309723</v>
      </c>
      <c r="N153">
        <v>303</v>
      </c>
      <c r="O153">
        <v>0</v>
      </c>
      <c r="P153">
        <v>46.46153846153846</v>
      </c>
      <c r="Q153">
        <v>74.492307692307705</v>
      </c>
      <c r="R153">
        <v>10.748194145228741</v>
      </c>
      <c r="S153">
        <v>138</v>
      </c>
      <c r="T153">
        <v>0</v>
      </c>
      <c r="U153">
        <v>48.215686274509807</v>
      </c>
      <c r="V153">
        <v>187</v>
      </c>
      <c r="W153">
        <v>0</v>
      </c>
      <c r="X153">
        <v>42.251824817518248</v>
      </c>
      <c r="Y153">
        <v>264</v>
      </c>
      <c r="Z153">
        <v>0</v>
      </c>
      <c r="AA153">
        <v>77.646715328467153</v>
      </c>
      <c r="AB153">
        <v>200</v>
      </c>
      <c r="AC153">
        <v>0</v>
      </c>
      <c r="AD153">
        <v>37.228571428571428</v>
      </c>
      <c r="AE153">
        <v>137</v>
      </c>
      <c r="AF153">
        <v>0</v>
      </c>
      <c r="AG153">
        <v>73.452857142857127</v>
      </c>
      <c r="AH153">
        <v>178.6</v>
      </c>
      <c r="AI153">
        <v>0</v>
      </c>
      <c r="AJ153">
        <v>66</v>
      </c>
      <c r="AK153">
        <v>139.36666666666659</v>
      </c>
      <c r="AL153">
        <v>2002</v>
      </c>
      <c r="AM153">
        <v>706</v>
      </c>
      <c r="AN153">
        <v>2708</v>
      </c>
      <c r="AO153">
        <v>57</v>
      </c>
      <c r="AP153">
        <v>1090</v>
      </c>
    </row>
    <row r="154" spans="1:42" x14ac:dyDescent="0.3">
      <c r="A154" t="s">
        <v>1523</v>
      </c>
      <c r="B154" t="s">
        <v>76</v>
      </c>
      <c r="C154" t="s">
        <v>5</v>
      </c>
      <c r="D154" t="s">
        <v>290</v>
      </c>
      <c r="E154" t="s">
        <v>1012</v>
      </c>
      <c r="F154">
        <v>2022</v>
      </c>
      <c r="G154">
        <v>91.7</v>
      </c>
      <c r="H154">
        <v>2</v>
      </c>
      <c r="I154">
        <v>0</v>
      </c>
      <c r="J154">
        <v>12</v>
      </c>
      <c r="K154">
        <v>11</v>
      </c>
      <c r="L154" t="s">
        <v>1327</v>
      </c>
      <c r="M154">
        <v>35.754125412541264</v>
      </c>
      <c r="N154">
        <v>303</v>
      </c>
      <c r="O154">
        <v>0</v>
      </c>
      <c r="P154">
        <v>52.166666666666657</v>
      </c>
      <c r="Q154">
        <v>103.6666666666667</v>
      </c>
      <c r="R154">
        <v>16.412541254125411</v>
      </c>
      <c r="S154">
        <v>137</v>
      </c>
      <c r="T154">
        <v>11</v>
      </c>
      <c r="U154">
        <v>48.215686274509807</v>
      </c>
      <c r="V154">
        <v>187</v>
      </c>
      <c r="W154">
        <v>0</v>
      </c>
      <c r="X154">
        <v>28.189024390243901</v>
      </c>
      <c r="Y154">
        <v>121</v>
      </c>
      <c r="Z154">
        <v>0</v>
      </c>
      <c r="AA154">
        <v>116.45060975609761</v>
      </c>
      <c r="AB154">
        <v>274.39999999999998</v>
      </c>
      <c r="AC154">
        <v>0</v>
      </c>
      <c r="AD154">
        <v>37.228571428571428</v>
      </c>
      <c r="AE154">
        <v>137</v>
      </c>
      <c r="AF154">
        <v>0</v>
      </c>
      <c r="AG154">
        <v>73.452857142857127</v>
      </c>
      <c r="AH154">
        <v>178.6</v>
      </c>
      <c r="AI154">
        <v>0</v>
      </c>
      <c r="AJ154">
        <v>55</v>
      </c>
      <c r="AK154">
        <v>163.19999999999999</v>
      </c>
      <c r="AL154">
        <v>2000</v>
      </c>
      <c r="AM154">
        <v>706</v>
      </c>
      <c r="AN154">
        <v>2706</v>
      </c>
      <c r="AO154">
        <v>38</v>
      </c>
      <c r="AP154">
        <v>505</v>
      </c>
    </row>
    <row r="155" spans="1:42" x14ac:dyDescent="0.3">
      <c r="A155" t="s">
        <v>1322</v>
      </c>
      <c r="B155" t="s">
        <v>76</v>
      </c>
      <c r="C155" t="s">
        <v>5</v>
      </c>
      <c r="D155" t="s">
        <v>292</v>
      </c>
      <c r="E155" t="s">
        <v>1012</v>
      </c>
      <c r="F155">
        <v>2022</v>
      </c>
      <c r="G155">
        <v>155</v>
      </c>
      <c r="H155">
        <v>3</v>
      </c>
      <c r="I155">
        <v>2</v>
      </c>
      <c r="J155">
        <v>20</v>
      </c>
      <c r="K155">
        <v>31</v>
      </c>
      <c r="L155" t="s">
        <v>979</v>
      </c>
      <c r="M155">
        <v>35.76198347107438</v>
      </c>
      <c r="N155">
        <v>303</v>
      </c>
      <c r="O155">
        <v>0</v>
      </c>
      <c r="P155">
        <v>68.285714285714292</v>
      </c>
      <c r="Q155">
        <v>93.428571428571431</v>
      </c>
      <c r="R155">
        <v>32.523730814639912</v>
      </c>
      <c r="S155">
        <v>123</v>
      </c>
      <c r="T155">
        <v>9</v>
      </c>
      <c r="U155">
        <v>48.215686274509807</v>
      </c>
      <c r="V155">
        <v>187</v>
      </c>
      <c r="W155">
        <v>0</v>
      </c>
      <c r="X155">
        <v>28.189024390243901</v>
      </c>
      <c r="Y155">
        <v>121</v>
      </c>
      <c r="Z155">
        <v>0</v>
      </c>
      <c r="AA155">
        <v>116.45060975609761</v>
      </c>
      <c r="AB155">
        <v>274.39999999999998</v>
      </c>
      <c r="AC155">
        <v>0</v>
      </c>
      <c r="AD155">
        <v>37.228571428571428</v>
      </c>
      <c r="AE155">
        <v>137</v>
      </c>
      <c r="AF155">
        <v>0</v>
      </c>
      <c r="AG155">
        <v>73.452857142857127</v>
      </c>
      <c r="AH155">
        <v>178.6</v>
      </c>
      <c r="AI155">
        <v>0</v>
      </c>
      <c r="AJ155">
        <v>24</v>
      </c>
      <c r="AK155">
        <v>171.4</v>
      </c>
      <c r="AL155">
        <v>1997</v>
      </c>
      <c r="AM155">
        <v>704</v>
      </c>
      <c r="AN155">
        <v>2701</v>
      </c>
      <c r="AO155">
        <v>55</v>
      </c>
      <c r="AP155">
        <v>500</v>
      </c>
    </row>
    <row r="156" spans="1:42" x14ac:dyDescent="0.3">
      <c r="A156" t="s">
        <v>1378</v>
      </c>
      <c r="B156" t="s">
        <v>76</v>
      </c>
      <c r="C156" t="s">
        <v>5</v>
      </c>
      <c r="D156" t="s">
        <v>294</v>
      </c>
      <c r="E156" t="s">
        <v>1012</v>
      </c>
      <c r="F156">
        <v>2022</v>
      </c>
      <c r="G156">
        <v>171.4</v>
      </c>
      <c r="H156">
        <v>5</v>
      </c>
      <c r="I156">
        <v>0</v>
      </c>
      <c r="J156">
        <v>14</v>
      </c>
      <c r="K156">
        <v>24</v>
      </c>
      <c r="L156" t="s">
        <v>1327</v>
      </c>
      <c r="M156">
        <v>35.781456953642383</v>
      </c>
      <c r="N156">
        <v>303</v>
      </c>
      <c r="O156">
        <v>0</v>
      </c>
      <c r="P156">
        <v>49</v>
      </c>
      <c r="Q156">
        <v>68.650000000000006</v>
      </c>
      <c r="R156">
        <v>13.21854304635762</v>
      </c>
      <c r="S156">
        <v>122</v>
      </c>
      <c r="T156">
        <v>1</v>
      </c>
      <c r="U156">
        <v>48.215686274509807</v>
      </c>
      <c r="V156">
        <v>187</v>
      </c>
      <c r="W156">
        <v>0</v>
      </c>
      <c r="X156">
        <v>28.189024390243901</v>
      </c>
      <c r="Y156">
        <v>121</v>
      </c>
      <c r="Z156">
        <v>0</v>
      </c>
      <c r="AA156">
        <v>116.45060975609761</v>
      </c>
      <c r="AB156">
        <v>274.39999999999998</v>
      </c>
      <c r="AC156">
        <v>0</v>
      </c>
      <c r="AD156">
        <v>37.228571428571428</v>
      </c>
      <c r="AE156">
        <v>137</v>
      </c>
      <c r="AF156">
        <v>0</v>
      </c>
      <c r="AG156">
        <v>73.452857142857127</v>
      </c>
      <c r="AH156">
        <v>178.6</v>
      </c>
      <c r="AI156">
        <v>0</v>
      </c>
      <c r="AL156">
        <v>1992</v>
      </c>
      <c r="AM156">
        <v>704</v>
      </c>
      <c r="AN156">
        <v>2696</v>
      </c>
      <c r="AO156">
        <v>26</v>
      </c>
      <c r="AP156">
        <v>495</v>
      </c>
    </row>
    <row r="157" spans="1:42" x14ac:dyDescent="0.3">
      <c r="A157" t="s">
        <v>1685</v>
      </c>
      <c r="B157" t="s">
        <v>8</v>
      </c>
      <c r="C157" t="s">
        <v>1043</v>
      </c>
      <c r="D157" t="s">
        <v>12</v>
      </c>
      <c r="E157" t="s">
        <v>1036</v>
      </c>
      <c r="F157">
        <v>2022</v>
      </c>
      <c r="G157">
        <v>15.4</v>
      </c>
      <c r="H157">
        <v>0</v>
      </c>
      <c r="I157">
        <v>0</v>
      </c>
      <c r="J157">
        <v>13</v>
      </c>
      <c r="K157">
        <v>2</v>
      </c>
      <c r="L157" t="s">
        <v>1327</v>
      </c>
      <c r="M157">
        <v>35.837479270315093</v>
      </c>
      <c r="N157">
        <v>303</v>
      </c>
      <c r="O157">
        <v>0</v>
      </c>
      <c r="P157">
        <v>31.203883495145629</v>
      </c>
      <c r="Q157">
        <v>120.5689320388349</v>
      </c>
      <c r="R157">
        <v>-4.6335957751694608</v>
      </c>
      <c r="S157">
        <v>162</v>
      </c>
      <c r="T157">
        <v>0</v>
      </c>
      <c r="U157">
        <v>28.567567567567568</v>
      </c>
      <c r="V157">
        <v>74</v>
      </c>
      <c r="W157">
        <v>0</v>
      </c>
      <c r="X157">
        <v>26.556862745098041</v>
      </c>
      <c r="Y157">
        <v>109</v>
      </c>
      <c r="Z157">
        <v>0</v>
      </c>
      <c r="AA157">
        <v>114.6301960784314</v>
      </c>
      <c r="AB157">
        <v>350</v>
      </c>
      <c r="AC157">
        <v>0</v>
      </c>
      <c r="AD157">
        <v>26.732758620689651</v>
      </c>
      <c r="AE157">
        <v>114</v>
      </c>
      <c r="AF157">
        <v>0</v>
      </c>
      <c r="AG157">
        <v>115.31896551724139</v>
      </c>
      <c r="AH157">
        <v>350</v>
      </c>
      <c r="AI157">
        <v>0</v>
      </c>
      <c r="AJ157">
        <v>48</v>
      </c>
      <c r="AK157">
        <v>133.30000000000001</v>
      </c>
      <c r="AL157">
        <v>1992</v>
      </c>
      <c r="AM157">
        <v>704</v>
      </c>
      <c r="AN157">
        <v>2696</v>
      </c>
      <c r="AO157">
        <v>326</v>
      </c>
      <c r="AP157">
        <v>712</v>
      </c>
    </row>
    <row r="158" spans="1:42" x14ac:dyDescent="0.3">
      <c r="A158" t="s">
        <v>1233</v>
      </c>
      <c r="B158" t="s">
        <v>53</v>
      </c>
      <c r="C158" t="s">
        <v>1043</v>
      </c>
      <c r="D158" t="s">
        <v>12</v>
      </c>
      <c r="E158" t="s">
        <v>1036</v>
      </c>
      <c r="F158">
        <v>2022</v>
      </c>
      <c r="G158">
        <v>133.30000000000001</v>
      </c>
      <c r="H158">
        <v>2</v>
      </c>
      <c r="I158">
        <v>4</v>
      </c>
      <c r="J158">
        <v>36</v>
      </c>
      <c r="K158">
        <v>48</v>
      </c>
      <c r="L158" t="s">
        <v>979</v>
      </c>
      <c r="M158">
        <v>35.817275747508297</v>
      </c>
      <c r="N158">
        <v>303</v>
      </c>
      <c r="O158">
        <v>0</v>
      </c>
      <c r="P158">
        <v>31.203883495145629</v>
      </c>
      <c r="Q158">
        <v>120.5689320388349</v>
      </c>
      <c r="R158">
        <v>-4.6133922523626723</v>
      </c>
      <c r="S158">
        <v>162</v>
      </c>
      <c r="T158">
        <v>0</v>
      </c>
      <c r="U158">
        <v>19.375</v>
      </c>
      <c r="V158">
        <v>70</v>
      </c>
      <c r="W158">
        <v>1</v>
      </c>
      <c r="X158">
        <v>26.556862745098041</v>
      </c>
      <c r="Y158">
        <v>109</v>
      </c>
      <c r="Z158">
        <v>0</v>
      </c>
      <c r="AA158">
        <v>114.6301960784314</v>
      </c>
      <c r="AB158">
        <v>350</v>
      </c>
      <c r="AC158">
        <v>0</v>
      </c>
      <c r="AD158">
        <v>26.732758620689651</v>
      </c>
      <c r="AE158">
        <v>114</v>
      </c>
      <c r="AF158">
        <v>0</v>
      </c>
      <c r="AG158">
        <v>115.31896551724139</v>
      </c>
      <c r="AH158">
        <v>350</v>
      </c>
      <c r="AI158">
        <v>0</v>
      </c>
      <c r="AJ158">
        <v>18</v>
      </c>
      <c r="AK158">
        <v>128.6</v>
      </c>
      <c r="AL158">
        <v>1990</v>
      </c>
      <c r="AM158">
        <v>700</v>
      </c>
      <c r="AN158">
        <v>2690</v>
      </c>
      <c r="AO158">
        <v>320</v>
      </c>
      <c r="AP158">
        <v>706</v>
      </c>
    </row>
    <row r="159" spans="1:42" x14ac:dyDescent="0.3">
      <c r="A159" t="s">
        <v>1431</v>
      </c>
      <c r="B159" t="s">
        <v>56</v>
      </c>
      <c r="C159" t="s">
        <v>1043</v>
      </c>
      <c r="D159" t="s">
        <v>12</v>
      </c>
      <c r="E159" t="s">
        <v>1036</v>
      </c>
      <c r="F159">
        <v>2022</v>
      </c>
      <c r="G159">
        <v>128.6</v>
      </c>
      <c r="H159">
        <v>4</v>
      </c>
      <c r="I159">
        <v>0</v>
      </c>
      <c r="J159">
        <v>14</v>
      </c>
      <c r="K159">
        <v>18</v>
      </c>
      <c r="L159" t="s">
        <v>1327</v>
      </c>
      <c r="M159">
        <v>35.846921797004988</v>
      </c>
      <c r="N159">
        <v>303</v>
      </c>
      <c r="O159">
        <v>0</v>
      </c>
      <c r="P159">
        <v>31.203883495145629</v>
      </c>
      <c r="Q159">
        <v>120.5689320388349</v>
      </c>
      <c r="R159">
        <v>-4.643038301859356</v>
      </c>
      <c r="S159">
        <v>162</v>
      </c>
      <c r="T159">
        <v>0</v>
      </c>
      <c r="U159">
        <v>25.6</v>
      </c>
      <c r="V159">
        <v>105</v>
      </c>
      <c r="W159">
        <v>0</v>
      </c>
      <c r="X159">
        <v>26.556862745098041</v>
      </c>
      <c r="Y159">
        <v>109</v>
      </c>
      <c r="Z159">
        <v>0</v>
      </c>
      <c r="AA159">
        <v>114.6301960784314</v>
      </c>
      <c r="AB159">
        <v>350</v>
      </c>
      <c r="AC159">
        <v>0</v>
      </c>
      <c r="AD159">
        <v>26.732758620689651</v>
      </c>
      <c r="AE159">
        <v>114</v>
      </c>
      <c r="AF159">
        <v>0</v>
      </c>
      <c r="AG159">
        <v>115.31896551724139</v>
      </c>
      <c r="AH159">
        <v>350</v>
      </c>
      <c r="AI159">
        <v>0</v>
      </c>
      <c r="AJ159">
        <v>2</v>
      </c>
      <c r="AK159">
        <v>33.299999999999997</v>
      </c>
      <c r="AL159">
        <v>1986</v>
      </c>
      <c r="AM159">
        <v>700</v>
      </c>
      <c r="AN159">
        <v>2686</v>
      </c>
      <c r="AO159">
        <v>316</v>
      </c>
      <c r="AP159">
        <v>702</v>
      </c>
    </row>
    <row r="160" spans="1:42" x14ac:dyDescent="0.3">
      <c r="A160" t="s">
        <v>1686</v>
      </c>
      <c r="B160" t="s">
        <v>11</v>
      </c>
      <c r="C160" t="s">
        <v>1043</v>
      </c>
      <c r="D160" t="s">
        <v>300</v>
      </c>
      <c r="E160" t="s">
        <v>1036</v>
      </c>
      <c r="F160">
        <v>2022</v>
      </c>
      <c r="G160">
        <v>33.299999999999997</v>
      </c>
      <c r="H160">
        <v>0</v>
      </c>
      <c r="I160">
        <v>0</v>
      </c>
      <c r="J160">
        <v>6</v>
      </c>
      <c r="K160">
        <v>2</v>
      </c>
      <c r="L160" t="s">
        <v>1327</v>
      </c>
      <c r="M160">
        <v>35.903333333333343</v>
      </c>
      <c r="N160">
        <v>303</v>
      </c>
      <c r="O160">
        <v>0</v>
      </c>
      <c r="P160">
        <v>9.5555555555555554</v>
      </c>
      <c r="Q160">
        <v>71.36666666666666</v>
      </c>
      <c r="R160">
        <v>-26.347777777777779</v>
      </c>
      <c r="S160">
        <v>45</v>
      </c>
      <c r="T160">
        <v>0</v>
      </c>
      <c r="U160">
        <v>31.852941176470591</v>
      </c>
      <c r="V160">
        <v>109</v>
      </c>
      <c r="W160">
        <v>0</v>
      </c>
      <c r="X160">
        <v>26.556862745098041</v>
      </c>
      <c r="Y160">
        <v>109</v>
      </c>
      <c r="Z160">
        <v>0</v>
      </c>
      <c r="AA160">
        <v>114.6301960784314</v>
      </c>
      <c r="AB160">
        <v>350</v>
      </c>
      <c r="AC160">
        <v>0</v>
      </c>
      <c r="AD160">
        <v>26.732758620689651</v>
      </c>
      <c r="AE160">
        <v>114</v>
      </c>
      <c r="AF160">
        <v>0</v>
      </c>
      <c r="AG160">
        <v>115.31896551724139</v>
      </c>
      <c r="AH160">
        <v>350</v>
      </c>
      <c r="AI160">
        <v>0</v>
      </c>
      <c r="AJ160">
        <v>43</v>
      </c>
      <c r="AK160">
        <v>153.6</v>
      </c>
      <c r="AL160">
        <v>1986</v>
      </c>
      <c r="AM160">
        <v>700</v>
      </c>
      <c r="AN160">
        <v>2686</v>
      </c>
      <c r="AO160">
        <v>8</v>
      </c>
      <c r="AP160">
        <v>702</v>
      </c>
    </row>
    <row r="161" spans="1:42" x14ac:dyDescent="0.3">
      <c r="A161" t="s">
        <v>1255</v>
      </c>
      <c r="B161" t="s">
        <v>43</v>
      </c>
      <c r="C161" t="s">
        <v>1043</v>
      </c>
      <c r="D161" t="s">
        <v>12</v>
      </c>
      <c r="E161" t="s">
        <v>1036</v>
      </c>
      <c r="F161">
        <v>2022</v>
      </c>
      <c r="G161">
        <v>153.6</v>
      </c>
      <c r="H161">
        <v>5</v>
      </c>
      <c r="I161">
        <v>2</v>
      </c>
      <c r="J161">
        <v>28</v>
      </c>
      <c r="K161">
        <v>43</v>
      </c>
      <c r="L161" t="s">
        <v>979</v>
      </c>
      <c r="M161">
        <v>35.891485809682813</v>
      </c>
      <c r="N161">
        <v>303</v>
      </c>
      <c r="O161">
        <v>0</v>
      </c>
      <c r="P161">
        <v>31.203883495145629</v>
      </c>
      <c r="Q161">
        <v>120.5689320388349</v>
      </c>
      <c r="R161">
        <v>-4.6876023145371732</v>
      </c>
      <c r="S161">
        <v>162</v>
      </c>
      <c r="T161">
        <v>0</v>
      </c>
      <c r="U161">
        <v>20</v>
      </c>
      <c r="V161">
        <v>81</v>
      </c>
      <c r="W161">
        <v>2</v>
      </c>
      <c r="X161">
        <v>26.556862745098041</v>
      </c>
      <c r="Y161">
        <v>109</v>
      </c>
      <c r="Z161">
        <v>0</v>
      </c>
      <c r="AA161">
        <v>114.6301960784314</v>
      </c>
      <c r="AB161">
        <v>350</v>
      </c>
      <c r="AC161">
        <v>0</v>
      </c>
      <c r="AD161">
        <v>26.732758620689651</v>
      </c>
      <c r="AE161">
        <v>114</v>
      </c>
      <c r="AF161">
        <v>0</v>
      </c>
      <c r="AG161">
        <v>115.31896551724139</v>
      </c>
      <c r="AH161">
        <v>350</v>
      </c>
      <c r="AI161">
        <v>0</v>
      </c>
      <c r="AL161">
        <v>1981</v>
      </c>
      <c r="AM161">
        <v>698</v>
      </c>
      <c r="AN161">
        <v>2679</v>
      </c>
      <c r="AO161">
        <v>309</v>
      </c>
      <c r="AP161">
        <v>695</v>
      </c>
    </row>
    <row r="162" spans="1:42" x14ac:dyDescent="0.3">
      <c r="A162" t="s">
        <v>1687</v>
      </c>
      <c r="B162" t="s">
        <v>4</v>
      </c>
      <c r="C162" t="s">
        <v>1043</v>
      </c>
      <c r="D162" t="s">
        <v>300</v>
      </c>
      <c r="E162" t="s">
        <v>1047</v>
      </c>
      <c r="F162">
        <v>2022</v>
      </c>
      <c r="G162">
        <v>40</v>
      </c>
      <c r="H162">
        <v>0</v>
      </c>
      <c r="I162">
        <v>0</v>
      </c>
      <c r="J162">
        <v>5</v>
      </c>
      <c r="K162">
        <v>2</v>
      </c>
      <c r="L162" t="s">
        <v>1327</v>
      </c>
      <c r="M162">
        <v>35.948160535117047</v>
      </c>
      <c r="N162">
        <v>303</v>
      </c>
      <c r="O162">
        <v>0</v>
      </c>
      <c r="P162">
        <v>9.5555555555555554</v>
      </c>
      <c r="Q162">
        <v>71.36666666666666</v>
      </c>
      <c r="R162">
        <v>-26.392604979561501</v>
      </c>
      <c r="S162">
        <v>45</v>
      </c>
      <c r="T162">
        <v>0</v>
      </c>
      <c r="U162">
        <v>20.68965517241379</v>
      </c>
      <c r="V162">
        <v>73</v>
      </c>
      <c r="W162">
        <v>0</v>
      </c>
      <c r="X162">
        <v>26.556862745098041</v>
      </c>
      <c r="Y162">
        <v>109</v>
      </c>
      <c r="Z162">
        <v>0</v>
      </c>
      <c r="AA162">
        <v>114.6301960784314</v>
      </c>
      <c r="AB162">
        <v>350</v>
      </c>
      <c r="AC162">
        <v>0</v>
      </c>
      <c r="AD162">
        <v>27.9758064516129</v>
      </c>
      <c r="AE162">
        <v>105</v>
      </c>
      <c r="AF162">
        <v>0</v>
      </c>
      <c r="AG162">
        <v>110.46935483870971</v>
      </c>
      <c r="AH162">
        <v>280</v>
      </c>
      <c r="AI162">
        <v>0</v>
      </c>
      <c r="AL162">
        <v>1981</v>
      </c>
      <c r="AM162">
        <v>698</v>
      </c>
      <c r="AN162">
        <v>2679</v>
      </c>
      <c r="AO162">
        <v>8</v>
      </c>
      <c r="AP162">
        <v>695</v>
      </c>
    </row>
    <row r="163" spans="1:42" x14ac:dyDescent="0.3">
      <c r="A163" t="s">
        <v>1276</v>
      </c>
      <c r="B163" t="s">
        <v>51</v>
      </c>
      <c r="C163" t="s">
        <v>1043</v>
      </c>
      <c r="D163" t="s">
        <v>12</v>
      </c>
      <c r="E163" t="s">
        <v>1047</v>
      </c>
      <c r="F163">
        <v>2022</v>
      </c>
      <c r="G163">
        <v>125.8</v>
      </c>
      <c r="H163">
        <v>5</v>
      </c>
      <c r="I163">
        <v>1</v>
      </c>
      <c r="J163">
        <v>31</v>
      </c>
      <c r="K163">
        <v>39</v>
      </c>
      <c r="L163" t="s">
        <v>979</v>
      </c>
      <c r="M163">
        <v>35.943048576214409</v>
      </c>
      <c r="N163">
        <v>303</v>
      </c>
      <c r="O163">
        <v>0</v>
      </c>
      <c r="P163">
        <v>31.203883495145629</v>
      </c>
      <c r="Q163">
        <v>120.5689320388349</v>
      </c>
      <c r="R163">
        <v>-4.7391650810687764</v>
      </c>
      <c r="S163">
        <v>162</v>
      </c>
      <c r="T163">
        <v>0</v>
      </c>
      <c r="U163">
        <v>27.5</v>
      </c>
      <c r="V163">
        <v>68</v>
      </c>
      <c r="W163">
        <v>4</v>
      </c>
      <c r="X163">
        <v>26.556862745098041</v>
      </c>
      <c r="Y163">
        <v>109</v>
      </c>
      <c r="Z163">
        <v>0</v>
      </c>
      <c r="AA163">
        <v>114.6301960784314</v>
      </c>
      <c r="AB163">
        <v>350</v>
      </c>
      <c r="AC163">
        <v>0</v>
      </c>
      <c r="AD163">
        <v>27.9758064516129</v>
      </c>
      <c r="AE163">
        <v>105</v>
      </c>
      <c r="AF163">
        <v>0</v>
      </c>
      <c r="AG163">
        <v>110.46935483870971</v>
      </c>
      <c r="AH163">
        <v>280</v>
      </c>
      <c r="AI163">
        <v>0</v>
      </c>
      <c r="AJ163">
        <v>0</v>
      </c>
      <c r="AK163">
        <v>0</v>
      </c>
      <c r="AL163">
        <v>1976</v>
      </c>
      <c r="AM163">
        <v>697</v>
      </c>
      <c r="AN163">
        <v>2673</v>
      </c>
      <c r="AO163">
        <v>303</v>
      </c>
      <c r="AP163">
        <v>689</v>
      </c>
    </row>
    <row r="164" spans="1:42" x14ac:dyDescent="0.3">
      <c r="A164" t="s">
        <v>1735</v>
      </c>
      <c r="B164" t="s">
        <v>56</v>
      </c>
      <c r="C164" t="s">
        <v>1043</v>
      </c>
      <c r="D164" t="s">
        <v>300</v>
      </c>
      <c r="E164" t="s">
        <v>1047</v>
      </c>
      <c r="F164">
        <v>2022</v>
      </c>
      <c r="G164">
        <v>0</v>
      </c>
      <c r="H164">
        <v>0</v>
      </c>
      <c r="I164">
        <v>0</v>
      </c>
      <c r="J164">
        <v>2</v>
      </c>
      <c r="K164">
        <v>0</v>
      </c>
      <c r="L164" t="s">
        <v>1327</v>
      </c>
      <c r="M164">
        <v>36.003355704697988</v>
      </c>
      <c r="N164">
        <v>303</v>
      </c>
      <c r="O164">
        <v>0</v>
      </c>
      <c r="P164">
        <v>9.5555555555555554</v>
      </c>
      <c r="Q164">
        <v>71.36666666666666</v>
      </c>
      <c r="R164">
        <v>-26.447800149142431</v>
      </c>
      <c r="S164">
        <v>45</v>
      </c>
      <c r="T164">
        <v>0</v>
      </c>
      <c r="U164">
        <v>25.6</v>
      </c>
      <c r="V164">
        <v>105</v>
      </c>
      <c r="W164">
        <v>0</v>
      </c>
      <c r="X164">
        <v>26.556862745098041</v>
      </c>
      <c r="Y164">
        <v>109</v>
      </c>
      <c r="Z164">
        <v>0</v>
      </c>
      <c r="AA164">
        <v>114.6301960784314</v>
      </c>
      <c r="AB164">
        <v>350</v>
      </c>
      <c r="AC164">
        <v>0</v>
      </c>
      <c r="AD164">
        <v>27.9758064516129</v>
      </c>
      <c r="AE164">
        <v>105</v>
      </c>
      <c r="AF164">
        <v>0</v>
      </c>
      <c r="AG164">
        <v>110.46935483870971</v>
      </c>
      <c r="AH164">
        <v>280</v>
      </c>
      <c r="AI164">
        <v>0</v>
      </c>
      <c r="AJ164">
        <v>6</v>
      </c>
      <c r="AK164">
        <v>85.7</v>
      </c>
      <c r="AL164">
        <v>1976</v>
      </c>
      <c r="AM164">
        <v>697</v>
      </c>
      <c r="AN164">
        <v>2673</v>
      </c>
      <c r="AO164">
        <v>8</v>
      </c>
      <c r="AP164">
        <v>689</v>
      </c>
    </row>
    <row r="165" spans="1:42" x14ac:dyDescent="0.3">
      <c r="A165" t="s">
        <v>1606</v>
      </c>
      <c r="B165" t="s">
        <v>51</v>
      </c>
      <c r="C165" t="s">
        <v>1043</v>
      </c>
      <c r="D165" t="s">
        <v>12</v>
      </c>
      <c r="E165" t="s">
        <v>1047</v>
      </c>
      <c r="F165">
        <v>2022</v>
      </c>
      <c r="G165">
        <v>85.7</v>
      </c>
      <c r="H165">
        <v>1</v>
      </c>
      <c r="I165">
        <v>0</v>
      </c>
      <c r="J165">
        <v>7</v>
      </c>
      <c r="K165">
        <v>6</v>
      </c>
      <c r="L165" t="s">
        <v>1327</v>
      </c>
      <c r="M165">
        <v>36.053781512605042</v>
      </c>
      <c r="N165">
        <v>303</v>
      </c>
      <c r="O165">
        <v>0</v>
      </c>
      <c r="P165">
        <v>31.203883495145629</v>
      </c>
      <c r="Q165">
        <v>120.5689320388349</v>
      </c>
      <c r="R165">
        <v>-4.8498980174594104</v>
      </c>
      <c r="S165">
        <v>162</v>
      </c>
      <c r="T165">
        <v>0</v>
      </c>
      <c r="U165">
        <v>27.5</v>
      </c>
      <c r="V165">
        <v>68</v>
      </c>
      <c r="W165">
        <v>4</v>
      </c>
      <c r="X165">
        <v>26.556862745098041</v>
      </c>
      <c r="Y165">
        <v>109</v>
      </c>
      <c r="Z165">
        <v>0</v>
      </c>
      <c r="AA165">
        <v>114.6301960784314</v>
      </c>
      <c r="AB165">
        <v>350</v>
      </c>
      <c r="AC165">
        <v>0</v>
      </c>
      <c r="AD165">
        <v>27.9758064516129</v>
      </c>
      <c r="AE165">
        <v>105</v>
      </c>
      <c r="AF165">
        <v>0</v>
      </c>
      <c r="AG165">
        <v>110.46935483870971</v>
      </c>
      <c r="AH165">
        <v>280</v>
      </c>
      <c r="AI165">
        <v>0</v>
      </c>
      <c r="AJ165">
        <v>28</v>
      </c>
      <c r="AK165">
        <v>164.7</v>
      </c>
      <c r="AL165">
        <v>1975</v>
      </c>
      <c r="AM165">
        <v>697</v>
      </c>
      <c r="AN165">
        <v>2672</v>
      </c>
      <c r="AO165">
        <v>302</v>
      </c>
      <c r="AP165">
        <v>688</v>
      </c>
    </row>
    <row r="166" spans="1:42" x14ac:dyDescent="0.3">
      <c r="A166" t="s">
        <v>1346</v>
      </c>
      <c r="B166" t="s">
        <v>40</v>
      </c>
      <c r="C166" t="s">
        <v>1043</v>
      </c>
      <c r="D166" t="s">
        <v>100</v>
      </c>
      <c r="E166" t="s">
        <v>1047</v>
      </c>
      <c r="F166">
        <v>2022</v>
      </c>
      <c r="G166">
        <v>164.7</v>
      </c>
      <c r="H166">
        <v>3</v>
      </c>
      <c r="I166">
        <v>2</v>
      </c>
      <c r="J166">
        <v>17</v>
      </c>
      <c r="K166">
        <v>28</v>
      </c>
      <c r="L166" t="s">
        <v>1327</v>
      </c>
      <c r="M166">
        <v>36.067340067340069</v>
      </c>
      <c r="N166">
        <v>303</v>
      </c>
      <c r="O166">
        <v>0</v>
      </c>
      <c r="P166">
        <v>25.444444444444439</v>
      </c>
      <c r="Q166">
        <v>86.627777777777794</v>
      </c>
      <c r="R166">
        <v>-10.62289562289563</v>
      </c>
      <c r="S166">
        <v>85</v>
      </c>
      <c r="T166">
        <v>0</v>
      </c>
      <c r="U166">
        <v>28.12903225806452</v>
      </c>
      <c r="V166">
        <v>79</v>
      </c>
      <c r="W166">
        <v>0</v>
      </c>
      <c r="X166">
        <v>26.556862745098041</v>
      </c>
      <c r="Y166">
        <v>109</v>
      </c>
      <c r="Z166">
        <v>0</v>
      </c>
      <c r="AA166">
        <v>114.6301960784314</v>
      </c>
      <c r="AB166">
        <v>350</v>
      </c>
      <c r="AC166">
        <v>0</v>
      </c>
      <c r="AD166">
        <v>27.9758064516129</v>
      </c>
      <c r="AE166">
        <v>105</v>
      </c>
      <c r="AF166">
        <v>0</v>
      </c>
      <c r="AG166">
        <v>110.46935483870971</v>
      </c>
      <c r="AH166">
        <v>280</v>
      </c>
      <c r="AI166">
        <v>0</v>
      </c>
      <c r="AJ166">
        <v>26</v>
      </c>
      <c r="AK166">
        <v>173.3</v>
      </c>
      <c r="AL166">
        <v>1972</v>
      </c>
      <c r="AM166">
        <v>695</v>
      </c>
      <c r="AN166">
        <v>2667</v>
      </c>
      <c r="AO166">
        <v>52</v>
      </c>
      <c r="AP166">
        <v>683</v>
      </c>
    </row>
    <row r="167" spans="1:42" x14ac:dyDescent="0.3">
      <c r="A167" t="s">
        <v>1363</v>
      </c>
      <c r="B167" t="s">
        <v>60</v>
      </c>
      <c r="C167" t="s">
        <v>1043</v>
      </c>
      <c r="D167" t="s">
        <v>100</v>
      </c>
      <c r="E167" t="s">
        <v>1047</v>
      </c>
      <c r="F167">
        <v>2022</v>
      </c>
      <c r="G167">
        <v>173.3</v>
      </c>
      <c r="H167">
        <v>4</v>
      </c>
      <c r="I167">
        <v>1</v>
      </c>
      <c r="J167">
        <v>15</v>
      </c>
      <c r="K167">
        <v>26</v>
      </c>
      <c r="L167" t="s">
        <v>1327</v>
      </c>
      <c r="M167">
        <v>36.084317032040467</v>
      </c>
      <c r="N167">
        <v>303</v>
      </c>
      <c r="O167">
        <v>0</v>
      </c>
      <c r="P167">
        <v>25.444444444444439</v>
      </c>
      <c r="Q167">
        <v>86.627777777777794</v>
      </c>
      <c r="R167">
        <v>-10.639872587596029</v>
      </c>
      <c r="S167">
        <v>85</v>
      </c>
      <c r="T167">
        <v>0</v>
      </c>
      <c r="U167">
        <v>25.96875</v>
      </c>
      <c r="V167">
        <v>94</v>
      </c>
      <c r="W167">
        <v>0</v>
      </c>
      <c r="X167">
        <v>26.556862745098041</v>
      </c>
      <c r="Y167">
        <v>109</v>
      </c>
      <c r="Z167">
        <v>0</v>
      </c>
      <c r="AA167">
        <v>114.6301960784314</v>
      </c>
      <c r="AB167">
        <v>350</v>
      </c>
      <c r="AC167">
        <v>0</v>
      </c>
      <c r="AD167">
        <v>27.9758064516129</v>
      </c>
      <c r="AE167">
        <v>105</v>
      </c>
      <c r="AF167">
        <v>0</v>
      </c>
      <c r="AG167">
        <v>110.46935483870971</v>
      </c>
      <c r="AH167">
        <v>280</v>
      </c>
      <c r="AI167">
        <v>0</v>
      </c>
      <c r="AJ167">
        <v>3</v>
      </c>
      <c r="AK167">
        <v>25</v>
      </c>
      <c r="AL167">
        <v>1968</v>
      </c>
      <c r="AM167">
        <v>694</v>
      </c>
      <c r="AN167">
        <v>2662</v>
      </c>
      <c r="AO167">
        <v>47</v>
      </c>
      <c r="AP167">
        <v>678</v>
      </c>
    </row>
    <row r="168" spans="1:42" x14ac:dyDescent="0.3">
      <c r="A168" t="s">
        <v>1671</v>
      </c>
      <c r="B168" t="s">
        <v>11</v>
      </c>
      <c r="C168" t="s">
        <v>1043</v>
      </c>
      <c r="D168" t="s">
        <v>100</v>
      </c>
      <c r="E168" t="s">
        <v>1047</v>
      </c>
      <c r="F168">
        <v>2022</v>
      </c>
      <c r="G168">
        <v>25</v>
      </c>
      <c r="H168">
        <v>0</v>
      </c>
      <c r="I168">
        <v>0</v>
      </c>
      <c r="J168">
        <v>12</v>
      </c>
      <c r="K168">
        <v>3</v>
      </c>
      <c r="L168" t="s">
        <v>1327</v>
      </c>
      <c r="M168">
        <v>36.140202702702702</v>
      </c>
      <c r="N168">
        <v>303</v>
      </c>
      <c r="O168">
        <v>0</v>
      </c>
      <c r="P168">
        <v>25.444444444444439</v>
      </c>
      <c r="Q168">
        <v>86.627777777777794</v>
      </c>
      <c r="R168">
        <v>-10.695758258258261</v>
      </c>
      <c r="S168">
        <v>85</v>
      </c>
      <c r="T168">
        <v>0</v>
      </c>
      <c r="U168">
        <v>31.852941176470591</v>
      </c>
      <c r="V168">
        <v>109</v>
      </c>
      <c r="W168">
        <v>0</v>
      </c>
      <c r="X168">
        <v>26.556862745098041</v>
      </c>
      <c r="Y168">
        <v>109</v>
      </c>
      <c r="Z168">
        <v>0</v>
      </c>
      <c r="AA168">
        <v>114.6301960784314</v>
      </c>
      <c r="AB168">
        <v>350</v>
      </c>
      <c r="AC168">
        <v>0</v>
      </c>
      <c r="AD168">
        <v>27.9758064516129</v>
      </c>
      <c r="AE168">
        <v>105</v>
      </c>
      <c r="AF168">
        <v>0</v>
      </c>
      <c r="AG168">
        <v>110.46935483870971</v>
      </c>
      <c r="AH168">
        <v>280</v>
      </c>
      <c r="AI168">
        <v>0</v>
      </c>
      <c r="AJ168">
        <v>10</v>
      </c>
      <c r="AK168">
        <v>200</v>
      </c>
      <c r="AL168">
        <v>1968</v>
      </c>
      <c r="AM168">
        <v>694</v>
      </c>
      <c r="AN168">
        <v>2662</v>
      </c>
      <c r="AO168">
        <v>47</v>
      </c>
      <c r="AP168">
        <v>678</v>
      </c>
    </row>
    <row r="169" spans="1:42" x14ac:dyDescent="0.3">
      <c r="A169" t="s">
        <v>1542</v>
      </c>
      <c r="B169" t="s">
        <v>4</v>
      </c>
      <c r="C169" t="s">
        <v>1043</v>
      </c>
      <c r="D169" t="s">
        <v>300</v>
      </c>
      <c r="E169" t="s">
        <v>1047</v>
      </c>
      <c r="F169">
        <v>2022</v>
      </c>
      <c r="G169">
        <v>200</v>
      </c>
      <c r="H169">
        <v>0</v>
      </c>
      <c r="I169">
        <v>1</v>
      </c>
      <c r="J169">
        <v>5</v>
      </c>
      <c r="K169">
        <v>10</v>
      </c>
      <c r="L169" t="s">
        <v>1327</v>
      </c>
      <c r="M169">
        <v>36.184433164128599</v>
      </c>
      <c r="N169">
        <v>303</v>
      </c>
      <c r="O169">
        <v>0</v>
      </c>
      <c r="P169">
        <v>9.5555555555555554</v>
      </c>
      <c r="Q169">
        <v>71.36666666666666</v>
      </c>
      <c r="R169">
        <v>-26.628877608573038</v>
      </c>
      <c r="S169">
        <v>45</v>
      </c>
      <c r="T169">
        <v>0</v>
      </c>
      <c r="U169">
        <v>20.68965517241379</v>
      </c>
      <c r="V169">
        <v>73</v>
      </c>
      <c r="W169">
        <v>0</v>
      </c>
      <c r="X169">
        <v>26.556862745098041</v>
      </c>
      <c r="Y169">
        <v>109</v>
      </c>
      <c r="Z169">
        <v>0</v>
      </c>
      <c r="AA169">
        <v>114.6301960784314</v>
      </c>
      <c r="AB169">
        <v>350</v>
      </c>
      <c r="AC169">
        <v>0</v>
      </c>
      <c r="AD169">
        <v>27.9758064516129</v>
      </c>
      <c r="AE169">
        <v>105</v>
      </c>
      <c r="AF169">
        <v>0</v>
      </c>
      <c r="AG169">
        <v>110.46935483870971</v>
      </c>
      <c r="AH169">
        <v>280</v>
      </c>
      <c r="AI169">
        <v>0</v>
      </c>
      <c r="AL169">
        <v>1968</v>
      </c>
      <c r="AM169">
        <v>693</v>
      </c>
      <c r="AN169">
        <v>2661</v>
      </c>
      <c r="AO169">
        <v>7</v>
      </c>
      <c r="AP169">
        <v>677</v>
      </c>
    </row>
    <row r="170" spans="1:42" x14ac:dyDescent="0.3">
      <c r="A170" t="s">
        <v>1269</v>
      </c>
      <c r="B170" t="s">
        <v>8</v>
      </c>
      <c r="C170" t="s">
        <v>1043</v>
      </c>
      <c r="D170" t="s">
        <v>12</v>
      </c>
      <c r="E170" t="s">
        <v>1016</v>
      </c>
      <c r="F170">
        <v>2022</v>
      </c>
      <c r="G170">
        <v>128.1</v>
      </c>
      <c r="H170">
        <v>4</v>
      </c>
      <c r="I170">
        <v>2</v>
      </c>
      <c r="J170">
        <v>32</v>
      </c>
      <c r="K170">
        <v>41</v>
      </c>
      <c r="L170" t="s">
        <v>979</v>
      </c>
      <c r="M170">
        <v>36.17627118644068</v>
      </c>
      <c r="N170">
        <v>303</v>
      </c>
      <c r="O170">
        <v>0</v>
      </c>
      <c r="P170">
        <v>31.203883495145629</v>
      </c>
      <c r="Q170">
        <v>120.5689320388349</v>
      </c>
      <c r="R170">
        <v>-4.9723876912950473</v>
      </c>
      <c r="S170">
        <v>162</v>
      </c>
      <c r="T170">
        <v>0</v>
      </c>
      <c r="U170">
        <v>28.567567567567568</v>
      </c>
      <c r="V170">
        <v>74</v>
      </c>
      <c r="W170">
        <v>0</v>
      </c>
      <c r="X170">
        <v>26.556862745098041</v>
      </c>
      <c r="Y170">
        <v>109</v>
      </c>
      <c r="Z170">
        <v>0</v>
      </c>
      <c r="AA170">
        <v>114.6301960784314</v>
      </c>
      <c r="AB170">
        <v>350</v>
      </c>
      <c r="AC170">
        <v>0</v>
      </c>
      <c r="AD170">
        <v>34.313432835820898</v>
      </c>
      <c r="AE170">
        <v>137</v>
      </c>
      <c r="AF170">
        <v>0</v>
      </c>
      <c r="AG170">
        <v>101.9507462686567</v>
      </c>
      <c r="AH170">
        <v>216.7</v>
      </c>
      <c r="AI170">
        <v>0</v>
      </c>
      <c r="AL170">
        <v>1964</v>
      </c>
      <c r="AM170">
        <v>691</v>
      </c>
      <c r="AN170">
        <v>2655</v>
      </c>
      <c r="AO170">
        <v>296</v>
      </c>
      <c r="AP170">
        <v>671</v>
      </c>
    </row>
    <row r="171" spans="1:42" x14ac:dyDescent="0.3">
      <c r="A171" t="s">
        <v>1161</v>
      </c>
      <c r="B171" t="s">
        <v>115</v>
      </c>
      <c r="C171" t="s">
        <v>83</v>
      </c>
      <c r="D171" t="s">
        <v>103</v>
      </c>
      <c r="E171" t="s">
        <v>1016</v>
      </c>
      <c r="F171">
        <v>2022</v>
      </c>
      <c r="G171">
        <v>59.099999999999987</v>
      </c>
      <c r="H171">
        <v>5</v>
      </c>
      <c r="I171">
        <v>1</v>
      </c>
      <c r="J171">
        <v>110</v>
      </c>
      <c r="K171">
        <v>61</v>
      </c>
      <c r="L171" t="s">
        <v>979</v>
      </c>
      <c r="M171">
        <v>36.134125636672323</v>
      </c>
      <c r="N171">
        <v>303</v>
      </c>
      <c r="O171">
        <v>0</v>
      </c>
      <c r="P171">
        <v>43.391304347826093</v>
      </c>
      <c r="Q171">
        <v>100.17391304347829</v>
      </c>
      <c r="R171">
        <v>7.2571787111537631</v>
      </c>
      <c r="S171">
        <v>209</v>
      </c>
      <c r="T171">
        <v>0</v>
      </c>
      <c r="U171">
        <v>38.236842105263158</v>
      </c>
      <c r="V171">
        <v>264</v>
      </c>
      <c r="W171">
        <v>0</v>
      </c>
      <c r="X171">
        <v>65.166666666666671</v>
      </c>
      <c r="Y171">
        <v>303</v>
      </c>
      <c r="Z171">
        <v>1</v>
      </c>
      <c r="AA171">
        <v>55.904545454545449</v>
      </c>
      <c r="AB171">
        <v>161.6</v>
      </c>
      <c r="AC171">
        <v>16.600000000000001</v>
      </c>
      <c r="AD171">
        <v>34.313432835820898</v>
      </c>
      <c r="AE171">
        <v>137</v>
      </c>
      <c r="AF171">
        <v>0</v>
      </c>
      <c r="AG171">
        <v>101.9507462686567</v>
      </c>
      <c r="AH171">
        <v>216.7</v>
      </c>
      <c r="AI171">
        <v>0</v>
      </c>
      <c r="AL171">
        <v>1959</v>
      </c>
      <c r="AM171">
        <v>690</v>
      </c>
      <c r="AN171">
        <v>2649</v>
      </c>
      <c r="AO171">
        <v>89</v>
      </c>
      <c r="AP171">
        <v>393</v>
      </c>
    </row>
    <row r="172" spans="1:42" x14ac:dyDescent="0.3">
      <c r="A172" t="s">
        <v>1337</v>
      </c>
      <c r="B172" t="s">
        <v>115</v>
      </c>
      <c r="C172" t="s">
        <v>83</v>
      </c>
      <c r="D172" t="s">
        <v>173</v>
      </c>
      <c r="E172" t="s">
        <v>1016</v>
      </c>
      <c r="F172">
        <v>2022</v>
      </c>
      <c r="G172">
        <v>103.5</v>
      </c>
      <c r="H172">
        <v>6</v>
      </c>
      <c r="I172">
        <v>0</v>
      </c>
      <c r="J172">
        <v>52</v>
      </c>
      <c r="K172">
        <v>29</v>
      </c>
      <c r="L172" t="s">
        <v>1327</v>
      </c>
      <c r="M172">
        <v>36.146258503401363</v>
      </c>
      <c r="N172">
        <v>303</v>
      </c>
      <c r="O172">
        <v>0</v>
      </c>
      <c r="P172">
        <v>36.388888888888893</v>
      </c>
      <c r="Q172">
        <v>93.683333333333337</v>
      </c>
      <c r="R172">
        <v>0.24263038548752289</v>
      </c>
      <c r="S172">
        <v>208</v>
      </c>
      <c r="T172">
        <v>0</v>
      </c>
      <c r="U172">
        <v>38.236842105263158</v>
      </c>
      <c r="V172">
        <v>264</v>
      </c>
      <c r="W172">
        <v>0</v>
      </c>
      <c r="X172">
        <v>65.166666666666671</v>
      </c>
      <c r="Y172">
        <v>303</v>
      </c>
      <c r="Z172">
        <v>1</v>
      </c>
      <c r="AA172">
        <v>55.904545454545449</v>
      </c>
      <c r="AB172">
        <v>161.6</v>
      </c>
      <c r="AC172">
        <v>16.600000000000001</v>
      </c>
      <c r="AD172">
        <v>34.313432835820898</v>
      </c>
      <c r="AE172">
        <v>137</v>
      </c>
      <c r="AF172">
        <v>0</v>
      </c>
      <c r="AG172">
        <v>101.9507462686567</v>
      </c>
      <c r="AH172">
        <v>216.7</v>
      </c>
      <c r="AI172">
        <v>0</v>
      </c>
      <c r="AJ172">
        <v>5</v>
      </c>
      <c r="AK172">
        <v>55.6</v>
      </c>
      <c r="AL172">
        <v>1953</v>
      </c>
      <c r="AM172">
        <v>690</v>
      </c>
      <c r="AN172">
        <v>2643</v>
      </c>
      <c r="AO172">
        <v>76</v>
      </c>
      <c r="AP172">
        <v>387</v>
      </c>
    </row>
    <row r="173" spans="1:42" x14ac:dyDescent="0.3">
      <c r="A173" t="s">
        <v>1619</v>
      </c>
      <c r="B173" t="s">
        <v>115</v>
      </c>
      <c r="C173" t="s">
        <v>5</v>
      </c>
      <c r="D173" t="s">
        <v>154</v>
      </c>
      <c r="E173" t="s">
        <v>990</v>
      </c>
      <c r="F173">
        <v>2022</v>
      </c>
      <c r="G173">
        <v>55.6</v>
      </c>
      <c r="H173">
        <v>1</v>
      </c>
      <c r="I173">
        <v>0</v>
      </c>
      <c r="J173">
        <v>9</v>
      </c>
      <c r="K173">
        <v>5</v>
      </c>
      <c r="L173" t="s">
        <v>1327</v>
      </c>
      <c r="M173">
        <v>36.19931856899489</v>
      </c>
      <c r="N173">
        <v>303</v>
      </c>
      <c r="O173">
        <v>0</v>
      </c>
      <c r="P173">
        <v>37.4</v>
      </c>
      <c r="Q173">
        <v>83.72</v>
      </c>
      <c r="R173">
        <v>1.2006814310051079</v>
      </c>
      <c r="S173">
        <v>106</v>
      </c>
      <c r="T173">
        <v>1</v>
      </c>
      <c r="U173">
        <v>38.236842105263158</v>
      </c>
      <c r="V173">
        <v>264</v>
      </c>
      <c r="W173">
        <v>0</v>
      </c>
      <c r="X173">
        <v>28.189024390243901</v>
      </c>
      <c r="Y173">
        <v>121</v>
      </c>
      <c r="Z173">
        <v>0</v>
      </c>
      <c r="AA173">
        <v>116.45060975609761</v>
      </c>
      <c r="AB173">
        <v>274.39999999999998</v>
      </c>
      <c r="AC173">
        <v>0</v>
      </c>
      <c r="AD173">
        <v>31.115942028985511</v>
      </c>
      <c r="AE173">
        <v>187</v>
      </c>
      <c r="AF173">
        <v>0</v>
      </c>
      <c r="AG173">
        <v>73.336956521739125</v>
      </c>
      <c r="AH173">
        <v>233.3</v>
      </c>
      <c r="AI173">
        <v>0</v>
      </c>
      <c r="AJ173">
        <v>45</v>
      </c>
      <c r="AK173">
        <v>93.75</v>
      </c>
      <c r="AL173">
        <v>1952</v>
      </c>
      <c r="AM173">
        <v>690</v>
      </c>
      <c r="AN173">
        <v>2642</v>
      </c>
      <c r="AO173">
        <v>32</v>
      </c>
      <c r="AP173">
        <v>494</v>
      </c>
    </row>
    <row r="174" spans="1:42" x14ac:dyDescent="0.3">
      <c r="A174" t="s">
        <v>1705</v>
      </c>
      <c r="B174" t="s">
        <v>115</v>
      </c>
      <c r="C174" t="s">
        <v>5</v>
      </c>
      <c r="D174" t="s">
        <v>154</v>
      </c>
      <c r="E174" t="s">
        <v>990</v>
      </c>
      <c r="F174">
        <v>2022</v>
      </c>
      <c r="G174">
        <v>50</v>
      </c>
      <c r="H174">
        <v>0</v>
      </c>
      <c r="I174">
        <v>0</v>
      </c>
      <c r="J174">
        <v>2</v>
      </c>
      <c r="K174">
        <v>1</v>
      </c>
      <c r="L174" t="s">
        <v>1327</v>
      </c>
      <c r="M174">
        <v>36.25938566552901</v>
      </c>
      <c r="N174">
        <v>303</v>
      </c>
      <c r="O174">
        <v>0</v>
      </c>
      <c r="P174">
        <v>37.4</v>
      </c>
      <c r="Q174">
        <v>83.72</v>
      </c>
      <c r="R174">
        <v>1.1406143344709889</v>
      </c>
      <c r="S174">
        <v>106</v>
      </c>
      <c r="T174">
        <v>1</v>
      </c>
      <c r="U174">
        <v>38.236842105263158</v>
      </c>
      <c r="V174">
        <v>264</v>
      </c>
      <c r="W174">
        <v>0</v>
      </c>
      <c r="X174">
        <v>28.189024390243901</v>
      </c>
      <c r="Y174">
        <v>121</v>
      </c>
      <c r="Z174">
        <v>0</v>
      </c>
      <c r="AA174">
        <v>116.45060975609761</v>
      </c>
      <c r="AB174">
        <v>274.39999999999998</v>
      </c>
      <c r="AC174">
        <v>0</v>
      </c>
      <c r="AD174">
        <v>31.115942028985511</v>
      </c>
      <c r="AE174">
        <v>187</v>
      </c>
      <c r="AF174">
        <v>0</v>
      </c>
      <c r="AG174">
        <v>73.336956521739125</v>
      </c>
      <c r="AH174">
        <v>233.3</v>
      </c>
      <c r="AI174">
        <v>0</v>
      </c>
      <c r="AJ174">
        <v>44</v>
      </c>
      <c r="AK174">
        <v>137.5</v>
      </c>
      <c r="AL174">
        <v>1952</v>
      </c>
      <c r="AM174">
        <v>690</v>
      </c>
      <c r="AN174">
        <v>2642</v>
      </c>
      <c r="AO174">
        <v>32</v>
      </c>
      <c r="AP174">
        <v>494</v>
      </c>
    </row>
    <row r="175" spans="1:42" x14ac:dyDescent="0.3">
      <c r="A175" t="s">
        <v>1250</v>
      </c>
      <c r="B175" t="s">
        <v>115</v>
      </c>
      <c r="C175" t="s">
        <v>5</v>
      </c>
      <c r="D175" t="s">
        <v>142</v>
      </c>
      <c r="E175" t="s">
        <v>990</v>
      </c>
      <c r="F175">
        <v>2022</v>
      </c>
      <c r="G175">
        <v>137.5</v>
      </c>
      <c r="H175">
        <v>2</v>
      </c>
      <c r="I175">
        <v>1</v>
      </c>
      <c r="J175">
        <v>32</v>
      </c>
      <c r="K175">
        <v>44</v>
      </c>
      <c r="L175" t="s">
        <v>979</v>
      </c>
      <c r="M175">
        <v>36.246153846153852</v>
      </c>
      <c r="N175">
        <v>303</v>
      </c>
      <c r="O175">
        <v>0</v>
      </c>
      <c r="P175">
        <v>56.6</v>
      </c>
      <c r="Q175">
        <v>126.72</v>
      </c>
      <c r="R175">
        <v>20.35384615384616</v>
      </c>
      <c r="S175">
        <v>111</v>
      </c>
      <c r="T175">
        <v>4</v>
      </c>
      <c r="U175">
        <v>38.236842105263158</v>
      </c>
      <c r="V175">
        <v>264</v>
      </c>
      <c r="W175">
        <v>0</v>
      </c>
      <c r="X175">
        <v>28.189024390243901</v>
      </c>
      <c r="Y175">
        <v>121</v>
      </c>
      <c r="Z175">
        <v>0</v>
      </c>
      <c r="AA175">
        <v>116.45060975609761</v>
      </c>
      <c r="AB175">
        <v>274.39999999999998</v>
      </c>
      <c r="AC175">
        <v>0</v>
      </c>
      <c r="AD175">
        <v>31.115942028985511</v>
      </c>
      <c r="AE175">
        <v>187</v>
      </c>
      <c r="AF175">
        <v>0</v>
      </c>
      <c r="AG175">
        <v>73.336956521739125</v>
      </c>
      <c r="AH175">
        <v>233.3</v>
      </c>
      <c r="AI175">
        <v>0</v>
      </c>
      <c r="AJ175">
        <v>7</v>
      </c>
      <c r="AK175">
        <v>46.7</v>
      </c>
      <c r="AL175">
        <v>1950</v>
      </c>
      <c r="AM175">
        <v>689</v>
      </c>
      <c r="AN175">
        <v>2639</v>
      </c>
      <c r="AO175">
        <v>15</v>
      </c>
      <c r="AP175">
        <v>491</v>
      </c>
    </row>
    <row r="176" spans="1:42" x14ac:dyDescent="0.3">
      <c r="A176" t="s">
        <v>1591</v>
      </c>
      <c r="B176" t="s">
        <v>208</v>
      </c>
      <c r="C176" t="s">
        <v>5</v>
      </c>
      <c r="D176" t="s">
        <v>139</v>
      </c>
      <c r="E176" t="s">
        <v>990</v>
      </c>
      <c r="F176">
        <v>2022</v>
      </c>
      <c r="G176">
        <v>46.7</v>
      </c>
      <c r="H176">
        <v>0</v>
      </c>
      <c r="I176">
        <v>0</v>
      </c>
      <c r="J176">
        <v>15</v>
      </c>
      <c r="K176">
        <v>7</v>
      </c>
      <c r="L176" t="s">
        <v>1327</v>
      </c>
      <c r="M176">
        <v>36.296232876712331</v>
      </c>
      <c r="N176">
        <v>303</v>
      </c>
      <c r="O176">
        <v>0</v>
      </c>
      <c r="P176">
        <v>45.666666666666657</v>
      </c>
      <c r="Q176">
        <v>104.1166666666667</v>
      </c>
      <c r="R176">
        <v>9.3704337899543333</v>
      </c>
      <c r="S176">
        <v>264</v>
      </c>
      <c r="T176">
        <v>0</v>
      </c>
      <c r="U176">
        <v>47.081967213114751</v>
      </c>
      <c r="V176">
        <v>177</v>
      </c>
      <c r="W176">
        <v>0</v>
      </c>
      <c r="X176">
        <v>28.189024390243901</v>
      </c>
      <c r="Y176">
        <v>121</v>
      </c>
      <c r="Z176">
        <v>0</v>
      </c>
      <c r="AA176">
        <v>116.45060975609761</v>
      </c>
      <c r="AB176">
        <v>274.39999999999998</v>
      </c>
      <c r="AC176">
        <v>0</v>
      </c>
      <c r="AD176">
        <v>31.115942028985511</v>
      </c>
      <c r="AE176">
        <v>187</v>
      </c>
      <c r="AF176">
        <v>0</v>
      </c>
      <c r="AG176">
        <v>73.336956521739125</v>
      </c>
      <c r="AH176">
        <v>233.3</v>
      </c>
      <c r="AI176">
        <v>0</v>
      </c>
      <c r="AJ176">
        <v>59</v>
      </c>
      <c r="AK176">
        <v>158.05000000000001</v>
      </c>
      <c r="AL176">
        <v>1950</v>
      </c>
      <c r="AM176">
        <v>689</v>
      </c>
      <c r="AN176">
        <v>2639</v>
      </c>
      <c r="AO176">
        <v>170</v>
      </c>
      <c r="AP176">
        <v>491</v>
      </c>
    </row>
    <row r="177" spans="1:42" x14ac:dyDescent="0.3">
      <c r="A177" t="s">
        <v>1423</v>
      </c>
      <c r="B177" t="s">
        <v>208</v>
      </c>
      <c r="C177" t="s">
        <v>5</v>
      </c>
      <c r="D177" t="s">
        <v>139</v>
      </c>
      <c r="E177" t="s">
        <v>990</v>
      </c>
      <c r="F177">
        <v>2022</v>
      </c>
      <c r="G177">
        <v>105.6</v>
      </c>
      <c r="H177">
        <v>2</v>
      </c>
      <c r="I177">
        <v>1</v>
      </c>
      <c r="J177">
        <v>18</v>
      </c>
      <c r="K177">
        <v>19</v>
      </c>
      <c r="L177" t="s">
        <v>1327</v>
      </c>
      <c r="M177">
        <v>36.325900514579757</v>
      </c>
      <c r="N177">
        <v>303</v>
      </c>
      <c r="O177">
        <v>0</v>
      </c>
      <c r="P177">
        <v>45.666666666666657</v>
      </c>
      <c r="Q177">
        <v>104.1166666666667</v>
      </c>
      <c r="R177">
        <v>9.340766152086907</v>
      </c>
      <c r="S177">
        <v>264</v>
      </c>
      <c r="T177">
        <v>0</v>
      </c>
      <c r="U177">
        <v>47.081967213114751</v>
      </c>
      <c r="V177">
        <v>177</v>
      </c>
      <c r="W177">
        <v>0</v>
      </c>
      <c r="X177">
        <v>28.189024390243901</v>
      </c>
      <c r="Y177">
        <v>121</v>
      </c>
      <c r="Z177">
        <v>0</v>
      </c>
      <c r="AA177">
        <v>116.45060975609761</v>
      </c>
      <c r="AB177">
        <v>274.39999999999998</v>
      </c>
      <c r="AC177">
        <v>0</v>
      </c>
      <c r="AD177">
        <v>31.115942028985511</v>
      </c>
      <c r="AE177">
        <v>187</v>
      </c>
      <c r="AF177">
        <v>0</v>
      </c>
      <c r="AG177">
        <v>73.336956521739125</v>
      </c>
      <c r="AH177">
        <v>233.3</v>
      </c>
      <c r="AI177">
        <v>0</v>
      </c>
      <c r="AJ177">
        <v>40</v>
      </c>
      <c r="AK177">
        <v>210.5</v>
      </c>
      <c r="AL177">
        <v>1948</v>
      </c>
      <c r="AM177">
        <v>688</v>
      </c>
      <c r="AN177">
        <v>2636</v>
      </c>
      <c r="AO177">
        <v>167</v>
      </c>
      <c r="AP177">
        <v>488</v>
      </c>
    </row>
    <row r="178" spans="1:42" x14ac:dyDescent="0.3">
      <c r="A178" t="s">
        <v>1273</v>
      </c>
      <c r="B178" t="s">
        <v>208</v>
      </c>
      <c r="C178" t="s">
        <v>5</v>
      </c>
      <c r="D178" t="s">
        <v>139</v>
      </c>
      <c r="E178" t="s">
        <v>990</v>
      </c>
      <c r="F178">
        <v>2022</v>
      </c>
      <c r="G178">
        <v>210.5</v>
      </c>
      <c r="H178">
        <v>4</v>
      </c>
      <c r="I178">
        <v>3</v>
      </c>
      <c r="J178">
        <v>19</v>
      </c>
      <c r="K178">
        <v>40</v>
      </c>
      <c r="L178" t="s">
        <v>979</v>
      </c>
      <c r="M178">
        <v>36.319587628865982</v>
      </c>
      <c r="N178">
        <v>303</v>
      </c>
      <c r="O178">
        <v>0</v>
      </c>
      <c r="P178">
        <v>45.666666666666657</v>
      </c>
      <c r="Q178">
        <v>104.1166666666667</v>
      </c>
      <c r="R178">
        <v>9.3470790378006825</v>
      </c>
      <c r="S178">
        <v>264</v>
      </c>
      <c r="T178">
        <v>0</v>
      </c>
      <c r="U178">
        <v>47.081967213114751</v>
      </c>
      <c r="V178">
        <v>177</v>
      </c>
      <c r="W178">
        <v>0</v>
      </c>
      <c r="X178">
        <v>28.189024390243901</v>
      </c>
      <c r="Y178">
        <v>121</v>
      </c>
      <c r="Z178">
        <v>0</v>
      </c>
      <c r="AA178">
        <v>116.45060975609761</v>
      </c>
      <c r="AB178">
        <v>274.39999999999998</v>
      </c>
      <c r="AC178">
        <v>0</v>
      </c>
      <c r="AD178">
        <v>31.115942028985511</v>
      </c>
      <c r="AE178">
        <v>187</v>
      </c>
      <c r="AF178">
        <v>0</v>
      </c>
      <c r="AG178">
        <v>73.336956521739125</v>
      </c>
      <c r="AH178">
        <v>233.3</v>
      </c>
      <c r="AI178">
        <v>0</v>
      </c>
      <c r="AJ178">
        <v>13</v>
      </c>
      <c r="AK178">
        <v>86.7</v>
      </c>
      <c r="AL178">
        <v>1944</v>
      </c>
      <c r="AM178">
        <v>685</v>
      </c>
      <c r="AN178">
        <v>2629</v>
      </c>
      <c r="AO178">
        <v>160</v>
      </c>
      <c r="AP178">
        <v>481</v>
      </c>
    </row>
    <row r="179" spans="1:42" x14ac:dyDescent="0.3">
      <c r="A179" t="s">
        <v>1490</v>
      </c>
      <c r="B179" t="s">
        <v>208</v>
      </c>
      <c r="C179" t="s">
        <v>16</v>
      </c>
      <c r="D179" t="s">
        <v>41</v>
      </c>
      <c r="E179" t="s">
        <v>990</v>
      </c>
      <c r="F179">
        <v>2022</v>
      </c>
      <c r="G179">
        <v>86.7</v>
      </c>
      <c r="H179">
        <v>3</v>
      </c>
      <c r="I179">
        <v>0</v>
      </c>
      <c r="J179">
        <v>15</v>
      </c>
      <c r="K179">
        <v>13</v>
      </c>
      <c r="L179" t="s">
        <v>1327</v>
      </c>
      <c r="M179">
        <v>36.359724612736663</v>
      </c>
      <c r="N179">
        <v>303</v>
      </c>
      <c r="O179">
        <v>0</v>
      </c>
      <c r="P179">
        <v>34.043478260869563</v>
      </c>
      <c r="Q179">
        <v>108.0891304347826</v>
      </c>
      <c r="R179">
        <v>-2.3162463518670999</v>
      </c>
      <c r="S179">
        <v>95</v>
      </c>
      <c r="T179">
        <v>0</v>
      </c>
      <c r="U179">
        <v>47.081967213114751</v>
      </c>
      <c r="V179">
        <v>177</v>
      </c>
      <c r="W179">
        <v>0</v>
      </c>
      <c r="X179">
        <v>42.251824817518248</v>
      </c>
      <c r="Y179">
        <v>264</v>
      </c>
      <c r="Z179">
        <v>0</v>
      </c>
      <c r="AA179">
        <v>77.646715328467153</v>
      </c>
      <c r="AB179">
        <v>200</v>
      </c>
      <c r="AC179">
        <v>0</v>
      </c>
      <c r="AD179">
        <v>31.115942028985511</v>
      </c>
      <c r="AE179">
        <v>187</v>
      </c>
      <c r="AF179">
        <v>0</v>
      </c>
      <c r="AG179">
        <v>73.336956521739125</v>
      </c>
      <c r="AH179">
        <v>233.3</v>
      </c>
      <c r="AI179">
        <v>0</v>
      </c>
      <c r="AJ179">
        <v>65</v>
      </c>
      <c r="AK179">
        <v>90.05</v>
      </c>
      <c r="AL179">
        <v>1941</v>
      </c>
      <c r="AM179">
        <v>685</v>
      </c>
      <c r="AN179">
        <v>2626</v>
      </c>
      <c r="AO179">
        <v>73</v>
      </c>
      <c r="AP179">
        <v>1087</v>
      </c>
    </row>
    <row r="180" spans="1:42" x14ac:dyDescent="0.3">
      <c r="A180" t="s">
        <v>1620</v>
      </c>
      <c r="B180" t="s">
        <v>208</v>
      </c>
      <c r="C180" t="s">
        <v>16</v>
      </c>
      <c r="D180" t="s">
        <v>41</v>
      </c>
      <c r="E180" t="s">
        <v>990</v>
      </c>
      <c r="F180">
        <v>2022</v>
      </c>
      <c r="G180">
        <v>62.5</v>
      </c>
      <c r="H180">
        <v>0</v>
      </c>
      <c r="I180">
        <v>0</v>
      </c>
      <c r="J180">
        <v>8</v>
      </c>
      <c r="K180">
        <v>5</v>
      </c>
      <c r="L180" t="s">
        <v>1327</v>
      </c>
      <c r="M180">
        <v>36.413793103448278</v>
      </c>
      <c r="N180">
        <v>303</v>
      </c>
      <c r="O180">
        <v>0</v>
      </c>
      <c r="P180">
        <v>34.043478260869563</v>
      </c>
      <c r="Q180">
        <v>108.0891304347826</v>
      </c>
      <c r="R180">
        <v>-2.3703148425787148</v>
      </c>
      <c r="S180">
        <v>95</v>
      </c>
      <c r="T180">
        <v>0</v>
      </c>
      <c r="U180">
        <v>47.081967213114751</v>
      </c>
      <c r="V180">
        <v>177</v>
      </c>
      <c r="W180">
        <v>0</v>
      </c>
      <c r="X180">
        <v>42.251824817518248</v>
      </c>
      <c r="Y180">
        <v>264</v>
      </c>
      <c r="Z180">
        <v>0</v>
      </c>
      <c r="AA180">
        <v>77.646715328467153</v>
      </c>
      <c r="AB180">
        <v>200</v>
      </c>
      <c r="AC180">
        <v>0</v>
      </c>
      <c r="AD180">
        <v>31.115942028985511</v>
      </c>
      <c r="AE180">
        <v>187</v>
      </c>
      <c r="AF180">
        <v>0</v>
      </c>
      <c r="AG180">
        <v>73.336956521739125</v>
      </c>
      <c r="AH180">
        <v>233.3</v>
      </c>
      <c r="AI180">
        <v>0</v>
      </c>
      <c r="AJ180">
        <v>60</v>
      </c>
      <c r="AK180">
        <v>117.6</v>
      </c>
      <c r="AL180">
        <v>1941</v>
      </c>
      <c r="AM180">
        <v>685</v>
      </c>
      <c r="AN180">
        <v>2626</v>
      </c>
      <c r="AO180">
        <v>73</v>
      </c>
      <c r="AP180">
        <v>1087</v>
      </c>
    </row>
    <row r="181" spans="1:42" x14ac:dyDescent="0.3">
      <c r="A181" t="s">
        <v>1162</v>
      </c>
      <c r="B181" t="s">
        <v>208</v>
      </c>
      <c r="C181" t="s">
        <v>16</v>
      </c>
      <c r="D181" t="s">
        <v>41</v>
      </c>
      <c r="E181" t="s">
        <v>990</v>
      </c>
      <c r="F181">
        <v>2022</v>
      </c>
      <c r="G181">
        <v>117.6</v>
      </c>
      <c r="H181">
        <v>10</v>
      </c>
      <c r="I181">
        <v>1</v>
      </c>
      <c r="J181">
        <v>51</v>
      </c>
      <c r="K181">
        <v>60</v>
      </c>
      <c r="L181" t="s">
        <v>979</v>
      </c>
      <c r="M181">
        <v>36.373056994818647</v>
      </c>
      <c r="N181">
        <v>303</v>
      </c>
      <c r="O181">
        <v>0</v>
      </c>
      <c r="P181">
        <v>34.043478260869563</v>
      </c>
      <c r="Q181">
        <v>108.0891304347826</v>
      </c>
      <c r="R181">
        <v>-2.329578733949091</v>
      </c>
      <c r="S181">
        <v>95</v>
      </c>
      <c r="T181">
        <v>0</v>
      </c>
      <c r="U181">
        <v>47.081967213114751</v>
      </c>
      <c r="V181">
        <v>177</v>
      </c>
      <c r="W181">
        <v>0</v>
      </c>
      <c r="X181">
        <v>42.251824817518248</v>
      </c>
      <c r="Y181">
        <v>264</v>
      </c>
      <c r="Z181">
        <v>0</v>
      </c>
      <c r="AA181">
        <v>77.646715328467153</v>
      </c>
      <c r="AB181">
        <v>200</v>
      </c>
      <c r="AC181">
        <v>0</v>
      </c>
      <c r="AD181">
        <v>31.115942028985511</v>
      </c>
      <c r="AE181">
        <v>187</v>
      </c>
      <c r="AF181">
        <v>0</v>
      </c>
      <c r="AG181">
        <v>73.336956521739125</v>
      </c>
      <c r="AH181">
        <v>233.3</v>
      </c>
      <c r="AI181">
        <v>0</v>
      </c>
      <c r="AL181">
        <v>1931</v>
      </c>
      <c r="AM181">
        <v>684</v>
      </c>
      <c r="AN181">
        <v>2615</v>
      </c>
      <c r="AO181">
        <v>62</v>
      </c>
      <c r="AP181">
        <v>1076</v>
      </c>
    </row>
    <row r="182" spans="1:42" x14ac:dyDescent="0.3">
      <c r="A182" t="s">
        <v>1184</v>
      </c>
      <c r="B182" t="s">
        <v>15</v>
      </c>
      <c r="C182" t="s">
        <v>5</v>
      </c>
      <c r="D182" t="s">
        <v>139</v>
      </c>
      <c r="E182" t="s">
        <v>981</v>
      </c>
      <c r="F182">
        <v>2021</v>
      </c>
      <c r="G182">
        <v>180.6</v>
      </c>
      <c r="H182">
        <v>5</v>
      </c>
      <c r="I182">
        <v>3</v>
      </c>
      <c r="J182">
        <v>31</v>
      </c>
      <c r="K182">
        <v>56</v>
      </c>
      <c r="L182" t="s">
        <v>979</v>
      </c>
      <c r="M182">
        <v>36.339100346020757</v>
      </c>
      <c r="N182">
        <v>303</v>
      </c>
      <c r="O182">
        <v>0</v>
      </c>
      <c r="P182">
        <v>45.666666666666657</v>
      </c>
      <c r="Q182">
        <v>104.1166666666667</v>
      </c>
      <c r="R182">
        <v>9.3275663206459001</v>
      </c>
      <c r="S182">
        <v>264</v>
      </c>
      <c r="T182">
        <v>0</v>
      </c>
      <c r="U182">
        <v>37.701754385964911</v>
      </c>
      <c r="V182">
        <v>147</v>
      </c>
      <c r="W182">
        <v>1</v>
      </c>
      <c r="X182">
        <v>28.189024390243901</v>
      </c>
      <c r="Y182">
        <v>121</v>
      </c>
      <c r="Z182">
        <v>0</v>
      </c>
      <c r="AA182">
        <v>116.45060975609761</v>
      </c>
      <c r="AB182">
        <v>274.39999999999998</v>
      </c>
      <c r="AC182">
        <v>0</v>
      </c>
      <c r="AD182">
        <v>47.122448979591837</v>
      </c>
      <c r="AE182">
        <v>264</v>
      </c>
      <c r="AF182">
        <v>0</v>
      </c>
      <c r="AG182">
        <v>105.5040816326531</v>
      </c>
      <c r="AH182">
        <v>200</v>
      </c>
      <c r="AI182">
        <v>0</v>
      </c>
      <c r="AJ182">
        <v>103</v>
      </c>
      <c r="AK182">
        <v>143.05000000000001</v>
      </c>
      <c r="AL182">
        <v>1926</v>
      </c>
      <c r="AM182">
        <v>681</v>
      </c>
      <c r="AN182">
        <v>2607</v>
      </c>
      <c r="AO182">
        <v>152</v>
      </c>
      <c r="AP182">
        <v>473</v>
      </c>
    </row>
    <row r="183" spans="1:42" x14ac:dyDescent="0.3">
      <c r="A183" t="s">
        <v>1194</v>
      </c>
      <c r="B183" t="s">
        <v>15</v>
      </c>
      <c r="C183" t="s">
        <v>5</v>
      </c>
      <c r="D183" t="s">
        <v>29</v>
      </c>
      <c r="E183" t="s">
        <v>981</v>
      </c>
      <c r="F183">
        <v>2021</v>
      </c>
      <c r="G183">
        <v>152.80000000000001</v>
      </c>
      <c r="H183">
        <v>1</v>
      </c>
      <c r="I183">
        <v>5</v>
      </c>
      <c r="J183">
        <v>36</v>
      </c>
      <c r="K183">
        <v>55</v>
      </c>
      <c r="L183" t="s">
        <v>979</v>
      </c>
      <c r="M183">
        <v>36.306759098786827</v>
      </c>
      <c r="N183">
        <v>303</v>
      </c>
      <c r="O183">
        <v>0</v>
      </c>
      <c r="P183">
        <v>47.8</v>
      </c>
      <c r="Q183">
        <v>97.134999999999991</v>
      </c>
      <c r="R183">
        <v>11.49324090121317</v>
      </c>
      <c r="S183">
        <v>212</v>
      </c>
      <c r="T183">
        <v>9</v>
      </c>
      <c r="U183">
        <v>37.701754385964911</v>
      </c>
      <c r="V183">
        <v>147</v>
      </c>
      <c r="W183">
        <v>1</v>
      </c>
      <c r="X183">
        <v>28.189024390243901</v>
      </c>
      <c r="Y183">
        <v>121</v>
      </c>
      <c r="Z183">
        <v>0</v>
      </c>
      <c r="AA183">
        <v>116.45060975609761</v>
      </c>
      <c r="AB183">
        <v>274.39999999999998</v>
      </c>
      <c r="AC183">
        <v>0</v>
      </c>
      <c r="AD183">
        <v>47.122448979591837</v>
      </c>
      <c r="AE183">
        <v>264</v>
      </c>
      <c r="AF183">
        <v>0</v>
      </c>
      <c r="AG183">
        <v>105.5040816326531</v>
      </c>
      <c r="AH183">
        <v>200</v>
      </c>
      <c r="AI183">
        <v>0</v>
      </c>
      <c r="AJ183">
        <v>48</v>
      </c>
      <c r="AK183">
        <v>133.30000000000001</v>
      </c>
      <c r="AL183">
        <v>1925</v>
      </c>
      <c r="AM183">
        <v>676</v>
      </c>
      <c r="AN183">
        <v>2601</v>
      </c>
      <c r="AO183">
        <v>47</v>
      </c>
      <c r="AP183">
        <v>467</v>
      </c>
    </row>
    <row r="184" spans="1:42" x14ac:dyDescent="0.3">
      <c r="A184" t="s">
        <v>1234</v>
      </c>
      <c r="B184" t="s">
        <v>15</v>
      </c>
      <c r="C184" t="s">
        <v>5</v>
      </c>
      <c r="D184" t="s">
        <v>46</v>
      </c>
      <c r="E184" t="s">
        <v>981</v>
      </c>
      <c r="F184">
        <v>2021</v>
      </c>
      <c r="G184">
        <v>133.30000000000001</v>
      </c>
      <c r="H184">
        <v>5</v>
      </c>
      <c r="I184">
        <v>2</v>
      </c>
      <c r="J184">
        <v>36</v>
      </c>
      <c r="K184">
        <v>48</v>
      </c>
      <c r="L184" t="s">
        <v>979</v>
      </c>
      <c r="M184">
        <v>36.286458333333343</v>
      </c>
      <c r="N184">
        <v>303</v>
      </c>
      <c r="O184">
        <v>0</v>
      </c>
      <c r="P184">
        <v>31.72727272727273</v>
      </c>
      <c r="Q184">
        <v>85.109090909090909</v>
      </c>
      <c r="R184">
        <v>-4.5591856060606091</v>
      </c>
      <c r="S184">
        <v>141</v>
      </c>
      <c r="T184">
        <v>0</v>
      </c>
      <c r="U184">
        <v>37.701754385964911</v>
      </c>
      <c r="V184">
        <v>147</v>
      </c>
      <c r="W184">
        <v>1</v>
      </c>
      <c r="X184">
        <v>28.189024390243901</v>
      </c>
      <c r="Y184">
        <v>121</v>
      </c>
      <c r="Z184">
        <v>0</v>
      </c>
      <c r="AA184">
        <v>116.45060975609761</v>
      </c>
      <c r="AB184">
        <v>274.39999999999998</v>
      </c>
      <c r="AC184">
        <v>0</v>
      </c>
      <c r="AD184">
        <v>47.122448979591837</v>
      </c>
      <c r="AE184">
        <v>264</v>
      </c>
      <c r="AF184">
        <v>0</v>
      </c>
      <c r="AG184">
        <v>105.5040816326531</v>
      </c>
      <c r="AH184">
        <v>200</v>
      </c>
      <c r="AI184">
        <v>0</v>
      </c>
      <c r="AL184">
        <v>1920</v>
      </c>
      <c r="AM184">
        <v>674</v>
      </c>
      <c r="AN184">
        <v>2594</v>
      </c>
      <c r="AO184">
        <v>27</v>
      </c>
      <c r="AP184">
        <v>460</v>
      </c>
    </row>
    <row r="185" spans="1:42" x14ac:dyDescent="0.3">
      <c r="A185" t="s">
        <v>1185</v>
      </c>
      <c r="B185" t="s">
        <v>329</v>
      </c>
      <c r="C185" t="s">
        <v>5</v>
      </c>
      <c r="D185" t="s">
        <v>67</v>
      </c>
      <c r="E185" t="s">
        <v>981</v>
      </c>
      <c r="F185">
        <v>2021</v>
      </c>
      <c r="G185">
        <v>151.4</v>
      </c>
      <c r="H185">
        <v>7</v>
      </c>
      <c r="I185">
        <v>2</v>
      </c>
      <c r="J185">
        <v>37</v>
      </c>
      <c r="K185">
        <v>56</v>
      </c>
      <c r="L185" t="s">
        <v>979</v>
      </c>
      <c r="M185">
        <v>36.252173913043478</v>
      </c>
      <c r="N185">
        <v>303</v>
      </c>
      <c r="O185">
        <v>0</v>
      </c>
      <c r="P185">
        <v>35.03846153846154</v>
      </c>
      <c r="Q185">
        <v>104.65</v>
      </c>
      <c r="R185">
        <v>-1.213712374581938</v>
      </c>
      <c r="S185">
        <v>111</v>
      </c>
      <c r="T185">
        <v>0</v>
      </c>
      <c r="V185">
        <v>56</v>
      </c>
      <c r="W185">
        <v>56</v>
      </c>
      <c r="X185">
        <v>28.189024390243901</v>
      </c>
      <c r="Y185">
        <v>121</v>
      </c>
      <c r="Z185">
        <v>0</v>
      </c>
      <c r="AA185">
        <v>116.45060975609761</v>
      </c>
      <c r="AB185">
        <v>274.39999999999998</v>
      </c>
      <c r="AC185">
        <v>0</v>
      </c>
      <c r="AD185">
        <v>47.122448979591837</v>
      </c>
      <c r="AE185">
        <v>264</v>
      </c>
      <c r="AF185">
        <v>0</v>
      </c>
      <c r="AG185">
        <v>105.5040816326531</v>
      </c>
      <c r="AH185">
        <v>200</v>
      </c>
      <c r="AI185">
        <v>0</v>
      </c>
      <c r="AJ185">
        <v>104</v>
      </c>
      <c r="AK185">
        <v>172.45</v>
      </c>
      <c r="AL185">
        <v>1913</v>
      </c>
      <c r="AM185">
        <v>672</v>
      </c>
      <c r="AN185">
        <v>2585</v>
      </c>
      <c r="AO185">
        <v>69</v>
      </c>
      <c r="AP185">
        <v>451</v>
      </c>
    </row>
    <row r="186" spans="1:42" x14ac:dyDescent="0.3">
      <c r="A186" t="s">
        <v>1328</v>
      </c>
      <c r="B186" t="s">
        <v>331</v>
      </c>
      <c r="C186" t="s">
        <v>5</v>
      </c>
      <c r="D186" t="s">
        <v>67</v>
      </c>
      <c r="E186" t="s">
        <v>981</v>
      </c>
      <c r="F186">
        <v>2021</v>
      </c>
      <c r="G186">
        <v>187.5</v>
      </c>
      <c r="H186">
        <v>5</v>
      </c>
      <c r="I186">
        <v>1</v>
      </c>
      <c r="J186">
        <v>16</v>
      </c>
      <c r="K186">
        <v>30</v>
      </c>
      <c r="L186" t="s">
        <v>1327</v>
      </c>
      <c r="M186">
        <v>36.263066202090592</v>
      </c>
      <c r="N186">
        <v>303</v>
      </c>
      <c r="O186">
        <v>0</v>
      </c>
      <c r="P186">
        <v>35.03846153846154</v>
      </c>
      <c r="Q186">
        <v>104.65</v>
      </c>
      <c r="R186">
        <v>-1.224604663629052</v>
      </c>
      <c r="S186">
        <v>111</v>
      </c>
      <c r="T186">
        <v>0</v>
      </c>
      <c r="V186">
        <v>30</v>
      </c>
      <c r="W186">
        <v>30</v>
      </c>
      <c r="X186">
        <v>28.189024390243901</v>
      </c>
      <c r="Y186">
        <v>121</v>
      </c>
      <c r="Z186">
        <v>0</v>
      </c>
      <c r="AA186">
        <v>116.45060975609761</v>
      </c>
      <c r="AB186">
        <v>274.39999999999998</v>
      </c>
      <c r="AC186">
        <v>0</v>
      </c>
      <c r="AD186">
        <v>47.122448979591837</v>
      </c>
      <c r="AE186">
        <v>264</v>
      </c>
      <c r="AF186">
        <v>0</v>
      </c>
      <c r="AG186">
        <v>105.5040816326531</v>
      </c>
      <c r="AH186">
        <v>200</v>
      </c>
      <c r="AI186">
        <v>0</v>
      </c>
      <c r="AJ186">
        <v>88</v>
      </c>
      <c r="AK186">
        <v>128.69999999999999</v>
      </c>
      <c r="AL186">
        <v>1908</v>
      </c>
      <c r="AM186">
        <v>671</v>
      </c>
      <c r="AN186">
        <v>2579</v>
      </c>
      <c r="AO186">
        <v>63</v>
      </c>
      <c r="AP186">
        <v>445</v>
      </c>
    </row>
    <row r="187" spans="1:42" x14ac:dyDescent="0.3">
      <c r="A187" t="s">
        <v>1109</v>
      </c>
      <c r="B187" t="s">
        <v>130</v>
      </c>
      <c r="C187" t="s">
        <v>5</v>
      </c>
      <c r="D187" t="s">
        <v>333</v>
      </c>
      <c r="E187" t="s">
        <v>981</v>
      </c>
      <c r="F187">
        <v>2021</v>
      </c>
      <c r="G187">
        <v>157.4</v>
      </c>
      <c r="H187">
        <v>8</v>
      </c>
      <c r="I187">
        <v>3</v>
      </c>
      <c r="J187">
        <v>47</v>
      </c>
      <c r="K187">
        <v>74</v>
      </c>
      <c r="L187" t="s">
        <v>979</v>
      </c>
      <c r="M187">
        <v>36.197207678883068</v>
      </c>
      <c r="N187">
        <v>303</v>
      </c>
      <c r="O187">
        <v>0</v>
      </c>
      <c r="P187">
        <v>36.090909090909093</v>
      </c>
      <c r="Q187">
        <v>121.42727272727269</v>
      </c>
      <c r="R187">
        <v>-0.1062985879739813</v>
      </c>
      <c r="S187">
        <v>80</v>
      </c>
      <c r="T187">
        <v>5</v>
      </c>
      <c r="U187">
        <v>43.25</v>
      </c>
      <c r="V187">
        <v>131</v>
      </c>
      <c r="W187">
        <v>0</v>
      </c>
      <c r="X187">
        <v>28.189024390243901</v>
      </c>
      <c r="Y187">
        <v>121</v>
      </c>
      <c r="Z187">
        <v>0</v>
      </c>
      <c r="AA187">
        <v>116.45060975609761</v>
      </c>
      <c r="AB187">
        <v>274.39999999999998</v>
      </c>
      <c r="AC187">
        <v>0</v>
      </c>
      <c r="AD187">
        <v>47.122448979591837</v>
      </c>
      <c r="AE187">
        <v>264</v>
      </c>
      <c r="AF187">
        <v>0</v>
      </c>
      <c r="AG187">
        <v>105.5040816326531</v>
      </c>
      <c r="AH187">
        <v>200</v>
      </c>
      <c r="AI187">
        <v>0</v>
      </c>
      <c r="AJ187">
        <v>14</v>
      </c>
      <c r="AK187">
        <v>100</v>
      </c>
      <c r="AL187">
        <v>1900</v>
      </c>
      <c r="AM187">
        <v>668</v>
      </c>
      <c r="AN187">
        <v>2568</v>
      </c>
      <c r="AO187">
        <v>42</v>
      </c>
      <c r="AP187">
        <v>434</v>
      </c>
    </row>
    <row r="188" spans="1:42" x14ac:dyDescent="0.3">
      <c r="A188" t="s">
        <v>1477</v>
      </c>
      <c r="B188" t="s">
        <v>15</v>
      </c>
      <c r="C188" t="s">
        <v>5</v>
      </c>
      <c r="D188" t="s">
        <v>67</v>
      </c>
      <c r="E188" t="s">
        <v>977</v>
      </c>
      <c r="F188">
        <v>2021</v>
      </c>
      <c r="G188">
        <v>100</v>
      </c>
      <c r="H188">
        <v>1</v>
      </c>
      <c r="I188">
        <v>1</v>
      </c>
      <c r="J188">
        <v>14</v>
      </c>
      <c r="K188">
        <v>14</v>
      </c>
      <c r="L188" t="s">
        <v>1327</v>
      </c>
      <c r="M188">
        <v>36.236013986013987</v>
      </c>
      <c r="N188">
        <v>303</v>
      </c>
      <c r="O188">
        <v>0</v>
      </c>
      <c r="P188">
        <v>35.03846153846154</v>
      </c>
      <c r="Q188">
        <v>104.65</v>
      </c>
      <c r="R188">
        <v>-1.1975524475524471</v>
      </c>
      <c r="S188">
        <v>111</v>
      </c>
      <c r="T188">
        <v>0</v>
      </c>
      <c r="U188">
        <v>37.701754385964911</v>
      </c>
      <c r="V188">
        <v>147</v>
      </c>
      <c r="W188">
        <v>1</v>
      </c>
      <c r="X188">
        <v>28.189024390243901</v>
      </c>
      <c r="Y188">
        <v>121</v>
      </c>
      <c r="Z188">
        <v>0</v>
      </c>
      <c r="AA188">
        <v>116.45060975609761</v>
      </c>
      <c r="AB188">
        <v>274.39999999999998</v>
      </c>
      <c r="AC188">
        <v>0</v>
      </c>
      <c r="AD188">
        <v>49.901639344262293</v>
      </c>
      <c r="AE188">
        <v>303</v>
      </c>
      <c r="AF188">
        <v>0</v>
      </c>
      <c r="AG188">
        <v>90.971311475409848</v>
      </c>
      <c r="AH188">
        <v>200</v>
      </c>
      <c r="AI188">
        <v>0</v>
      </c>
      <c r="AL188">
        <v>1899</v>
      </c>
      <c r="AM188">
        <v>667</v>
      </c>
      <c r="AN188">
        <v>2566</v>
      </c>
      <c r="AO188">
        <v>61</v>
      </c>
      <c r="AP188">
        <v>432</v>
      </c>
    </row>
    <row r="189" spans="1:42" x14ac:dyDescent="0.3">
      <c r="A189" t="s">
        <v>1736</v>
      </c>
      <c r="B189" t="s">
        <v>71</v>
      </c>
      <c r="C189" t="s">
        <v>5</v>
      </c>
      <c r="D189" t="s">
        <v>67</v>
      </c>
      <c r="E189" t="s">
        <v>977</v>
      </c>
      <c r="F189">
        <v>2021</v>
      </c>
      <c r="G189">
        <v>0</v>
      </c>
      <c r="H189">
        <v>0</v>
      </c>
      <c r="I189">
        <v>0</v>
      </c>
      <c r="J189">
        <v>1</v>
      </c>
      <c r="K189">
        <v>0</v>
      </c>
      <c r="L189" t="s">
        <v>1327</v>
      </c>
      <c r="M189">
        <v>36.299474605954472</v>
      </c>
      <c r="N189">
        <v>303</v>
      </c>
      <c r="O189">
        <v>0</v>
      </c>
      <c r="P189">
        <v>35.03846153846154</v>
      </c>
      <c r="Q189">
        <v>104.65</v>
      </c>
      <c r="R189">
        <v>-1.261013067492925</v>
      </c>
      <c r="S189">
        <v>111</v>
      </c>
      <c r="T189">
        <v>0</v>
      </c>
      <c r="U189">
        <v>33.333333333333343</v>
      </c>
      <c r="V189">
        <v>140</v>
      </c>
      <c r="W189">
        <v>0</v>
      </c>
      <c r="X189">
        <v>28.189024390243901</v>
      </c>
      <c r="Y189">
        <v>121</v>
      </c>
      <c r="Z189">
        <v>0</v>
      </c>
      <c r="AA189">
        <v>116.45060975609761</v>
      </c>
      <c r="AB189">
        <v>274.39999999999998</v>
      </c>
      <c r="AC189">
        <v>0</v>
      </c>
      <c r="AD189">
        <v>49.901639344262293</v>
      </c>
      <c r="AE189">
        <v>303</v>
      </c>
      <c r="AF189">
        <v>0</v>
      </c>
      <c r="AG189">
        <v>90.971311475409848</v>
      </c>
      <c r="AH189">
        <v>200</v>
      </c>
      <c r="AI189">
        <v>0</v>
      </c>
      <c r="AL189">
        <v>1899</v>
      </c>
      <c r="AM189">
        <v>667</v>
      </c>
      <c r="AN189">
        <v>2566</v>
      </c>
      <c r="AO189">
        <v>61</v>
      </c>
      <c r="AP189">
        <v>432</v>
      </c>
    </row>
    <row r="190" spans="1:42" x14ac:dyDescent="0.3">
      <c r="A190" t="s">
        <v>1432</v>
      </c>
      <c r="B190" t="s">
        <v>53</v>
      </c>
      <c r="C190" t="s">
        <v>1043</v>
      </c>
      <c r="D190" t="s">
        <v>333</v>
      </c>
      <c r="E190" t="s">
        <v>977</v>
      </c>
      <c r="F190">
        <v>2021</v>
      </c>
      <c r="G190">
        <v>138.5</v>
      </c>
      <c r="H190">
        <v>3</v>
      </c>
      <c r="I190">
        <v>0</v>
      </c>
      <c r="J190">
        <v>13</v>
      </c>
      <c r="K190">
        <v>18</v>
      </c>
      <c r="L190" t="s">
        <v>1327</v>
      </c>
      <c r="M190">
        <v>36.331578947368421</v>
      </c>
      <c r="N190">
        <v>303</v>
      </c>
      <c r="O190">
        <v>0</v>
      </c>
      <c r="P190">
        <v>36.090909090909093</v>
      </c>
      <c r="Q190">
        <v>121.42727272727269</v>
      </c>
      <c r="R190">
        <v>-0.24066985645932701</v>
      </c>
      <c r="S190">
        <v>80</v>
      </c>
      <c r="T190">
        <v>5</v>
      </c>
      <c r="U190">
        <v>19.375</v>
      </c>
      <c r="V190">
        <v>70</v>
      </c>
      <c r="W190">
        <v>1</v>
      </c>
      <c r="X190">
        <v>26.556862745098041</v>
      </c>
      <c r="Y190">
        <v>109</v>
      </c>
      <c r="Z190">
        <v>0</v>
      </c>
      <c r="AA190">
        <v>114.6301960784314</v>
      </c>
      <c r="AB190">
        <v>350</v>
      </c>
      <c r="AC190">
        <v>0</v>
      </c>
      <c r="AD190">
        <v>49.901639344262293</v>
      </c>
      <c r="AE190">
        <v>303</v>
      </c>
      <c r="AF190">
        <v>0</v>
      </c>
      <c r="AG190">
        <v>90.971311475409848</v>
      </c>
      <c r="AH190">
        <v>200</v>
      </c>
      <c r="AI190">
        <v>0</v>
      </c>
      <c r="AJ190">
        <v>22</v>
      </c>
      <c r="AK190">
        <v>169.2</v>
      </c>
      <c r="AL190">
        <v>1896</v>
      </c>
      <c r="AM190">
        <v>667</v>
      </c>
      <c r="AN190">
        <v>2563</v>
      </c>
      <c r="AO190">
        <v>39</v>
      </c>
      <c r="AP190">
        <v>668</v>
      </c>
    </row>
    <row r="191" spans="1:42" x14ac:dyDescent="0.3">
      <c r="A191" t="s">
        <v>1395</v>
      </c>
      <c r="B191" t="s">
        <v>4</v>
      </c>
      <c r="C191" t="s">
        <v>1043</v>
      </c>
      <c r="D191" t="s">
        <v>338</v>
      </c>
      <c r="E191" t="s">
        <v>977</v>
      </c>
      <c r="F191">
        <v>2021</v>
      </c>
      <c r="G191">
        <v>169.2</v>
      </c>
      <c r="H191">
        <v>1</v>
      </c>
      <c r="I191">
        <v>2</v>
      </c>
      <c r="J191">
        <v>13</v>
      </c>
      <c r="K191">
        <v>22</v>
      </c>
      <c r="L191" t="s">
        <v>1327</v>
      </c>
      <c r="M191">
        <v>36.356766256590511</v>
      </c>
      <c r="N191">
        <v>303</v>
      </c>
      <c r="O191">
        <v>0</v>
      </c>
      <c r="P191">
        <v>8.6</v>
      </c>
      <c r="Q191">
        <v>99.26</v>
      </c>
      <c r="R191">
        <v>-27.75676625659051</v>
      </c>
      <c r="S191">
        <v>22</v>
      </c>
      <c r="T191">
        <v>4</v>
      </c>
      <c r="U191">
        <v>20.68965517241379</v>
      </c>
      <c r="V191">
        <v>73</v>
      </c>
      <c r="W191">
        <v>0</v>
      </c>
      <c r="X191">
        <v>26.556862745098041</v>
      </c>
      <c r="Y191">
        <v>109</v>
      </c>
      <c r="Z191">
        <v>0</v>
      </c>
      <c r="AA191">
        <v>114.6301960784314</v>
      </c>
      <c r="AB191">
        <v>350</v>
      </c>
      <c r="AC191">
        <v>0</v>
      </c>
      <c r="AD191">
        <v>49.901639344262293</v>
      </c>
      <c r="AE191">
        <v>303</v>
      </c>
      <c r="AF191">
        <v>0</v>
      </c>
      <c r="AG191">
        <v>90.971311475409848</v>
      </c>
      <c r="AH191">
        <v>200</v>
      </c>
      <c r="AI191">
        <v>0</v>
      </c>
      <c r="AJ191">
        <v>7</v>
      </c>
      <c r="AK191">
        <v>70</v>
      </c>
      <c r="AL191">
        <v>1895</v>
      </c>
      <c r="AM191">
        <v>665</v>
      </c>
      <c r="AN191">
        <v>2560</v>
      </c>
      <c r="AO191">
        <v>2</v>
      </c>
      <c r="AP191">
        <v>665</v>
      </c>
    </row>
    <row r="192" spans="1:42" x14ac:dyDescent="0.3">
      <c r="A192" t="s">
        <v>1592</v>
      </c>
      <c r="B192" t="s">
        <v>8</v>
      </c>
      <c r="C192" t="s">
        <v>1043</v>
      </c>
      <c r="D192" t="s">
        <v>338</v>
      </c>
      <c r="E192" t="s">
        <v>977</v>
      </c>
      <c r="F192">
        <v>2021</v>
      </c>
      <c r="G192">
        <v>70</v>
      </c>
      <c r="H192">
        <v>1</v>
      </c>
      <c r="I192">
        <v>0</v>
      </c>
      <c r="J192">
        <v>10</v>
      </c>
      <c r="K192">
        <v>7</v>
      </c>
      <c r="L192" t="s">
        <v>1327</v>
      </c>
      <c r="M192">
        <v>36.408450704225352</v>
      </c>
      <c r="N192">
        <v>303</v>
      </c>
      <c r="O192">
        <v>0</v>
      </c>
      <c r="P192">
        <v>8.6</v>
      </c>
      <c r="Q192">
        <v>99.26</v>
      </c>
      <c r="R192">
        <v>-27.808450704225351</v>
      </c>
      <c r="S192">
        <v>22</v>
      </c>
      <c r="T192">
        <v>4</v>
      </c>
      <c r="U192">
        <v>28.567567567567568</v>
      </c>
      <c r="V192">
        <v>74</v>
      </c>
      <c r="W192">
        <v>0</v>
      </c>
      <c r="X192">
        <v>26.556862745098041</v>
      </c>
      <c r="Y192">
        <v>109</v>
      </c>
      <c r="Z192">
        <v>0</v>
      </c>
      <c r="AA192">
        <v>114.6301960784314</v>
      </c>
      <c r="AB192">
        <v>350</v>
      </c>
      <c r="AC192">
        <v>0</v>
      </c>
      <c r="AD192">
        <v>49.901639344262293</v>
      </c>
      <c r="AE192">
        <v>303</v>
      </c>
      <c r="AF192">
        <v>0</v>
      </c>
      <c r="AG192">
        <v>90.971311475409848</v>
      </c>
      <c r="AH192">
        <v>200</v>
      </c>
      <c r="AI192">
        <v>0</v>
      </c>
      <c r="AJ192">
        <v>8</v>
      </c>
      <c r="AK192">
        <v>80</v>
      </c>
      <c r="AL192">
        <v>1894</v>
      </c>
      <c r="AM192">
        <v>665</v>
      </c>
      <c r="AN192">
        <v>2559</v>
      </c>
      <c r="AO192">
        <v>1</v>
      </c>
      <c r="AP192">
        <v>664</v>
      </c>
    </row>
    <row r="193" spans="1:42" x14ac:dyDescent="0.3">
      <c r="A193" t="s">
        <v>1574</v>
      </c>
      <c r="B193" t="s">
        <v>40</v>
      </c>
      <c r="C193" t="s">
        <v>1043</v>
      </c>
      <c r="D193" t="s">
        <v>333</v>
      </c>
      <c r="E193" t="s">
        <v>1009</v>
      </c>
      <c r="F193">
        <v>2021</v>
      </c>
      <c r="G193">
        <v>80</v>
      </c>
      <c r="H193">
        <v>1</v>
      </c>
      <c r="I193">
        <v>0</v>
      </c>
      <c r="J193">
        <v>10</v>
      </c>
      <c r="K193">
        <v>8</v>
      </c>
      <c r="L193" t="s">
        <v>1327</v>
      </c>
      <c r="M193">
        <v>36.458553791887127</v>
      </c>
      <c r="N193">
        <v>303</v>
      </c>
      <c r="O193">
        <v>0</v>
      </c>
      <c r="P193">
        <v>36.090909090909093</v>
      </c>
      <c r="Q193">
        <v>121.42727272727269</v>
      </c>
      <c r="R193">
        <v>-0.36764470097803331</v>
      </c>
      <c r="S193">
        <v>80</v>
      </c>
      <c r="T193">
        <v>5</v>
      </c>
      <c r="U193">
        <v>28.12903225806452</v>
      </c>
      <c r="V193">
        <v>79</v>
      </c>
      <c r="W193">
        <v>0</v>
      </c>
      <c r="X193">
        <v>26.556862745098041</v>
      </c>
      <c r="Y193">
        <v>109</v>
      </c>
      <c r="Z193">
        <v>0</v>
      </c>
      <c r="AA193">
        <v>114.6301960784314</v>
      </c>
      <c r="AB193">
        <v>350</v>
      </c>
      <c r="AC193">
        <v>0</v>
      </c>
      <c r="AD193">
        <v>38.25</v>
      </c>
      <c r="AE193">
        <v>138</v>
      </c>
      <c r="AF193">
        <v>0</v>
      </c>
      <c r="AG193">
        <v>106.2954545454546</v>
      </c>
      <c r="AH193">
        <v>230</v>
      </c>
      <c r="AI193">
        <v>0</v>
      </c>
      <c r="AJ193">
        <v>76</v>
      </c>
      <c r="AK193">
        <v>131.80000000000001</v>
      </c>
      <c r="AL193">
        <v>1893</v>
      </c>
      <c r="AM193">
        <v>665</v>
      </c>
      <c r="AN193">
        <v>2558</v>
      </c>
      <c r="AO193">
        <v>38</v>
      </c>
      <c r="AP193">
        <v>663</v>
      </c>
    </row>
    <row r="194" spans="1:42" x14ac:dyDescent="0.3">
      <c r="A194" t="s">
        <v>1256</v>
      </c>
      <c r="B194" t="s">
        <v>60</v>
      </c>
      <c r="C194" t="s">
        <v>1043</v>
      </c>
      <c r="D194" t="s">
        <v>67</v>
      </c>
      <c r="E194" t="s">
        <v>1009</v>
      </c>
      <c r="F194">
        <v>2021</v>
      </c>
      <c r="G194">
        <v>153.6</v>
      </c>
      <c r="H194">
        <v>5</v>
      </c>
      <c r="I194">
        <v>1</v>
      </c>
      <c r="J194">
        <v>28</v>
      </c>
      <c r="K194">
        <v>43</v>
      </c>
      <c r="L194" t="s">
        <v>979</v>
      </c>
      <c r="M194">
        <v>36.446996466431102</v>
      </c>
      <c r="N194">
        <v>303</v>
      </c>
      <c r="O194">
        <v>0</v>
      </c>
      <c r="P194">
        <v>35.03846153846154</v>
      </c>
      <c r="Q194">
        <v>104.65</v>
      </c>
      <c r="R194">
        <v>-1.4085349279695549</v>
      </c>
      <c r="S194">
        <v>111</v>
      </c>
      <c r="T194">
        <v>0</v>
      </c>
      <c r="U194">
        <v>25.96875</v>
      </c>
      <c r="V194">
        <v>94</v>
      </c>
      <c r="W194">
        <v>0</v>
      </c>
      <c r="X194">
        <v>26.556862745098041</v>
      </c>
      <c r="Y194">
        <v>109</v>
      </c>
      <c r="Z194">
        <v>0</v>
      </c>
      <c r="AA194">
        <v>114.6301960784314</v>
      </c>
      <c r="AB194">
        <v>350</v>
      </c>
      <c r="AC194">
        <v>0</v>
      </c>
      <c r="AD194">
        <v>38.25</v>
      </c>
      <c r="AE194">
        <v>138</v>
      </c>
      <c r="AF194">
        <v>0</v>
      </c>
      <c r="AG194">
        <v>106.2954545454546</v>
      </c>
      <c r="AH194">
        <v>230</v>
      </c>
      <c r="AI194">
        <v>0</v>
      </c>
      <c r="AJ194">
        <v>33</v>
      </c>
      <c r="AK194">
        <v>110</v>
      </c>
      <c r="AL194">
        <v>1888</v>
      </c>
      <c r="AM194">
        <v>664</v>
      </c>
      <c r="AN194">
        <v>2552</v>
      </c>
      <c r="AO194">
        <v>55</v>
      </c>
      <c r="AP194">
        <v>657</v>
      </c>
    </row>
    <row r="195" spans="1:42" x14ac:dyDescent="0.3">
      <c r="A195" t="s">
        <v>1310</v>
      </c>
      <c r="B195" t="s">
        <v>11</v>
      </c>
      <c r="C195" t="s">
        <v>1043</v>
      </c>
      <c r="D195" t="s">
        <v>333</v>
      </c>
      <c r="E195" t="s">
        <v>1009</v>
      </c>
      <c r="F195">
        <v>2021</v>
      </c>
      <c r="G195">
        <v>110</v>
      </c>
      <c r="H195">
        <v>4</v>
      </c>
      <c r="I195">
        <v>0</v>
      </c>
      <c r="J195">
        <v>30</v>
      </c>
      <c r="K195">
        <v>33</v>
      </c>
      <c r="L195" t="s">
        <v>979</v>
      </c>
      <c r="M195">
        <v>36.453097345132747</v>
      </c>
      <c r="N195">
        <v>303</v>
      </c>
      <c r="O195">
        <v>0</v>
      </c>
      <c r="P195">
        <v>36.090909090909093</v>
      </c>
      <c r="Q195">
        <v>121.42727272727269</v>
      </c>
      <c r="R195">
        <v>-0.36218825422365342</v>
      </c>
      <c r="S195">
        <v>80</v>
      </c>
      <c r="T195">
        <v>5</v>
      </c>
      <c r="U195">
        <v>31.852941176470591</v>
      </c>
      <c r="V195">
        <v>109</v>
      </c>
      <c r="W195">
        <v>0</v>
      </c>
      <c r="X195">
        <v>26.556862745098041</v>
      </c>
      <c r="Y195">
        <v>109</v>
      </c>
      <c r="Z195">
        <v>0</v>
      </c>
      <c r="AA195">
        <v>114.6301960784314</v>
      </c>
      <c r="AB195">
        <v>350</v>
      </c>
      <c r="AC195">
        <v>0</v>
      </c>
      <c r="AD195">
        <v>38.25</v>
      </c>
      <c r="AE195">
        <v>138</v>
      </c>
      <c r="AF195">
        <v>0</v>
      </c>
      <c r="AG195">
        <v>106.2954545454546</v>
      </c>
      <c r="AH195">
        <v>230</v>
      </c>
      <c r="AI195">
        <v>0</v>
      </c>
      <c r="AL195">
        <v>1884</v>
      </c>
      <c r="AM195">
        <v>664</v>
      </c>
      <c r="AN195">
        <v>2548</v>
      </c>
      <c r="AO195">
        <v>34</v>
      </c>
      <c r="AP195">
        <v>653</v>
      </c>
    </row>
    <row r="196" spans="1:42" x14ac:dyDescent="0.3">
      <c r="A196" t="s">
        <v>1008</v>
      </c>
      <c r="B196" t="s">
        <v>76</v>
      </c>
      <c r="C196" t="s">
        <v>83</v>
      </c>
      <c r="D196" t="s">
        <v>218</v>
      </c>
      <c r="E196" t="s">
        <v>1009</v>
      </c>
      <c r="F196">
        <v>2021</v>
      </c>
      <c r="G196">
        <v>45.150000000000013</v>
      </c>
      <c r="H196">
        <v>15</v>
      </c>
      <c r="I196">
        <v>1</v>
      </c>
      <c r="J196">
        <v>248</v>
      </c>
      <c r="K196">
        <v>138</v>
      </c>
      <c r="L196" t="s">
        <v>979</v>
      </c>
      <c r="M196">
        <v>36.273049645390067</v>
      </c>
      <c r="N196">
        <v>303</v>
      </c>
      <c r="O196">
        <v>0</v>
      </c>
      <c r="P196">
        <v>46.46153846153846</v>
      </c>
      <c r="Q196">
        <v>74.492307692307705</v>
      </c>
      <c r="R196">
        <v>10.188488816148389</v>
      </c>
      <c r="S196">
        <v>138</v>
      </c>
      <c r="T196">
        <v>0</v>
      </c>
      <c r="U196">
        <v>48.215686274509807</v>
      </c>
      <c r="V196">
        <v>187</v>
      </c>
      <c r="W196">
        <v>0</v>
      </c>
      <c r="X196">
        <v>65.166666666666671</v>
      </c>
      <c r="Y196">
        <v>303</v>
      </c>
      <c r="Z196">
        <v>1</v>
      </c>
      <c r="AA196">
        <v>55.904545454545449</v>
      </c>
      <c r="AB196">
        <v>161.6</v>
      </c>
      <c r="AC196">
        <v>16.600000000000001</v>
      </c>
      <c r="AD196">
        <v>38.25</v>
      </c>
      <c r="AE196">
        <v>138</v>
      </c>
      <c r="AF196">
        <v>0</v>
      </c>
      <c r="AG196">
        <v>106.2954545454546</v>
      </c>
      <c r="AH196">
        <v>230</v>
      </c>
      <c r="AI196">
        <v>0</v>
      </c>
      <c r="AL196">
        <v>1869</v>
      </c>
      <c r="AM196">
        <v>663</v>
      </c>
      <c r="AN196">
        <v>2532</v>
      </c>
      <c r="AO196">
        <v>41</v>
      </c>
      <c r="AP196">
        <v>371</v>
      </c>
    </row>
    <row r="197" spans="1:42" x14ac:dyDescent="0.3">
      <c r="A197" t="s">
        <v>1097</v>
      </c>
      <c r="B197" t="s">
        <v>76</v>
      </c>
      <c r="C197" t="s">
        <v>83</v>
      </c>
      <c r="D197" t="s">
        <v>347</v>
      </c>
      <c r="E197" t="s">
        <v>1021</v>
      </c>
      <c r="F197">
        <v>2021</v>
      </c>
      <c r="G197">
        <v>27.95</v>
      </c>
      <c r="H197">
        <v>8</v>
      </c>
      <c r="I197">
        <v>1</v>
      </c>
      <c r="J197">
        <v>140</v>
      </c>
      <c r="K197">
        <v>78</v>
      </c>
      <c r="L197" t="s">
        <v>979</v>
      </c>
      <c r="M197">
        <v>36.198934280639428</v>
      </c>
      <c r="N197">
        <v>303</v>
      </c>
      <c r="O197">
        <v>0</v>
      </c>
      <c r="P197">
        <v>61</v>
      </c>
      <c r="Q197">
        <v>49.54999999999999</v>
      </c>
      <c r="R197">
        <v>24.801065719360569</v>
      </c>
      <c r="S197">
        <v>103</v>
      </c>
      <c r="T197">
        <v>2</v>
      </c>
      <c r="U197">
        <v>48.215686274509807</v>
      </c>
      <c r="V197">
        <v>187</v>
      </c>
      <c r="W197">
        <v>0</v>
      </c>
      <c r="X197">
        <v>65.166666666666671</v>
      </c>
      <c r="Y197">
        <v>303</v>
      </c>
      <c r="Z197">
        <v>1</v>
      </c>
      <c r="AA197">
        <v>55.904545454545449</v>
      </c>
      <c r="AB197">
        <v>161.6</v>
      </c>
      <c r="AC197">
        <v>16.600000000000001</v>
      </c>
      <c r="AD197">
        <v>37</v>
      </c>
      <c r="AE197">
        <v>124</v>
      </c>
      <c r="AF197">
        <v>0</v>
      </c>
      <c r="AG197">
        <v>84.736842105263165</v>
      </c>
      <c r="AH197">
        <v>221.4</v>
      </c>
      <c r="AI197">
        <v>0</v>
      </c>
      <c r="AL197">
        <v>1861</v>
      </c>
      <c r="AM197">
        <v>662</v>
      </c>
      <c r="AN197">
        <v>2523</v>
      </c>
      <c r="AO197">
        <v>16</v>
      </c>
      <c r="AP197">
        <v>362</v>
      </c>
    </row>
    <row r="198" spans="1:42" x14ac:dyDescent="0.3">
      <c r="A198" t="s">
        <v>1048</v>
      </c>
      <c r="B198" t="s">
        <v>76</v>
      </c>
      <c r="C198" t="s">
        <v>83</v>
      </c>
      <c r="D198" t="s">
        <v>218</v>
      </c>
      <c r="E198" t="s">
        <v>1021</v>
      </c>
      <c r="F198">
        <v>2021</v>
      </c>
      <c r="G198">
        <v>57.75</v>
      </c>
      <c r="H198">
        <v>13</v>
      </c>
      <c r="I198">
        <v>2</v>
      </c>
      <c r="J198">
        <v>187</v>
      </c>
      <c r="K198">
        <v>104</v>
      </c>
      <c r="L198" t="s">
        <v>979</v>
      </c>
      <c r="M198">
        <v>36.078291814946617</v>
      </c>
      <c r="N198">
        <v>303</v>
      </c>
      <c r="O198">
        <v>0</v>
      </c>
      <c r="P198">
        <v>46.46153846153846</v>
      </c>
      <c r="Q198">
        <v>74.492307692307705</v>
      </c>
      <c r="R198">
        <v>10.383246646591839</v>
      </c>
      <c r="S198">
        <v>138</v>
      </c>
      <c r="T198">
        <v>0</v>
      </c>
      <c r="U198">
        <v>48.215686274509807</v>
      </c>
      <c r="V198">
        <v>187</v>
      </c>
      <c r="W198">
        <v>0</v>
      </c>
      <c r="X198">
        <v>65.166666666666671</v>
      </c>
      <c r="Y198">
        <v>303</v>
      </c>
      <c r="Z198">
        <v>1</v>
      </c>
      <c r="AA198">
        <v>55.904545454545449</v>
      </c>
      <c r="AB198">
        <v>161.6</v>
      </c>
      <c r="AC198">
        <v>16.600000000000001</v>
      </c>
      <c r="AD198">
        <v>37</v>
      </c>
      <c r="AE198">
        <v>124</v>
      </c>
      <c r="AF198">
        <v>0</v>
      </c>
      <c r="AG198">
        <v>84.736842105263165</v>
      </c>
      <c r="AH198">
        <v>221.4</v>
      </c>
      <c r="AI198">
        <v>0</v>
      </c>
      <c r="AL198">
        <v>1848</v>
      </c>
      <c r="AM198">
        <v>660</v>
      </c>
      <c r="AN198">
        <v>2508</v>
      </c>
      <c r="AO198">
        <v>26</v>
      </c>
      <c r="AP198">
        <v>347</v>
      </c>
    </row>
    <row r="199" spans="1:42" x14ac:dyDescent="0.3">
      <c r="A199" t="s">
        <v>1235</v>
      </c>
      <c r="B199" t="s">
        <v>76</v>
      </c>
      <c r="C199" t="s">
        <v>83</v>
      </c>
      <c r="D199" t="s">
        <v>290</v>
      </c>
      <c r="E199" t="s">
        <v>1021</v>
      </c>
      <c r="F199">
        <v>2021</v>
      </c>
      <c r="G199">
        <v>34.400000000000013</v>
      </c>
      <c r="H199">
        <v>6</v>
      </c>
      <c r="I199">
        <v>0</v>
      </c>
      <c r="J199">
        <v>86</v>
      </c>
      <c r="K199">
        <v>48</v>
      </c>
      <c r="L199" t="s">
        <v>979</v>
      </c>
      <c r="M199">
        <v>36.057040998217467</v>
      </c>
      <c r="N199">
        <v>303</v>
      </c>
      <c r="O199">
        <v>0</v>
      </c>
      <c r="P199">
        <v>52.166666666666657</v>
      </c>
      <c r="Q199">
        <v>103.6666666666667</v>
      </c>
      <c r="R199">
        <v>16.109625668449201</v>
      </c>
      <c r="S199">
        <v>137</v>
      </c>
      <c r="T199">
        <v>11</v>
      </c>
      <c r="U199">
        <v>48.215686274509807</v>
      </c>
      <c r="V199">
        <v>187</v>
      </c>
      <c r="W199">
        <v>0</v>
      </c>
      <c r="X199">
        <v>65.166666666666671</v>
      </c>
      <c r="Y199">
        <v>303</v>
      </c>
      <c r="Z199">
        <v>1</v>
      </c>
      <c r="AA199">
        <v>55.904545454545449</v>
      </c>
      <c r="AB199">
        <v>161.6</v>
      </c>
      <c r="AC199">
        <v>16.600000000000001</v>
      </c>
      <c r="AD199">
        <v>37</v>
      </c>
      <c r="AE199">
        <v>124</v>
      </c>
      <c r="AF199">
        <v>0</v>
      </c>
      <c r="AG199">
        <v>84.736842105263165</v>
      </c>
      <c r="AH199">
        <v>221.4</v>
      </c>
      <c r="AI199">
        <v>0</v>
      </c>
      <c r="AL199">
        <v>1842</v>
      </c>
      <c r="AM199">
        <v>660</v>
      </c>
      <c r="AN199">
        <v>2502</v>
      </c>
      <c r="AO199">
        <v>32</v>
      </c>
      <c r="AP199">
        <v>341</v>
      </c>
    </row>
    <row r="200" spans="1:42" x14ac:dyDescent="0.3">
      <c r="A200" t="s">
        <v>1145</v>
      </c>
      <c r="B200" t="s">
        <v>15</v>
      </c>
      <c r="C200" t="s">
        <v>83</v>
      </c>
      <c r="D200" t="s">
        <v>294</v>
      </c>
      <c r="E200" t="s">
        <v>1007</v>
      </c>
      <c r="F200">
        <v>2021</v>
      </c>
      <c r="G200">
        <v>43.5</v>
      </c>
      <c r="H200">
        <v>8</v>
      </c>
      <c r="I200">
        <v>0</v>
      </c>
      <c r="J200">
        <v>115</v>
      </c>
      <c r="K200">
        <v>64</v>
      </c>
      <c r="L200" t="s">
        <v>979</v>
      </c>
      <c r="M200">
        <v>36.00714285714286</v>
      </c>
      <c r="N200">
        <v>303</v>
      </c>
      <c r="O200">
        <v>0</v>
      </c>
      <c r="P200">
        <v>49</v>
      </c>
      <c r="Q200">
        <v>68.650000000000006</v>
      </c>
      <c r="R200">
        <v>12.99285714285714</v>
      </c>
      <c r="S200">
        <v>122</v>
      </c>
      <c r="T200">
        <v>1</v>
      </c>
      <c r="U200">
        <v>37.701754385964911</v>
      </c>
      <c r="V200">
        <v>147</v>
      </c>
      <c r="W200">
        <v>1</v>
      </c>
      <c r="X200">
        <v>65.166666666666671</v>
      </c>
      <c r="Y200">
        <v>303</v>
      </c>
      <c r="Z200">
        <v>1</v>
      </c>
      <c r="AA200">
        <v>55.904545454545449</v>
      </c>
      <c r="AB200">
        <v>161.6</v>
      </c>
      <c r="AC200">
        <v>16.600000000000001</v>
      </c>
      <c r="AD200">
        <v>37.180327868852459</v>
      </c>
      <c r="AE200">
        <v>140</v>
      </c>
      <c r="AF200">
        <v>0</v>
      </c>
      <c r="AG200">
        <v>82.911475409836058</v>
      </c>
      <c r="AH200">
        <v>224.4</v>
      </c>
      <c r="AI200">
        <v>0</v>
      </c>
      <c r="AL200">
        <v>1834</v>
      </c>
      <c r="AM200">
        <v>660</v>
      </c>
      <c r="AN200">
        <v>2494</v>
      </c>
      <c r="AO200">
        <v>18</v>
      </c>
      <c r="AP200">
        <v>333</v>
      </c>
    </row>
    <row r="201" spans="1:42" x14ac:dyDescent="0.3">
      <c r="A201" t="s">
        <v>1301</v>
      </c>
      <c r="B201" t="s">
        <v>56</v>
      </c>
      <c r="C201" t="s">
        <v>1043</v>
      </c>
      <c r="D201" t="s">
        <v>9</v>
      </c>
      <c r="E201" t="s">
        <v>1036</v>
      </c>
      <c r="F201">
        <v>2021</v>
      </c>
      <c r="G201">
        <v>145.80000000000001</v>
      </c>
      <c r="H201">
        <v>4</v>
      </c>
      <c r="I201">
        <v>1</v>
      </c>
      <c r="J201">
        <v>24</v>
      </c>
      <c r="K201">
        <v>35</v>
      </c>
      <c r="L201" t="s">
        <v>979</v>
      </c>
      <c r="M201">
        <v>36.008944543828257</v>
      </c>
      <c r="N201">
        <v>303</v>
      </c>
      <c r="O201">
        <v>0</v>
      </c>
      <c r="P201">
        <v>38.36</v>
      </c>
      <c r="Q201">
        <v>122.748</v>
      </c>
      <c r="R201">
        <v>2.3510554561717361</v>
      </c>
      <c r="S201">
        <v>131</v>
      </c>
      <c r="T201">
        <v>1</v>
      </c>
      <c r="U201">
        <v>25.6</v>
      </c>
      <c r="V201">
        <v>105</v>
      </c>
      <c r="W201">
        <v>0</v>
      </c>
      <c r="X201">
        <v>26.556862745098041</v>
      </c>
      <c r="Y201">
        <v>109</v>
      </c>
      <c r="Z201">
        <v>0</v>
      </c>
      <c r="AA201">
        <v>114.6301960784314</v>
      </c>
      <c r="AB201">
        <v>350</v>
      </c>
      <c r="AC201">
        <v>0</v>
      </c>
      <c r="AD201">
        <v>26.732758620689651</v>
      </c>
      <c r="AE201">
        <v>114</v>
      </c>
      <c r="AF201">
        <v>0</v>
      </c>
      <c r="AG201">
        <v>115.31896551724139</v>
      </c>
      <c r="AH201">
        <v>350</v>
      </c>
      <c r="AI201">
        <v>0</v>
      </c>
      <c r="AJ201">
        <v>14</v>
      </c>
      <c r="AK201">
        <v>82.4</v>
      </c>
      <c r="AL201">
        <v>1830</v>
      </c>
      <c r="AM201">
        <v>659</v>
      </c>
      <c r="AN201">
        <v>2489</v>
      </c>
      <c r="AO201">
        <v>71</v>
      </c>
      <c r="AP201">
        <v>648</v>
      </c>
    </row>
    <row r="202" spans="1:42" x14ac:dyDescent="0.3">
      <c r="A202" t="s">
        <v>1478</v>
      </c>
      <c r="B202" t="s">
        <v>4</v>
      </c>
      <c r="C202" t="s">
        <v>1043</v>
      </c>
      <c r="D202" t="s">
        <v>9</v>
      </c>
      <c r="E202" t="s">
        <v>1047</v>
      </c>
      <c r="F202">
        <v>2021</v>
      </c>
      <c r="G202">
        <v>82.4</v>
      </c>
      <c r="H202">
        <v>0</v>
      </c>
      <c r="I202">
        <v>1</v>
      </c>
      <c r="J202">
        <v>17</v>
      </c>
      <c r="K202">
        <v>14</v>
      </c>
      <c r="L202" t="s">
        <v>1327</v>
      </c>
      <c r="M202">
        <v>36.048387096774192</v>
      </c>
      <c r="N202">
        <v>303</v>
      </c>
      <c r="O202">
        <v>0</v>
      </c>
      <c r="P202">
        <v>38.36</v>
      </c>
      <c r="Q202">
        <v>122.748</v>
      </c>
      <c r="R202">
        <v>2.3116129032258068</v>
      </c>
      <c r="S202">
        <v>131</v>
      </c>
      <c r="T202">
        <v>1</v>
      </c>
      <c r="U202">
        <v>20.68965517241379</v>
      </c>
      <c r="V202">
        <v>73</v>
      </c>
      <c r="W202">
        <v>0</v>
      </c>
      <c r="X202">
        <v>26.556862745098041</v>
      </c>
      <c r="Y202">
        <v>109</v>
      </c>
      <c r="Z202">
        <v>0</v>
      </c>
      <c r="AA202">
        <v>114.6301960784314</v>
      </c>
      <c r="AB202">
        <v>350</v>
      </c>
      <c r="AC202">
        <v>0</v>
      </c>
      <c r="AD202">
        <v>27.9758064516129</v>
      </c>
      <c r="AE202">
        <v>105</v>
      </c>
      <c r="AF202">
        <v>0</v>
      </c>
      <c r="AG202">
        <v>110.46935483870971</v>
      </c>
      <c r="AH202">
        <v>280</v>
      </c>
      <c r="AI202">
        <v>0</v>
      </c>
      <c r="AL202">
        <v>1830</v>
      </c>
      <c r="AM202">
        <v>658</v>
      </c>
      <c r="AN202">
        <v>2488</v>
      </c>
      <c r="AO202">
        <v>70</v>
      </c>
      <c r="AP202">
        <v>647</v>
      </c>
    </row>
    <row r="203" spans="1:42" x14ac:dyDescent="0.3">
      <c r="A203" t="s">
        <v>1151</v>
      </c>
      <c r="B203" t="s">
        <v>40</v>
      </c>
      <c r="C203" t="s">
        <v>1043</v>
      </c>
      <c r="D203" t="s">
        <v>64</v>
      </c>
      <c r="E203" t="s">
        <v>1047</v>
      </c>
      <c r="F203">
        <v>2021</v>
      </c>
      <c r="G203">
        <v>121.2</v>
      </c>
      <c r="H203">
        <v>5</v>
      </c>
      <c r="I203">
        <v>2</v>
      </c>
      <c r="J203">
        <v>52</v>
      </c>
      <c r="K203">
        <v>63</v>
      </c>
      <c r="L203" t="s">
        <v>979</v>
      </c>
      <c r="M203">
        <v>36</v>
      </c>
      <c r="N203">
        <v>303</v>
      </c>
      <c r="O203">
        <v>0</v>
      </c>
      <c r="P203">
        <v>26</v>
      </c>
      <c r="Q203">
        <v>94.26964285714287</v>
      </c>
      <c r="R203">
        <v>-10</v>
      </c>
      <c r="S203">
        <v>187</v>
      </c>
      <c r="T203">
        <v>0</v>
      </c>
      <c r="U203">
        <v>28.12903225806452</v>
      </c>
      <c r="V203">
        <v>79</v>
      </c>
      <c r="W203">
        <v>0</v>
      </c>
      <c r="X203">
        <v>26.556862745098041</v>
      </c>
      <c r="Y203">
        <v>109</v>
      </c>
      <c r="Z203">
        <v>0</v>
      </c>
      <c r="AA203">
        <v>114.6301960784314</v>
      </c>
      <c r="AB203">
        <v>350</v>
      </c>
      <c r="AC203">
        <v>0</v>
      </c>
      <c r="AD203">
        <v>27.9758064516129</v>
      </c>
      <c r="AE203">
        <v>105</v>
      </c>
      <c r="AF203">
        <v>0</v>
      </c>
      <c r="AG203">
        <v>110.46935483870971</v>
      </c>
      <c r="AH203">
        <v>280</v>
      </c>
      <c r="AI203">
        <v>0</v>
      </c>
      <c r="AJ203">
        <v>44</v>
      </c>
      <c r="AK203">
        <v>146.69999999999999</v>
      </c>
      <c r="AL203">
        <v>1825</v>
      </c>
      <c r="AM203">
        <v>656</v>
      </c>
      <c r="AN203">
        <v>2481</v>
      </c>
      <c r="AO203">
        <v>75</v>
      </c>
      <c r="AP203">
        <v>640</v>
      </c>
    </row>
    <row r="204" spans="1:42" x14ac:dyDescent="0.3">
      <c r="A204" t="s">
        <v>1251</v>
      </c>
      <c r="B204" t="s">
        <v>8</v>
      </c>
      <c r="C204" t="s">
        <v>1043</v>
      </c>
      <c r="D204" t="s">
        <v>64</v>
      </c>
      <c r="E204" t="s">
        <v>1047</v>
      </c>
      <c r="F204">
        <v>2021</v>
      </c>
      <c r="G204">
        <v>146.69999999999999</v>
      </c>
      <c r="H204">
        <v>3</v>
      </c>
      <c r="I204">
        <v>3</v>
      </c>
      <c r="J204">
        <v>30</v>
      </c>
      <c r="K204">
        <v>44</v>
      </c>
      <c r="L204" t="s">
        <v>979</v>
      </c>
      <c r="M204">
        <v>35.985611510791372</v>
      </c>
      <c r="N204">
        <v>303</v>
      </c>
      <c r="O204">
        <v>0</v>
      </c>
      <c r="P204">
        <v>26</v>
      </c>
      <c r="Q204">
        <v>94.26964285714287</v>
      </c>
      <c r="R204">
        <v>-9.9856115107913652</v>
      </c>
      <c r="S204">
        <v>187</v>
      </c>
      <c r="T204">
        <v>0</v>
      </c>
      <c r="U204">
        <v>28.567567567567568</v>
      </c>
      <c r="V204">
        <v>74</v>
      </c>
      <c r="W204">
        <v>0</v>
      </c>
      <c r="X204">
        <v>26.556862745098041</v>
      </c>
      <c r="Y204">
        <v>109</v>
      </c>
      <c r="Z204">
        <v>0</v>
      </c>
      <c r="AA204">
        <v>114.6301960784314</v>
      </c>
      <c r="AB204">
        <v>350</v>
      </c>
      <c r="AC204">
        <v>0</v>
      </c>
      <c r="AD204">
        <v>27.9758064516129</v>
      </c>
      <c r="AE204">
        <v>105</v>
      </c>
      <c r="AF204">
        <v>0</v>
      </c>
      <c r="AG204">
        <v>110.46935483870971</v>
      </c>
      <c r="AH204">
        <v>280</v>
      </c>
      <c r="AI204">
        <v>0</v>
      </c>
      <c r="AJ204">
        <v>32</v>
      </c>
      <c r="AK204">
        <v>128</v>
      </c>
      <c r="AL204">
        <v>1822</v>
      </c>
      <c r="AM204">
        <v>653</v>
      </c>
      <c r="AN204">
        <v>2475</v>
      </c>
      <c r="AO204">
        <v>69</v>
      </c>
      <c r="AP204">
        <v>634</v>
      </c>
    </row>
    <row r="205" spans="1:42" x14ac:dyDescent="0.3">
      <c r="A205" t="s">
        <v>1314</v>
      </c>
      <c r="B205" t="s">
        <v>53</v>
      </c>
      <c r="C205" t="s">
        <v>1043</v>
      </c>
      <c r="D205" t="s">
        <v>64</v>
      </c>
      <c r="E205" t="s">
        <v>1047</v>
      </c>
      <c r="F205">
        <v>2021</v>
      </c>
      <c r="G205">
        <v>128</v>
      </c>
      <c r="H205">
        <v>2</v>
      </c>
      <c r="I205">
        <v>2</v>
      </c>
      <c r="J205">
        <v>25</v>
      </c>
      <c r="K205">
        <v>32</v>
      </c>
      <c r="L205" t="s">
        <v>979</v>
      </c>
      <c r="M205">
        <v>35.992792792792791</v>
      </c>
      <c r="N205">
        <v>303</v>
      </c>
      <c r="O205">
        <v>0</v>
      </c>
      <c r="P205">
        <v>26</v>
      </c>
      <c r="Q205">
        <v>94.26964285714287</v>
      </c>
      <c r="R205">
        <v>-9.9927927927927911</v>
      </c>
      <c r="S205">
        <v>187</v>
      </c>
      <c r="T205">
        <v>0</v>
      </c>
      <c r="U205">
        <v>19.375</v>
      </c>
      <c r="V205">
        <v>70</v>
      </c>
      <c r="W205">
        <v>1</v>
      </c>
      <c r="X205">
        <v>26.556862745098041</v>
      </c>
      <c r="Y205">
        <v>109</v>
      </c>
      <c r="Z205">
        <v>0</v>
      </c>
      <c r="AA205">
        <v>114.6301960784314</v>
      </c>
      <c r="AB205">
        <v>350</v>
      </c>
      <c r="AC205">
        <v>0</v>
      </c>
      <c r="AD205">
        <v>27.9758064516129</v>
      </c>
      <c r="AE205">
        <v>105</v>
      </c>
      <c r="AF205">
        <v>0</v>
      </c>
      <c r="AG205">
        <v>110.46935483870971</v>
      </c>
      <c r="AH205">
        <v>280</v>
      </c>
      <c r="AI205">
        <v>0</v>
      </c>
      <c r="AJ205">
        <v>43</v>
      </c>
      <c r="AK205">
        <v>134.4</v>
      </c>
      <c r="AL205">
        <v>1820</v>
      </c>
      <c r="AM205">
        <v>651</v>
      </c>
      <c r="AN205">
        <v>2471</v>
      </c>
      <c r="AO205">
        <v>65</v>
      </c>
      <c r="AP205">
        <v>630</v>
      </c>
    </row>
    <row r="206" spans="1:42" x14ac:dyDescent="0.3">
      <c r="A206" t="s">
        <v>1257</v>
      </c>
      <c r="B206" t="s">
        <v>11</v>
      </c>
      <c r="C206" t="s">
        <v>1043</v>
      </c>
      <c r="D206" t="s">
        <v>64</v>
      </c>
      <c r="E206" t="s">
        <v>1047</v>
      </c>
      <c r="F206">
        <v>2021</v>
      </c>
      <c r="G206">
        <v>134.4</v>
      </c>
      <c r="H206">
        <v>3</v>
      </c>
      <c r="I206">
        <v>1</v>
      </c>
      <c r="J206">
        <v>32</v>
      </c>
      <c r="K206">
        <v>43</v>
      </c>
      <c r="L206" t="s">
        <v>979</v>
      </c>
      <c r="M206">
        <v>35.98014440433213</v>
      </c>
      <c r="N206">
        <v>303</v>
      </c>
      <c r="O206">
        <v>0</v>
      </c>
      <c r="P206">
        <v>26</v>
      </c>
      <c r="Q206">
        <v>94.26964285714287</v>
      </c>
      <c r="R206">
        <v>-9.9801444043321297</v>
      </c>
      <c r="S206">
        <v>187</v>
      </c>
      <c r="T206">
        <v>0</v>
      </c>
      <c r="U206">
        <v>31.852941176470591</v>
      </c>
      <c r="V206">
        <v>109</v>
      </c>
      <c r="W206">
        <v>0</v>
      </c>
      <c r="X206">
        <v>26.556862745098041</v>
      </c>
      <c r="Y206">
        <v>109</v>
      </c>
      <c r="Z206">
        <v>0</v>
      </c>
      <c r="AA206">
        <v>114.6301960784314</v>
      </c>
      <c r="AB206">
        <v>350</v>
      </c>
      <c r="AC206">
        <v>0</v>
      </c>
      <c r="AD206">
        <v>27.9758064516129</v>
      </c>
      <c r="AE206">
        <v>105</v>
      </c>
      <c r="AF206">
        <v>0</v>
      </c>
      <c r="AG206">
        <v>110.46935483870971</v>
      </c>
      <c r="AH206">
        <v>280</v>
      </c>
      <c r="AI206">
        <v>0</v>
      </c>
      <c r="AJ206">
        <v>19</v>
      </c>
      <c r="AK206">
        <v>126.7</v>
      </c>
      <c r="AL206">
        <v>1817</v>
      </c>
      <c r="AM206">
        <v>650</v>
      </c>
      <c r="AN206">
        <v>2467</v>
      </c>
      <c r="AO206">
        <v>61</v>
      </c>
      <c r="AP206">
        <v>626</v>
      </c>
    </row>
    <row r="207" spans="1:42" x14ac:dyDescent="0.3">
      <c r="A207" t="s">
        <v>1424</v>
      </c>
      <c r="B207" t="s">
        <v>60</v>
      </c>
      <c r="C207" t="s">
        <v>1043</v>
      </c>
      <c r="D207" t="s">
        <v>64</v>
      </c>
      <c r="E207" t="s">
        <v>1047</v>
      </c>
      <c r="F207">
        <v>2021</v>
      </c>
      <c r="G207">
        <v>126.7</v>
      </c>
      <c r="H207">
        <v>1</v>
      </c>
      <c r="I207">
        <v>1</v>
      </c>
      <c r="J207">
        <v>15</v>
      </c>
      <c r="K207">
        <v>19</v>
      </c>
      <c r="L207" t="s">
        <v>1327</v>
      </c>
      <c r="M207">
        <v>36.010849909584088</v>
      </c>
      <c r="N207">
        <v>303</v>
      </c>
      <c r="O207">
        <v>0</v>
      </c>
      <c r="P207">
        <v>26</v>
      </c>
      <c r="Q207">
        <v>94.26964285714287</v>
      </c>
      <c r="R207">
        <v>-10.01084990958409</v>
      </c>
      <c r="S207">
        <v>187</v>
      </c>
      <c r="T207">
        <v>0</v>
      </c>
      <c r="U207">
        <v>25.96875</v>
      </c>
      <c r="V207">
        <v>94</v>
      </c>
      <c r="W207">
        <v>0</v>
      </c>
      <c r="X207">
        <v>26.556862745098041</v>
      </c>
      <c r="Y207">
        <v>109</v>
      </c>
      <c r="Z207">
        <v>0</v>
      </c>
      <c r="AA207">
        <v>114.6301960784314</v>
      </c>
      <c r="AB207">
        <v>350</v>
      </c>
      <c r="AC207">
        <v>0</v>
      </c>
      <c r="AD207">
        <v>27.9758064516129</v>
      </c>
      <c r="AE207">
        <v>105</v>
      </c>
      <c r="AF207">
        <v>0</v>
      </c>
      <c r="AG207">
        <v>110.46935483870971</v>
      </c>
      <c r="AH207">
        <v>280</v>
      </c>
      <c r="AI207">
        <v>0</v>
      </c>
      <c r="AL207">
        <v>1816</v>
      </c>
      <c r="AM207">
        <v>649</v>
      </c>
      <c r="AN207">
        <v>2465</v>
      </c>
      <c r="AO207">
        <v>59</v>
      </c>
      <c r="AP207">
        <v>624</v>
      </c>
    </row>
    <row r="208" spans="1:42" x14ac:dyDescent="0.3">
      <c r="A208" t="s">
        <v>1289</v>
      </c>
      <c r="B208" t="s">
        <v>76</v>
      </c>
      <c r="C208" t="s">
        <v>16</v>
      </c>
      <c r="D208" t="s">
        <v>100</v>
      </c>
      <c r="E208" t="s">
        <v>1016</v>
      </c>
      <c r="F208">
        <v>2021</v>
      </c>
      <c r="G208">
        <v>100</v>
      </c>
      <c r="H208">
        <v>6</v>
      </c>
      <c r="I208">
        <v>0</v>
      </c>
      <c r="J208">
        <v>37</v>
      </c>
      <c r="K208">
        <v>37</v>
      </c>
      <c r="L208" t="s">
        <v>979</v>
      </c>
      <c r="M208">
        <v>36.009057971014492</v>
      </c>
      <c r="N208">
        <v>303</v>
      </c>
      <c r="O208">
        <v>0</v>
      </c>
      <c r="P208">
        <v>25.444444444444439</v>
      </c>
      <c r="Q208">
        <v>86.627777777777794</v>
      </c>
      <c r="R208">
        <v>-10.564613526570049</v>
      </c>
      <c r="S208">
        <v>85</v>
      </c>
      <c r="T208">
        <v>0</v>
      </c>
      <c r="U208">
        <v>48.215686274509807</v>
      </c>
      <c r="V208">
        <v>187</v>
      </c>
      <c r="W208">
        <v>0</v>
      </c>
      <c r="X208">
        <v>42.251824817518248</v>
      </c>
      <c r="Y208">
        <v>264</v>
      </c>
      <c r="Z208">
        <v>0</v>
      </c>
      <c r="AA208">
        <v>77.646715328467153</v>
      </c>
      <c r="AB208">
        <v>200</v>
      </c>
      <c r="AC208">
        <v>0</v>
      </c>
      <c r="AD208">
        <v>34.313432835820898</v>
      </c>
      <c r="AE208">
        <v>137</v>
      </c>
      <c r="AF208">
        <v>0</v>
      </c>
      <c r="AG208">
        <v>101.9507462686567</v>
      </c>
      <c r="AH208">
        <v>216.7</v>
      </c>
      <c r="AI208">
        <v>0</v>
      </c>
      <c r="AJ208">
        <v>53</v>
      </c>
      <c r="AK208">
        <v>83.35</v>
      </c>
      <c r="AL208">
        <v>1810</v>
      </c>
      <c r="AM208">
        <v>649</v>
      </c>
      <c r="AN208">
        <v>2459</v>
      </c>
      <c r="AO208">
        <v>41</v>
      </c>
      <c r="AP208">
        <v>1070</v>
      </c>
    </row>
    <row r="209" spans="1:42" x14ac:dyDescent="0.3">
      <c r="A209" t="s">
        <v>1368</v>
      </c>
      <c r="B209" t="s">
        <v>76</v>
      </c>
      <c r="C209" t="s">
        <v>16</v>
      </c>
      <c r="D209" t="s">
        <v>100</v>
      </c>
      <c r="E209" t="s">
        <v>1016</v>
      </c>
      <c r="F209">
        <v>2021</v>
      </c>
      <c r="G209">
        <v>100</v>
      </c>
      <c r="H209">
        <v>5</v>
      </c>
      <c r="I209">
        <v>0</v>
      </c>
      <c r="J209">
        <v>25</v>
      </c>
      <c r="K209">
        <v>25</v>
      </c>
      <c r="L209" t="s">
        <v>1327</v>
      </c>
      <c r="M209">
        <v>36.029038112522677</v>
      </c>
      <c r="N209">
        <v>303</v>
      </c>
      <c r="O209">
        <v>0</v>
      </c>
      <c r="P209">
        <v>25.444444444444439</v>
      </c>
      <c r="Q209">
        <v>86.627777777777794</v>
      </c>
      <c r="R209">
        <v>-10.58459366807824</v>
      </c>
      <c r="S209">
        <v>85</v>
      </c>
      <c r="T209">
        <v>0</v>
      </c>
      <c r="U209">
        <v>48.215686274509807</v>
      </c>
      <c r="V209">
        <v>187</v>
      </c>
      <c r="W209">
        <v>0</v>
      </c>
      <c r="X209">
        <v>42.251824817518248</v>
      </c>
      <c r="Y209">
        <v>264</v>
      </c>
      <c r="Z209">
        <v>0</v>
      </c>
      <c r="AA209">
        <v>77.646715328467153</v>
      </c>
      <c r="AB209">
        <v>200</v>
      </c>
      <c r="AC209">
        <v>0</v>
      </c>
      <c r="AD209">
        <v>34.313432835820898</v>
      </c>
      <c r="AE209">
        <v>137</v>
      </c>
      <c r="AF209">
        <v>0</v>
      </c>
      <c r="AG209">
        <v>101.9507462686567</v>
      </c>
      <c r="AH209">
        <v>216.7</v>
      </c>
      <c r="AI209">
        <v>0</v>
      </c>
      <c r="AJ209">
        <v>28</v>
      </c>
      <c r="AK209">
        <v>66.7</v>
      </c>
      <c r="AL209">
        <v>1805</v>
      </c>
      <c r="AM209">
        <v>649</v>
      </c>
      <c r="AN209">
        <v>2454</v>
      </c>
      <c r="AO209">
        <v>36</v>
      </c>
      <c r="AP209">
        <v>1065</v>
      </c>
    </row>
    <row r="210" spans="1:42" x14ac:dyDescent="0.3">
      <c r="A210" t="s">
        <v>1347</v>
      </c>
      <c r="B210" t="s">
        <v>76</v>
      </c>
      <c r="C210" t="s">
        <v>16</v>
      </c>
      <c r="D210" t="s">
        <v>100</v>
      </c>
      <c r="E210" t="s">
        <v>1016</v>
      </c>
      <c r="F210">
        <v>2021</v>
      </c>
      <c r="G210">
        <v>66.7</v>
      </c>
      <c r="H210">
        <v>4</v>
      </c>
      <c r="I210">
        <v>0</v>
      </c>
      <c r="J210">
        <v>42</v>
      </c>
      <c r="K210">
        <v>28</v>
      </c>
      <c r="L210" t="s">
        <v>1327</v>
      </c>
      <c r="M210">
        <v>36.043636363636367</v>
      </c>
      <c r="N210">
        <v>303</v>
      </c>
      <c r="O210">
        <v>0</v>
      </c>
      <c r="P210">
        <v>25.444444444444439</v>
      </c>
      <c r="Q210">
        <v>86.627777777777794</v>
      </c>
      <c r="R210">
        <v>-10.59919191919192</v>
      </c>
      <c r="S210">
        <v>85</v>
      </c>
      <c r="T210">
        <v>0</v>
      </c>
      <c r="U210">
        <v>48.215686274509807</v>
      </c>
      <c r="V210">
        <v>187</v>
      </c>
      <c r="W210">
        <v>0</v>
      </c>
      <c r="X210">
        <v>42.251824817518248</v>
      </c>
      <c r="Y210">
        <v>264</v>
      </c>
      <c r="Z210">
        <v>0</v>
      </c>
      <c r="AA210">
        <v>77.646715328467153</v>
      </c>
      <c r="AB210">
        <v>200</v>
      </c>
      <c r="AC210">
        <v>0</v>
      </c>
      <c r="AD210">
        <v>34.313432835820898</v>
      </c>
      <c r="AE210">
        <v>137</v>
      </c>
      <c r="AF210">
        <v>0</v>
      </c>
      <c r="AG210">
        <v>101.9507462686567</v>
      </c>
      <c r="AH210">
        <v>216.7</v>
      </c>
      <c r="AI210">
        <v>0</v>
      </c>
      <c r="AJ210">
        <v>76</v>
      </c>
      <c r="AK210">
        <v>144.1</v>
      </c>
      <c r="AL210">
        <v>1801</v>
      </c>
      <c r="AM210">
        <v>649</v>
      </c>
      <c r="AN210">
        <v>2450</v>
      </c>
      <c r="AO210">
        <v>32</v>
      </c>
      <c r="AP210">
        <v>1061</v>
      </c>
    </row>
    <row r="211" spans="1:42" x14ac:dyDescent="0.3">
      <c r="A211" t="s">
        <v>1146</v>
      </c>
      <c r="B211" t="s">
        <v>76</v>
      </c>
      <c r="C211" t="s">
        <v>5</v>
      </c>
      <c r="D211" t="s">
        <v>41</v>
      </c>
      <c r="E211" t="s">
        <v>1016</v>
      </c>
      <c r="F211">
        <v>2021</v>
      </c>
      <c r="G211">
        <v>188.2</v>
      </c>
      <c r="H211">
        <v>4</v>
      </c>
      <c r="I211">
        <v>5</v>
      </c>
      <c r="J211">
        <v>34</v>
      </c>
      <c r="K211">
        <v>64</v>
      </c>
      <c r="L211" t="s">
        <v>979</v>
      </c>
      <c r="M211">
        <v>35.992714025500909</v>
      </c>
      <c r="N211">
        <v>303</v>
      </c>
      <c r="O211">
        <v>0</v>
      </c>
      <c r="P211">
        <v>34.043478260869563</v>
      </c>
      <c r="Q211">
        <v>108.0891304347826</v>
      </c>
      <c r="R211">
        <v>-1.949235764631347</v>
      </c>
      <c r="S211">
        <v>95</v>
      </c>
      <c r="T211">
        <v>0</v>
      </c>
      <c r="U211">
        <v>48.215686274509807</v>
      </c>
      <c r="V211">
        <v>187</v>
      </c>
      <c r="W211">
        <v>0</v>
      </c>
      <c r="X211">
        <v>28.189024390243901</v>
      </c>
      <c r="Y211">
        <v>121</v>
      </c>
      <c r="Z211">
        <v>0</v>
      </c>
      <c r="AA211">
        <v>116.45060975609761</v>
      </c>
      <c r="AB211">
        <v>274.39999999999998</v>
      </c>
      <c r="AC211">
        <v>0</v>
      </c>
      <c r="AD211">
        <v>34.313432835820898</v>
      </c>
      <c r="AE211">
        <v>137</v>
      </c>
      <c r="AF211">
        <v>0</v>
      </c>
      <c r="AG211">
        <v>101.9507462686567</v>
      </c>
      <c r="AH211">
        <v>216.7</v>
      </c>
      <c r="AI211">
        <v>0</v>
      </c>
      <c r="AJ211">
        <v>27</v>
      </c>
      <c r="AK211">
        <v>94.1</v>
      </c>
      <c r="AL211">
        <v>1797</v>
      </c>
      <c r="AM211">
        <v>644</v>
      </c>
      <c r="AN211">
        <v>2441</v>
      </c>
      <c r="AO211">
        <v>53</v>
      </c>
      <c r="AP211">
        <v>423</v>
      </c>
    </row>
    <row r="212" spans="1:42" x14ac:dyDescent="0.3">
      <c r="A212" t="s">
        <v>1505</v>
      </c>
      <c r="B212" t="s">
        <v>76</v>
      </c>
      <c r="C212" t="s">
        <v>5</v>
      </c>
      <c r="D212" t="s">
        <v>41</v>
      </c>
      <c r="E212" t="s">
        <v>1016</v>
      </c>
      <c r="F212">
        <v>2021</v>
      </c>
      <c r="G212">
        <v>100</v>
      </c>
      <c r="H212">
        <v>1</v>
      </c>
      <c r="I212">
        <v>1</v>
      </c>
      <c r="J212">
        <v>12</v>
      </c>
      <c r="K212">
        <v>12</v>
      </c>
      <c r="L212" t="s">
        <v>1327</v>
      </c>
      <c r="M212">
        <v>36.036496350364963</v>
      </c>
      <c r="N212">
        <v>303</v>
      </c>
      <c r="O212">
        <v>0</v>
      </c>
      <c r="P212">
        <v>34.043478260869563</v>
      </c>
      <c r="Q212">
        <v>108.0891304347826</v>
      </c>
      <c r="R212">
        <v>-1.993018089495401</v>
      </c>
      <c r="S212">
        <v>95</v>
      </c>
      <c r="T212">
        <v>0</v>
      </c>
      <c r="U212">
        <v>48.215686274509807</v>
      </c>
      <c r="V212">
        <v>187</v>
      </c>
      <c r="W212">
        <v>0</v>
      </c>
      <c r="X212">
        <v>28.189024390243901</v>
      </c>
      <c r="Y212">
        <v>121</v>
      </c>
      <c r="Z212">
        <v>0</v>
      </c>
      <c r="AA212">
        <v>116.45060975609761</v>
      </c>
      <c r="AB212">
        <v>274.39999999999998</v>
      </c>
      <c r="AC212">
        <v>0</v>
      </c>
      <c r="AD212">
        <v>34.313432835820898</v>
      </c>
      <c r="AE212">
        <v>137</v>
      </c>
      <c r="AF212">
        <v>0</v>
      </c>
      <c r="AG212">
        <v>101.9507462686567</v>
      </c>
      <c r="AH212">
        <v>216.7</v>
      </c>
      <c r="AI212">
        <v>0</v>
      </c>
      <c r="AJ212">
        <v>15</v>
      </c>
      <c r="AK212">
        <v>88.2</v>
      </c>
      <c r="AL212">
        <v>1796</v>
      </c>
      <c r="AM212">
        <v>643</v>
      </c>
      <c r="AN212">
        <v>2439</v>
      </c>
      <c r="AO212">
        <v>51</v>
      </c>
      <c r="AP212">
        <v>421</v>
      </c>
    </row>
    <row r="213" spans="1:42" x14ac:dyDescent="0.3">
      <c r="A213" t="s">
        <v>1462</v>
      </c>
      <c r="B213" t="s">
        <v>76</v>
      </c>
      <c r="C213" t="s">
        <v>5</v>
      </c>
      <c r="D213" t="s">
        <v>41</v>
      </c>
      <c r="E213" t="s">
        <v>1016</v>
      </c>
      <c r="F213">
        <v>2021</v>
      </c>
      <c r="G213">
        <v>88.2</v>
      </c>
      <c r="H213">
        <v>2</v>
      </c>
      <c r="I213">
        <v>0</v>
      </c>
      <c r="J213">
        <v>17</v>
      </c>
      <c r="K213">
        <v>15</v>
      </c>
      <c r="L213" t="s">
        <v>1327</v>
      </c>
      <c r="M213">
        <v>36.074954296160882</v>
      </c>
      <c r="N213">
        <v>303</v>
      </c>
      <c r="O213">
        <v>0</v>
      </c>
      <c r="P213">
        <v>34.043478260869563</v>
      </c>
      <c r="Q213">
        <v>108.0891304347826</v>
      </c>
      <c r="R213">
        <v>-2.031476035291313</v>
      </c>
      <c r="S213">
        <v>95</v>
      </c>
      <c r="T213">
        <v>0</v>
      </c>
      <c r="U213">
        <v>48.215686274509807</v>
      </c>
      <c r="V213">
        <v>187</v>
      </c>
      <c r="W213">
        <v>0</v>
      </c>
      <c r="X213">
        <v>28.189024390243901</v>
      </c>
      <c r="Y213">
        <v>121</v>
      </c>
      <c r="Z213">
        <v>0</v>
      </c>
      <c r="AA213">
        <v>116.45060975609761</v>
      </c>
      <c r="AB213">
        <v>274.39999999999998</v>
      </c>
      <c r="AC213">
        <v>0</v>
      </c>
      <c r="AD213">
        <v>34.313432835820898</v>
      </c>
      <c r="AE213">
        <v>137</v>
      </c>
      <c r="AF213">
        <v>0</v>
      </c>
      <c r="AG213">
        <v>101.9507462686567</v>
      </c>
      <c r="AH213">
        <v>216.7</v>
      </c>
      <c r="AI213">
        <v>0</v>
      </c>
      <c r="AL213">
        <v>1794</v>
      </c>
      <c r="AM213">
        <v>643</v>
      </c>
      <c r="AN213">
        <v>2437</v>
      </c>
      <c r="AO213">
        <v>49</v>
      </c>
      <c r="AP213">
        <v>419</v>
      </c>
    </row>
    <row r="214" spans="1:42" x14ac:dyDescent="0.3">
      <c r="A214" t="s">
        <v>1228</v>
      </c>
      <c r="B214" t="s">
        <v>76</v>
      </c>
      <c r="C214" t="s">
        <v>83</v>
      </c>
      <c r="D214" t="s">
        <v>41</v>
      </c>
      <c r="E214" t="s">
        <v>1016</v>
      </c>
      <c r="F214">
        <v>2021</v>
      </c>
      <c r="G214">
        <v>34</v>
      </c>
      <c r="H214">
        <v>7</v>
      </c>
      <c r="I214">
        <v>0</v>
      </c>
      <c r="J214">
        <v>88</v>
      </c>
      <c r="K214">
        <v>49</v>
      </c>
      <c r="L214" t="s">
        <v>979</v>
      </c>
      <c r="M214">
        <v>36.051282051282051</v>
      </c>
      <c r="N214">
        <v>303</v>
      </c>
      <c r="O214">
        <v>0</v>
      </c>
      <c r="P214">
        <v>34.043478260869563</v>
      </c>
      <c r="Q214">
        <v>108.0891304347826</v>
      </c>
      <c r="R214">
        <v>-2.0078037904124879</v>
      </c>
      <c r="S214">
        <v>95</v>
      </c>
      <c r="T214">
        <v>0</v>
      </c>
      <c r="U214">
        <v>48.215686274509807</v>
      </c>
      <c r="V214">
        <v>187</v>
      </c>
      <c r="W214">
        <v>0</v>
      </c>
      <c r="X214">
        <v>65.166666666666671</v>
      </c>
      <c r="Y214">
        <v>303</v>
      </c>
      <c r="Z214">
        <v>1</v>
      </c>
      <c r="AA214">
        <v>55.904545454545449</v>
      </c>
      <c r="AB214">
        <v>161.6</v>
      </c>
      <c r="AC214">
        <v>16.600000000000001</v>
      </c>
      <c r="AD214">
        <v>34.313432835820898</v>
      </c>
      <c r="AE214">
        <v>137</v>
      </c>
      <c r="AF214">
        <v>0</v>
      </c>
      <c r="AG214">
        <v>101.9507462686567</v>
      </c>
      <c r="AH214">
        <v>216.7</v>
      </c>
      <c r="AI214">
        <v>0</v>
      </c>
      <c r="AL214">
        <v>1787</v>
      </c>
      <c r="AM214">
        <v>643</v>
      </c>
      <c r="AN214">
        <v>2430</v>
      </c>
      <c r="AO214">
        <v>42</v>
      </c>
      <c r="AP214">
        <v>326</v>
      </c>
    </row>
    <row r="215" spans="1:42" x14ac:dyDescent="0.3">
      <c r="A215" t="s">
        <v>1069</v>
      </c>
      <c r="B215" t="s">
        <v>76</v>
      </c>
      <c r="C215" t="s">
        <v>83</v>
      </c>
      <c r="D215" t="s">
        <v>41</v>
      </c>
      <c r="E215" t="s">
        <v>990</v>
      </c>
      <c r="F215">
        <v>2021</v>
      </c>
      <c r="G215">
        <v>84.35</v>
      </c>
      <c r="H215">
        <v>14</v>
      </c>
      <c r="I215">
        <v>1</v>
      </c>
      <c r="J215">
        <v>164</v>
      </c>
      <c r="K215">
        <v>91</v>
      </c>
      <c r="L215" t="s">
        <v>979</v>
      </c>
      <c r="M215">
        <v>35.950458715596334</v>
      </c>
      <c r="N215">
        <v>303</v>
      </c>
      <c r="O215">
        <v>0</v>
      </c>
      <c r="P215">
        <v>34.043478260869563</v>
      </c>
      <c r="Q215">
        <v>108.0891304347826</v>
      </c>
      <c r="R215">
        <v>-1.906980454726771</v>
      </c>
      <c r="S215">
        <v>95</v>
      </c>
      <c r="T215">
        <v>0</v>
      </c>
      <c r="U215">
        <v>48.215686274509807</v>
      </c>
      <c r="V215">
        <v>187</v>
      </c>
      <c r="W215">
        <v>0</v>
      </c>
      <c r="X215">
        <v>65.166666666666671</v>
      </c>
      <c r="Y215">
        <v>303</v>
      </c>
      <c r="Z215">
        <v>1</v>
      </c>
      <c r="AA215">
        <v>55.904545454545449</v>
      </c>
      <c r="AB215">
        <v>161.6</v>
      </c>
      <c r="AC215">
        <v>16.600000000000001</v>
      </c>
      <c r="AD215">
        <v>31.115942028985511</v>
      </c>
      <c r="AE215">
        <v>187</v>
      </c>
      <c r="AF215">
        <v>0</v>
      </c>
      <c r="AG215">
        <v>73.336956521739125</v>
      </c>
      <c r="AH215">
        <v>233.3</v>
      </c>
      <c r="AI215">
        <v>0</v>
      </c>
      <c r="AL215">
        <v>1773</v>
      </c>
      <c r="AM215">
        <v>642</v>
      </c>
      <c r="AN215">
        <v>2415</v>
      </c>
      <c r="AO215">
        <v>27</v>
      </c>
      <c r="AP215">
        <v>311</v>
      </c>
    </row>
    <row r="216" spans="1:42" x14ac:dyDescent="0.3">
      <c r="A216" t="s">
        <v>989</v>
      </c>
      <c r="B216" t="s">
        <v>76</v>
      </c>
      <c r="C216" t="s">
        <v>83</v>
      </c>
      <c r="D216" t="s">
        <v>64</v>
      </c>
      <c r="E216" t="s">
        <v>990</v>
      </c>
      <c r="F216">
        <v>2021</v>
      </c>
      <c r="G216">
        <v>53.400000000000013</v>
      </c>
      <c r="H216">
        <v>20</v>
      </c>
      <c r="I216">
        <v>3</v>
      </c>
      <c r="J216">
        <v>337</v>
      </c>
      <c r="K216">
        <v>187</v>
      </c>
      <c r="L216" t="s">
        <v>979</v>
      </c>
      <c r="M216">
        <v>35.672794117647058</v>
      </c>
      <c r="N216">
        <v>303</v>
      </c>
      <c r="O216">
        <v>0</v>
      </c>
      <c r="P216">
        <v>26</v>
      </c>
      <c r="Q216">
        <v>94.26964285714287</v>
      </c>
      <c r="R216">
        <v>-9.672794117647058</v>
      </c>
      <c r="S216">
        <v>187</v>
      </c>
      <c r="T216">
        <v>0</v>
      </c>
      <c r="U216">
        <v>48.215686274509807</v>
      </c>
      <c r="V216">
        <v>187</v>
      </c>
      <c r="W216">
        <v>0</v>
      </c>
      <c r="X216">
        <v>65.166666666666671</v>
      </c>
      <c r="Y216">
        <v>303</v>
      </c>
      <c r="Z216">
        <v>1</v>
      </c>
      <c r="AA216">
        <v>55.904545454545449</v>
      </c>
      <c r="AB216">
        <v>161.6</v>
      </c>
      <c r="AC216">
        <v>16.600000000000001</v>
      </c>
      <c r="AD216">
        <v>31.115942028985511</v>
      </c>
      <c r="AE216">
        <v>187</v>
      </c>
      <c r="AF216">
        <v>0</v>
      </c>
      <c r="AG216">
        <v>73.336956521739125</v>
      </c>
      <c r="AH216">
        <v>233.3</v>
      </c>
      <c r="AI216">
        <v>0</v>
      </c>
      <c r="AL216">
        <v>1753</v>
      </c>
      <c r="AM216">
        <v>639</v>
      </c>
      <c r="AN216">
        <v>2392</v>
      </c>
      <c r="AO216">
        <v>36</v>
      </c>
      <c r="AP216">
        <v>288</v>
      </c>
    </row>
    <row r="217" spans="1:42" x14ac:dyDescent="0.3">
      <c r="A217" t="s">
        <v>1433</v>
      </c>
      <c r="B217" t="s">
        <v>76</v>
      </c>
      <c r="C217" t="s">
        <v>83</v>
      </c>
      <c r="D217" t="s">
        <v>64</v>
      </c>
      <c r="E217" t="s">
        <v>990</v>
      </c>
      <c r="F217">
        <v>2021</v>
      </c>
      <c r="G217">
        <v>63.3</v>
      </c>
      <c r="H217">
        <v>2</v>
      </c>
      <c r="I217">
        <v>1</v>
      </c>
      <c r="J217">
        <v>32</v>
      </c>
      <c r="K217">
        <v>18</v>
      </c>
      <c r="L217" t="s">
        <v>1327</v>
      </c>
      <c r="M217">
        <v>35.705340699815842</v>
      </c>
      <c r="N217">
        <v>303</v>
      </c>
      <c r="O217">
        <v>0</v>
      </c>
      <c r="P217">
        <v>26</v>
      </c>
      <c r="Q217">
        <v>94.26964285714287</v>
      </c>
      <c r="R217">
        <v>-9.7053406998158351</v>
      </c>
      <c r="S217">
        <v>187</v>
      </c>
      <c r="T217">
        <v>0</v>
      </c>
      <c r="U217">
        <v>48.215686274509807</v>
      </c>
      <c r="V217">
        <v>187</v>
      </c>
      <c r="W217">
        <v>0</v>
      </c>
      <c r="X217">
        <v>65.166666666666671</v>
      </c>
      <c r="Y217">
        <v>303</v>
      </c>
      <c r="Z217">
        <v>1</v>
      </c>
      <c r="AA217">
        <v>55.904545454545449</v>
      </c>
      <c r="AB217">
        <v>161.6</v>
      </c>
      <c r="AC217">
        <v>16.600000000000001</v>
      </c>
      <c r="AD217">
        <v>31.115942028985511</v>
      </c>
      <c r="AE217">
        <v>187</v>
      </c>
      <c r="AF217">
        <v>0</v>
      </c>
      <c r="AG217">
        <v>73.336956521739125</v>
      </c>
      <c r="AH217">
        <v>233.3</v>
      </c>
      <c r="AI217">
        <v>0</v>
      </c>
      <c r="AL217">
        <v>1751</v>
      </c>
      <c r="AM217">
        <v>638</v>
      </c>
      <c r="AN217">
        <v>2389</v>
      </c>
      <c r="AO217">
        <v>33</v>
      </c>
      <c r="AP217">
        <v>285</v>
      </c>
    </row>
    <row r="218" spans="1:42" x14ac:dyDescent="0.3">
      <c r="A218" t="s">
        <v>1215</v>
      </c>
      <c r="B218" t="s">
        <v>32</v>
      </c>
      <c r="C218" t="s">
        <v>83</v>
      </c>
      <c r="D218" t="s">
        <v>88</v>
      </c>
      <c r="E218" t="s">
        <v>994</v>
      </c>
      <c r="F218">
        <v>2021</v>
      </c>
      <c r="G218">
        <v>46.349999999999987</v>
      </c>
      <c r="H218">
        <v>7</v>
      </c>
      <c r="I218">
        <v>0</v>
      </c>
      <c r="J218">
        <v>92</v>
      </c>
      <c r="K218">
        <v>51</v>
      </c>
      <c r="L218" t="s">
        <v>979</v>
      </c>
      <c r="M218">
        <v>35.677121771217713</v>
      </c>
      <c r="N218">
        <v>303</v>
      </c>
      <c r="O218">
        <v>0</v>
      </c>
      <c r="P218">
        <v>28.333333333333329</v>
      </c>
      <c r="Q218">
        <v>48.216666666666661</v>
      </c>
      <c r="R218">
        <v>-7.3437884378843812</v>
      </c>
      <c r="S218">
        <v>124</v>
      </c>
      <c r="T218">
        <v>0</v>
      </c>
      <c r="U218">
        <v>44.710843373493979</v>
      </c>
      <c r="V218">
        <v>209</v>
      </c>
      <c r="W218">
        <v>0</v>
      </c>
      <c r="X218">
        <v>65.166666666666671</v>
      </c>
      <c r="Y218">
        <v>303</v>
      </c>
      <c r="Z218">
        <v>1</v>
      </c>
      <c r="AA218">
        <v>55.904545454545449</v>
      </c>
      <c r="AB218">
        <v>161.6</v>
      </c>
      <c r="AC218">
        <v>16.600000000000001</v>
      </c>
      <c r="AD218">
        <v>47.472727272727283</v>
      </c>
      <c r="AE218">
        <v>171</v>
      </c>
      <c r="AF218">
        <v>0</v>
      </c>
      <c r="AG218">
        <v>81.038181818181826</v>
      </c>
      <c r="AH218">
        <v>175.4</v>
      </c>
      <c r="AI218">
        <v>0</v>
      </c>
      <c r="AL218">
        <v>1744</v>
      </c>
      <c r="AM218">
        <v>638</v>
      </c>
      <c r="AN218">
        <v>2382</v>
      </c>
      <c r="AO218">
        <v>23</v>
      </c>
      <c r="AP218">
        <v>278</v>
      </c>
    </row>
    <row r="219" spans="1:42" x14ac:dyDescent="0.3">
      <c r="A219" t="s">
        <v>1098</v>
      </c>
      <c r="B219" t="s">
        <v>32</v>
      </c>
      <c r="C219" t="s">
        <v>83</v>
      </c>
      <c r="D219" t="s">
        <v>33</v>
      </c>
      <c r="E219" t="s">
        <v>994</v>
      </c>
      <c r="F219">
        <v>2021</v>
      </c>
      <c r="G219">
        <v>43.35</v>
      </c>
      <c r="H219">
        <v>8</v>
      </c>
      <c r="I219">
        <v>2</v>
      </c>
      <c r="J219">
        <v>140</v>
      </c>
      <c r="K219">
        <v>78</v>
      </c>
      <c r="L219" t="s">
        <v>979</v>
      </c>
      <c r="M219">
        <v>35.598890942698709</v>
      </c>
      <c r="N219">
        <v>303</v>
      </c>
      <c r="O219">
        <v>0</v>
      </c>
      <c r="P219">
        <v>68.36363636363636</v>
      </c>
      <c r="Q219">
        <v>88.454545454545453</v>
      </c>
      <c r="R219">
        <v>32.764745420937651</v>
      </c>
      <c r="S219">
        <v>133</v>
      </c>
      <c r="T219">
        <v>1</v>
      </c>
      <c r="U219">
        <v>44.710843373493979</v>
      </c>
      <c r="V219">
        <v>209</v>
      </c>
      <c r="W219">
        <v>0</v>
      </c>
      <c r="X219">
        <v>65.166666666666671</v>
      </c>
      <c r="Y219">
        <v>303</v>
      </c>
      <c r="Z219">
        <v>1</v>
      </c>
      <c r="AA219">
        <v>55.904545454545449</v>
      </c>
      <c r="AB219">
        <v>161.6</v>
      </c>
      <c r="AC219">
        <v>16.600000000000001</v>
      </c>
      <c r="AD219">
        <v>47.472727272727283</v>
      </c>
      <c r="AE219">
        <v>171</v>
      </c>
      <c r="AF219">
        <v>0</v>
      </c>
      <c r="AG219">
        <v>81.038181818181826</v>
      </c>
      <c r="AH219">
        <v>175.4</v>
      </c>
      <c r="AI219">
        <v>0</v>
      </c>
      <c r="AL219">
        <v>1736</v>
      </c>
      <c r="AM219">
        <v>636</v>
      </c>
      <c r="AN219">
        <v>2372</v>
      </c>
      <c r="AO219">
        <v>55</v>
      </c>
      <c r="AP219">
        <v>268</v>
      </c>
    </row>
    <row r="220" spans="1:42" x14ac:dyDescent="0.3">
      <c r="A220" t="s">
        <v>1126</v>
      </c>
      <c r="B220" t="s">
        <v>8</v>
      </c>
      <c r="C220" t="s">
        <v>1043</v>
      </c>
      <c r="D220" t="s">
        <v>67</v>
      </c>
      <c r="E220" t="s">
        <v>981</v>
      </c>
      <c r="F220">
        <v>2020</v>
      </c>
      <c r="G220">
        <v>133.30000000000001</v>
      </c>
      <c r="H220">
        <v>5</v>
      </c>
      <c r="I220">
        <v>4</v>
      </c>
      <c r="J220">
        <v>51</v>
      </c>
      <c r="K220">
        <v>68</v>
      </c>
      <c r="L220" t="s">
        <v>979</v>
      </c>
      <c r="M220">
        <v>35.538888888888891</v>
      </c>
      <c r="N220">
        <v>303</v>
      </c>
      <c r="O220">
        <v>0</v>
      </c>
      <c r="P220">
        <v>35.03846153846154</v>
      </c>
      <c r="Q220">
        <v>104.65</v>
      </c>
      <c r="R220">
        <v>-0.50042735042735131</v>
      </c>
      <c r="S220">
        <v>111</v>
      </c>
      <c r="T220">
        <v>0</v>
      </c>
      <c r="U220">
        <v>28.567567567567568</v>
      </c>
      <c r="V220">
        <v>74</v>
      </c>
      <c r="W220">
        <v>0</v>
      </c>
      <c r="X220">
        <v>26.556862745098041</v>
      </c>
      <c r="Y220">
        <v>109</v>
      </c>
      <c r="Z220">
        <v>0</v>
      </c>
      <c r="AA220">
        <v>114.6301960784314</v>
      </c>
      <c r="AB220">
        <v>350</v>
      </c>
      <c r="AC220">
        <v>0</v>
      </c>
      <c r="AD220">
        <v>47.122448979591837</v>
      </c>
      <c r="AE220">
        <v>264</v>
      </c>
      <c r="AF220">
        <v>0</v>
      </c>
      <c r="AG220">
        <v>105.5040816326531</v>
      </c>
      <c r="AH220">
        <v>200</v>
      </c>
      <c r="AI220">
        <v>0</v>
      </c>
      <c r="AJ220">
        <v>0</v>
      </c>
      <c r="AK220">
        <v>0</v>
      </c>
      <c r="AL220">
        <v>1731</v>
      </c>
      <c r="AM220">
        <v>632</v>
      </c>
      <c r="AN220">
        <v>2363</v>
      </c>
      <c r="AO220">
        <v>46</v>
      </c>
      <c r="AP220">
        <v>615</v>
      </c>
    </row>
    <row r="221" spans="1:42" x14ac:dyDescent="0.3">
      <c r="A221" t="s">
        <v>1737</v>
      </c>
      <c r="B221" t="s">
        <v>8</v>
      </c>
      <c r="C221" t="s">
        <v>1043</v>
      </c>
      <c r="D221" t="s">
        <v>67</v>
      </c>
      <c r="E221" t="s">
        <v>981</v>
      </c>
      <c r="F221">
        <v>2020</v>
      </c>
      <c r="G221">
        <v>0</v>
      </c>
      <c r="H221">
        <v>0</v>
      </c>
      <c r="I221">
        <v>0</v>
      </c>
      <c r="J221">
        <v>1</v>
      </c>
      <c r="K221">
        <v>0</v>
      </c>
      <c r="L221" t="s">
        <v>1327</v>
      </c>
      <c r="M221">
        <v>35.604823747680889</v>
      </c>
      <c r="N221">
        <v>303</v>
      </c>
      <c r="O221">
        <v>0</v>
      </c>
      <c r="P221">
        <v>35.03846153846154</v>
      </c>
      <c r="Q221">
        <v>104.65</v>
      </c>
      <c r="R221">
        <v>-0.56636220921934921</v>
      </c>
      <c r="S221">
        <v>111</v>
      </c>
      <c r="T221">
        <v>0</v>
      </c>
      <c r="U221">
        <v>28.567567567567568</v>
      </c>
      <c r="V221">
        <v>74</v>
      </c>
      <c r="W221">
        <v>0</v>
      </c>
      <c r="X221">
        <v>26.556862745098041</v>
      </c>
      <c r="Y221">
        <v>109</v>
      </c>
      <c r="Z221">
        <v>0</v>
      </c>
      <c r="AA221">
        <v>114.6301960784314</v>
      </c>
      <c r="AB221">
        <v>350</v>
      </c>
      <c r="AC221">
        <v>0</v>
      </c>
      <c r="AD221">
        <v>47.122448979591837</v>
      </c>
      <c r="AE221">
        <v>264</v>
      </c>
      <c r="AF221">
        <v>0</v>
      </c>
      <c r="AG221">
        <v>105.5040816326531</v>
      </c>
      <c r="AH221">
        <v>200</v>
      </c>
      <c r="AI221">
        <v>0</v>
      </c>
      <c r="AJ221">
        <v>4</v>
      </c>
      <c r="AK221">
        <v>57.1</v>
      </c>
      <c r="AL221">
        <v>1731</v>
      </c>
      <c r="AM221">
        <v>632</v>
      </c>
      <c r="AN221">
        <v>2363</v>
      </c>
      <c r="AO221">
        <v>46</v>
      </c>
      <c r="AP221">
        <v>615</v>
      </c>
    </row>
    <row r="222" spans="1:42" x14ac:dyDescent="0.3">
      <c r="A222" t="s">
        <v>1648</v>
      </c>
      <c r="B222" t="s">
        <v>53</v>
      </c>
      <c r="C222" t="s">
        <v>1043</v>
      </c>
      <c r="D222" t="s">
        <v>338</v>
      </c>
      <c r="E222" t="s">
        <v>981</v>
      </c>
      <c r="F222">
        <v>2020</v>
      </c>
      <c r="G222">
        <v>57.1</v>
      </c>
      <c r="H222">
        <v>0</v>
      </c>
      <c r="I222">
        <v>0</v>
      </c>
      <c r="J222">
        <v>7</v>
      </c>
      <c r="K222">
        <v>4</v>
      </c>
      <c r="L222" t="s">
        <v>1327</v>
      </c>
      <c r="M222">
        <v>35.663568773234203</v>
      </c>
      <c r="N222">
        <v>303</v>
      </c>
      <c r="O222">
        <v>0</v>
      </c>
      <c r="P222">
        <v>8.6</v>
      </c>
      <c r="Q222">
        <v>99.26</v>
      </c>
      <c r="R222">
        <v>-27.063568773234199</v>
      </c>
      <c r="S222">
        <v>22</v>
      </c>
      <c r="T222">
        <v>4</v>
      </c>
      <c r="U222">
        <v>19.375</v>
      </c>
      <c r="V222">
        <v>70</v>
      </c>
      <c r="W222">
        <v>1</v>
      </c>
      <c r="X222">
        <v>26.556862745098041</v>
      </c>
      <c r="Y222">
        <v>109</v>
      </c>
      <c r="Z222">
        <v>0</v>
      </c>
      <c r="AA222">
        <v>114.6301960784314</v>
      </c>
      <c r="AB222">
        <v>350</v>
      </c>
      <c r="AC222">
        <v>0</v>
      </c>
      <c r="AD222">
        <v>47.122448979591837</v>
      </c>
      <c r="AE222">
        <v>264</v>
      </c>
      <c r="AF222">
        <v>0</v>
      </c>
      <c r="AG222">
        <v>105.5040816326531</v>
      </c>
      <c r="AH222">
        <v>200</v>
      </c>
      <c r="AI222">
        <v>0</v>
      </c>
      <c r="AL222">
        <v>1731</v>
      </c>
      <c r="AM222">
        <v>632</v>
      </c>
      <c r="AN222">
        <v>2363</v>
      </c>
      <c r="AO222">
        <v>1</v>
      </c>
      <c r="AP222">
        <v>615</v>
      </c>
    </row>
    <row r="223" spans="1:42" x14ac:dyDescent="0.3">
      <c r="A223" t="s">
        <v>1554</v>
      </c>
      <c r="B223" t="s">
        <v>40</v>
      </c>
      <c r="C223" t="s">
        <v>1043</v>
      </c>
      <c r="D223" t="s">
        <v>67</v>
      </c>
      <c r="E223" t="s">
        <v>977</v>
      </c>
      <c r="F223">
        <v>2020</v>
      </c>
      <c r="G223">
        <v>112.5</v>
      </c>
      <c r="H223">
        <v>2</v>
      </c>
      <c r="I223">
        <v>0</v>
      </c>
      <c r="J223">
        <v>8</v>
      </c>
      <c r="K223">
        <v>9</v>
      </c>
      <c r="L223" t="s">
        <v>1327</v>
      </c>
      <c r="M223">
        <v>35.713221601489757</v>
      </c>
      <c r="N223">
        <v>303</v>
      </c>
      <c r="O223">
        <v>0</v>
      </c>
      <c r="P223">
        <v>35.03846153846154</v>
      </c>
      <c r="Q223">
        <v>104.65</v>
      </c>
      <c r="R223">
        <v>-0.67476006302821645</v>
      </c>
      <c r="S223">
        <v>111</v>
      </c>
      <c r="T223">
        <v>0</v>
      </c>
      <c r="U223">
        <v>28.12903225806452</v>
      </c>
      <c r="V223">
        <v>79</v>
      </c>
      <c r="W223">
        <v>0</v>
      </c>
      <c r="X223">
        <v>26.556862745098041</v>
      </c>
      <c r="Y223">
        <v>109</v>
      </c>
      <c r="Z223">
        <v>0</v>
      </c>
      <c r="AA223">
        <v>114.6301960784314</v>
      </c>
      <c r="AB223">
        <v>350</v>
      </c>
      <c r="AC223">
        <v>0</v>
      </c>
      <c r="AD223">
        <v>49.901639344262293</v>
      </c>
      <c r="AE223">
        <v>303</v>
      </c>
      <c r="AF223">
        <v>0</v>
      </c>
      <c r="AG223">
        <v>90.971311475409848</v>
      </c>
      <c r="AH223">
        <v>200</v>
      </c>
      <c r="AI223">
        <v>0</v>
      </c>
      <c r="AJ223">
        <v>35</v>
      </c>
      <c r="AK223">
        <v>97.2</v>
      </c>
      <c r="AL223">
        <v>1729</v>
      </c>
      <c r="AM223">
        <v>632</v>
      </c>
      <c r="AN223">
        <v>2361</v>
      </c>
      <c r="AO223">
        <v>44</v>
      </c>
      <c r="AP223">
        <v>613</v>
      </c>
    </row>
    <row r="224" spans="1:42" x14ac:dyDescent="0.3">
      <c r="A224" t="s">
        <v>1302</v>
      </c>
      <c r="B224" t="s">
        <v>11</v>
      </c>
      <c r="C224" t="s">
        <v>1043</v>
      </c>
      <c r="D224" t="s">
        <v>333</v>
      </c>
      <c r="E224" t="s">
        <v>977</v>
      </c>
      <c r="F224">
        <v>2020</v>
      </c>
      <c r="G224">
        <v>97.2</v>
      </c>
      <c r="H224">
        <v>5</v>
      </c>
      <c r="I224">
        <v>1</v>
      </c>
      <c r="J224">
        <v>36</v>
      </c>
      <c r="K224">
        <v>35</v>
      </c>
      <c r="L224" t="s">
        <v>979</v>
      </c>
      <c r="M224">
        <v>35.714552238805972</v>
      </c>
      <c r="N224">
        <v>303</v>
      </c>
      <c r="O224">
        <v>0</v>
      </c>
      <c r="P224">
        <v>36.090909090909093</v>
      </c>
      <c r="Q224">
        <v>121.42727272727269</v>
      </c>
      <c r="R224">
        <v>0.37635685210312181</v>
      </c>
      <c r="S224">
        <v>80</v>
      </c>
      <c r="T224">
        <v>5</v>
      </c>
      <c r="U224">
        <v>31.852941176470591</v>
      </c>
      <c r="V224">
        <v>109</v>
      </c>
      <c r="W224">
        <v>0</v>
      </c>
      <c r="X224">
        <v>26.556862745098041</v>
      </c>
      <c r="Y224">
        <v>109</v>
      </c>
      <c r="Z224">
        <v>0</v>
      </c>
      <c r="AA224">
        <v>114.6301960784314</v>
      </c>
      <c r="AB224">
        <v>350</v>
      </c>
      <c r="AC224">
        <v>0</v>
      </c>
      <c r="AD224">
        <v>49.901639344262293</v>
      </c>
      <c r="AE224">
        <v>303</v>
      </c>
      <c r="AF224">
        <v>0</v>
      </c>
      <c r="AG224">
        <v>90.971311475409848</v>
      </c>
      <c r="AH224">
        <v>200</v>
      </c>
      <c r="AI224">
        <v>0</v>
      </c>
      <c r="AJ224">
        <v>5</v>
      </c>
      <c r="AK224">
        <v>41.7</v>
      </c>
      <c r="AL224">
        <v>1724</v>
      </c>
      <c r="AM224">
        <v>631</v>
      </c>
      <c r="AN224">
        <v>2355</v>
      </c>
      <c r="AO224">
        <v>28</v>
      </c>
      <c r="AP224">
        <v>607</v>
      </c>
    </row>
    <row r="225" spans="1:42" x14ac:dyDescent="0.3">
      <c r="A225" t="s">
        <v>1621</v>
      </c>
      <c r="B225" t="s">
        <v>8</v>
      </c>
      <c r="C225" t="s">
        <v>1043</v>
      </c>
      <c r="D225" t="s">
        <v>333</v>
      </c>
      <c r="E225" t="s">
        <v>977</v>
      </c>
      <c r="F225">
        <v>2020</v>
      </c>
      <c r="G225">
        <v>41.7</v>
      </c>
      <c r="H225">
        <v>0</v>
      </c>
      <c r="I225">
        <v>0</v>
      </c>
      <c r="J225">
        <v>12</v>
      </c>
      <c r="K225">
        <v>5</v>
      </c>
      <c r="L225" t="s">
        <v>1327</v>
      </c>
      <c r="M225">
        <v>35.771962616822428</v>
      </c>
      <c r="N225">
        <v>303</v>
      </c>
      <c r="O225">
        <v>0</v>
      </c>
      <c r="P225">
        <v>36.090909090909093</v>
      </c>
      <c r="Q225">
        <v>121.42727272727269</v>
      </c>
      <c r="R225">
        <v>0.31894647408666538</v>
      </c>
      <c r="S225">
        <v>80</v>
      </c>
      <c r="T225">
        <v>5</v>
      </c>
      <c r="U225">
        <v>28.567567567567568</v>
      </c>
      <c r="V225">
        <v>74</v>
      </c>
      <c r="W225">
        <v>0</v>
      </c>
      <c r="X225">
        <v>26.556862745098041</v>
      </c>
      <c r="Y225">
        <v>109</v>
      </c>
      <c r="Z225">
        <v>0</v>
      </c>
      <c r="AA225">
        <v>114.6301960784314</v>
      </c>
      <c r="AB225">
        <v>350</v>
      </c>
      <c r="AC225">
        <v>0</v>
      </c>
      <c r="AD225">
        <v>49.901639344262293</v>
      </c>
      <c r="AE225">
        <v>303</v>
      </c>
      <c r="AF225">
        <v>0</v>
      </c>
      <c r="AG225">
        <v>90.971311475409848</v>
      </c>
      <c r="AH225">
        <v>200</v>
      </c>
      <c r="AI225">
        <v>0</v>
      </c>
      <c r="AJ225">
        <v>35</v>
      </c>
      <c r="AK225">
        <v>152.19999999999999</v>
      </c>
      <c r="AL225">
        <v>1724</v>
      </c>
      <c r="AM225">
        <v>631</v>
      </c>
      <c r="AN225">
        <v>2355</v>
      </c>
      <c r="AO225">
        <v>28</v>
      </c>
      <c r="AP225">
        <v>607</v>
      </c>
    </row>
    <row r="226" spans="1:42" x14ac:dyDescent="0.3">
      <c r="A226" t="s">
        <v>1303</v>
      </c>
      <c r="B226" t="s">
        <v>4</v>
      </c>
      <c r="C226" t="s">
        <v>1043</v>
      </c>
      <c r="D226" t="s">
        <v>333</v>
      </c>
      <c r="E226" t="s">
        <v>977</v>
      </c>
      <c r="F226">
        <v>2020</v>
      </c>
      <c r="G226">
        <v>152.19999999999999</v>
      </c>
      <c r="H226">
        <v>2</v>
      </c>
      <c r="I226">
        <v>3</v>
      </c>
      <c r="J226">
        <v>23</v>
      </c>
      <c r="K226">
        <v>35</v>
      </c>
      <c r="L226" t="s">
        <v>979</v>
      </c>
      <c r="M226">
        <v>35.773408239700373</v>
      </c>
      <c r="N226">
        <v>303</v>
      </c>
      <c r="O226">
        <v>0</v>
      </c>
      <c r="P226">
        <v>36.090909090909093</v>
      </c>
      <c r="Q226">
        <v>121.42727272727269</v>
      </c>
      <c r="R226">
        <v>0.31750085120872029</v>
      </c>
      <c r="S226">
        <v>80</v>
      </c>
      <c r="T226">
        <v>5</v>
      </c>
      <c r="U226">
        <v>20.68965517241379</v>
      </c>
      <c r="V226">
        <v>73</v>
      </c>
      <c r="W226">
        <v>0</v>
      </c>
      <c r="X226">
        <v>26.556862745098041</v>
      </c>
      <c r="Y226">
        <v>109</v>
      </c>
      <c r="Z226">
        <v>0</v>
      </c>
      <c r="AA226">
        <v>114.6301960784314</v>
      </c>
      <c r="AB226">
        <v>350</v>
      </c>
      <c r="AC226">
        <v>0</v>
      </c>
      <c r="AD226">
        <v>49.901639344262293</v>
      </c>
      <c r="AE226">
        <v>303</v>
      </c>
      <c r="AF226">
        <v>0</v>
      </c>
      <c r="AG226">
        <v>90.971311475409848</v>
      </c>
      <c r="AH226">
        <v>200</v>
      </c>
      <c r="AI226">
        <v>0</v>
      </c>
      <c r="AJ226">
        <v>76</v>
      </c>
      <c r="AK226">
        <v>137.80000000000001</v>
      </c>
      <c r="AL226">
        <v>1722</v>
      </c>
      <c r="AM226">
        <v>628</v>
      </c>
      <c r="AN226">
        <v>2350</v>
      </c>
      <c r="AO226">
        <v>23</v>
      </c>
      <c r="AP226">
        <v>602</v>
      </c>
    </row>
    <row r="227" spans="1:42" x14ac:dyDescent="0.3">
      <c r="A227" t="s">
        <v>1607</v>
      </c>
      <c r="B227" t="s">
        <v>53</v>
      </c>
      <c r="C227" t="s">
        <v>1043</v>
      </c>
      <c r="D227" t="s">
        <v>338</v>
      </c>
      <c r="E227" t="s">
        <v>977</v>
      </c>
      <c r="F227">
        <v>2020</v>
      </c>
      <c r="G227">
        <v>120</v>
      </c>
      <c r="H227">
        <v>0</v>
      </c>
      <c r="I227">
        <v>1</v>
      </c>
      <c r="J227">
        <v>5</v>
      </c>
      <c r="K227">
        <v>6</v>
      </c>
      <c r="L227" t="s">
        <v>1327</v>
      </c>
      <c r="M227">
        <v>35.829268292682933</v>
      </c>
      <c r="N227">
        <v>303</v>
      </c>
      <c r="O227">
        <v>0</v>
      </c>
      <c r="P227">
        <v>8.6</v>
      </c>
      <c r="Q227">
        <v>99.26</v>
      </c>
      <c r="R227">
        <v>-27.229268292682921</v>
      </c>
      <c r="S227">
        <v>22</v>
      </c>
      <c r="T227">
        <v>4</v>
      </c>
      <c r="U227">
        <v>19.375</v>
      </c>
      <c r="V227">
        <v>70</v>
      </c>
      <c r="W227">
        <v>1</v>
      </c>
      <c r="X227">
        <v>26.556862745098041</v>
      </c>
      <c r="Y227">
        <v>109</v>
      </c>
      <c r="Z227">
        <v>0</v>
      </c>
      <c r="AA227">
        <v>114.6301960784314</v>
      </c>
      <c r="AB227">
        <v>350</v>
      </c>
      <c r="AC227">
        <v>0</v>
      </c>
      <c r="AD227">
        <v>49.901639344262293</v>
      </c>
      <c r="AE227">
        <v>303</v>
      </c>
      <c r="AF227">
        <v>0</v>
      </c>
      <c r="AG227">
        <v>90.971311475409848</v>
      </c>
      <c r="AH227">
        <v>200</v>
      </c>
      <c r="AI227">
        <v>0</v>
      </c>
      <c r="AJ227">
        <v>70</v>
      </c>
      <c r="AK227">
        <v>155.6</v>
      </c>
      <c r="AL227">
        <v>1722</v>
      </c>
      <c r="AM227">
        <v>627</v>
      </c>
      <c r="AN227">
        <v>2349</v>
      </c>
      <c r="AO227">
        <v>0</v>
      </c>
      <c r="AP227">
        <v>601</v>
      </c>
    </row>
    <row r="228" spans="1:42" x14ac:dyDescent="0.3">
      <c r="A228" t="s">
        <v>1121</v>
      </c>
      <c r="B228" t="s">
        <v>40</v>
      </c>
      <c r="C228" t="s">
        <v>1043</v>
      </c>
      <c r="D228" t="s">
        <v>333</v>
      </c>
      <c r="E228" t="s">
        <v>977</v>
      </c>
      <c r="F228">
        <v>2020</v>
      </c>
      <c r="G228">
        <v>155.6</v>
      </c>
      <c r="H228">
        <v>8</v>
      </c>
      <c r="I228">
        <v>3</v>
      </c>
      <c r="J228">
        <v>45</v>
      </c>
      <c r="K228">
        <v>70</v>
      </c>
      <c r="L228" t="s">
        <v>979</v>
      </c>
      <c r="M228">
        <v>35.765037593984957</v>
      </c>
      <c r="N228">
        <v>303</v>
      </c>
      <c r="O228">
        <v>0</v>
      </c>
      <c r="P228">
        <v>36.090909090909093</v>
      </c>
      <c r="Q228">
        <v>121.42727272727269</v>
      </c>
      <c r="R228">
        <v>0.32587149692412959</v>
      </c>
      <c r="S228">
        <v>80</v>
      </c>
      <c r="T228">
        <v>5</v>
      </c>
      <c r="U228">
        <v>28.12903225806452</v>
      </c>
      <c r="V228">
        <v>79</v>
      </c>
      <c r="W228">
        <v>0</v>
      </c>
      <c r="X228">
        <v>26.556862745098041</v>
      </c>
      <c r="Y228">
        <v>109</v>
      </c>
      <c r="Z228">
        <v>0</v>
      </c>
      <c r="AA228">
        <v>114.6301960784314</v>
      </c>
      <c r="AB228">
        <v>350</v>
      </c>
      <c r="AC228">
        <v>0</v>
      </c>
      <c r="AD228">
        <v>49.901639344262293</v>
      </c>
      <c r="AE228">
        <v>303</v>
      </c>
      <c r="AF228">
        <v>0</v>
      </c>
      <c r="AG228">
        <v>90.971311475409848</v>
      </c>
      <c r="AH228">
        <v>200</v>
      </c>
      <c r="AI228">
        <v>0</v>
      </c>
      <c r="AJ228">
        <v>8</v>
      </c>
      <c r="AK228">
        <v>100</v>
      </c>
      <c r="AL228">
        <v>1714</v>
      </c>
      <c r="AM228">
        <v>624</v>
      </c>
      <c r="AN228">
        <v>2338</v>
      </c>
      <c r="AO228">
        <v>12</v>
      </c>
      <c r="AP228">
        <v>590</v>
      </c>
    </row>
    <row r="229" spans="1:42" x14ac:dyDescent="0.3">
      <c r="A229" t="s">
        <v>1575</v>
      </c>
      <c r="B229" t="s">
        <v>60</v>
      </c>
      <c r="C229" t="s">
        <v>1043</v>
      </c>
      <c r="D229" t="s">
        <v>67</v>
      </c>
      <c r="E229" t="s">
        <v>1009</v>
      </c>
      <c r="F229">
        <v>2020</v>
      </c>
      <c r="G229">
        <v>100</v>
      </c>
      <c r="H229">
        <v>0</v>
      </c>
      <c r="I229">
        <v>1</v>
      </c>
      <c r="J229">
        <v>8</v>
      </c>
      <c r="K229">
        <v>8</v>
      </c>
      <c r="L229" t="s">
        <v>1327</v>
      </c>
      <c r="M229">
        <v>35.817325800376651</v>
      </c>
      <c r="N229">
        <v>303</v>
      </c>
      <c r="O229">
        <v>0</v>
      </c>
      <c r="P229">
        <v>35.03846153846154</v>
      </c>
      <c r="Q229">
        <v>104.65</v>
      </c>
      <c r="R229">
        <v>-0.77886426191511049</v>
      </c>
      <c r="S229">
        <v>111</v>
      </c>
      <c r="T229">
        <v>0</v>
      </c>
      <c r="U229">
        <v>25.96875</v>
      </c>
      <c r="V229">
        <v>94</v>
      </c>
      <c r="W229">
        <v>0</v>
      </c>
      <c r="X229">
        <v>26.556862745098041</v>
      </c>
      <c r="Y229">
        <v>109</v>
      </c>
      <c r="Z229">
        <v>0</v>
      </c>
      <c r="AA229">
        <v>114.6301960784314</v>
      </c>
      <c r="AB229">
        <v>350</v>
      </c>
      <c r="AC229">
        <v>0</v>
      </c>
      <c r="AD229">
        <v>38.25</v>
      </c>
      <c r="AE229">
        <v>138</v>
      </c>
      <c r="AF229">
        <v>0</v>
      </c>
      <c r="AG229">
        <v>106.2954545454546</v>
      </c>
      <c r="AH229">
        <v>230</v>
      </c>
      <c r="AI229">
        <v>0</v>
      </c>
      <c r="AJ229">
        <v>80</v>
      </c>
      <c r="AK229">
        <v>148.1</v>
      </c>
      <c r="AL229">
        <v>1714</v>
      </c>
      <c r="AM229">
        <v>623</v>
      </c>
      <c r="AN229">
        <v>2337</v>
      </c>
      <c r="AO229">
        <v>43</v>
      </c>
      <c r="AP229">
        <v>589</v>
      </c>
    </row>
    <row r="230" spans="1:42" x14ac:dyDescent="0.3">
      <c r="A230" t="s">
        <v>1089</v>
      </c>
      <c r="B230" t="s">
        <v>11</v>
      </c>
      <c r="C230" t="s">
        <v>1043</v>
      </c>
      <c r="D230" t="s">
        <v>333</v>
      </c>
      <c r="E230" t="s">
        <v>1009</v>
      </c>
      <c r="F230">
        <v>2020</v>
      </c>
      <c r="G230">
        <v>148.1</v>
      </c>
      <c r="H230">
        <v>3</v>
      </c>
      <c r="I230">
        <v>6</v>
      </c>
      <c r="J230">
        <v>54</v>
      </c>
      <c r="K230">
        <v>80</v>
      </c>
      <c r="L230" t="s">
        <v>979</v>
      </c>
      <c r="M230">
        <v>35.733962264150946</v>
      </c>
      <c r="N230">
        <v>303</v>
      </c>
      <c r="O230">
        <v>0</v>
      </c>
      <c r="P230">
        <v>36.090909090909093</v>
      </c>
      <c r="Q230">
        <v>121.42727272727269</v>
      </c>
      <c r="R230">
        <v>0.35694682675814698</v>
      </c>
      <c r="S230">
        <v>80</v>
      </c>
      <c r="T230">
        <v>5</v>
      </c>
      <c r="U230">
        <v>31.852941176470591</v>
      </c>
      <c r="V230">
        <v>109</v>
      </c>
      <c r="W230">
        <v>0</v>
      </c>
      <c r="X230">
        <v>26.556862745098041</v>
      </c>
      <c r="Y230">
        <v>109</v>
      </c>
      <c r="Z230">
        <v>0</v>
      </c>
      <c r="AA230">
        <v>114.6301960784314</v>
      </c>
      <c r="AB230">
        <v>350</v>
      </c>
      <c r="AC230">
        <v>0</v>
      </c>
      <c r="AD230">
        <v>38.25</v>
      </c>
      <c r="AE230">
        <v>138</v>
      </c>
      <c r="AF230">
        <v>0</v>
      </c>
      <c r="AG230">
        <v>106.2954545454546</v>
      </c>
      <c r="AH230">
        <v>230</v>
      </c>
      <c r="AI230">
        <v>0</v>
      </c>
      <c r="AJ230">
        <v>12</v>
      </c>
      <c r="AK230">
        <v>120</v>
      </c>
      <c r="AL230">
        <v>1711</v>
      </c>
      <c r="AM230">
        <v>617</v>
      </c>
      <c r="AN230">
        <v>2328</v>
      </c>
      <c r="AO230">
        <v>3</v>
      </c>
      <c r="AP230">
        <v>580</v>
      </c>
    </row>
    <row r="231" spans="1:42" x14ac:dyDescent="0.3">
      <c r="A231" t="s">
        <v>1506</v>
      </c>
      <c r="B231" t="s">
        <v>56</v>
      </c>
      <c r="C231" t="s">
        <v>1043</v>
      </c>
      <c r="D231" t="s">
        <v>333</v>
      </c>
      <c r="E231" t="s">
        <v>1009</v>
      </c>
      <c r="F231">
        <v>2020</v>
      </c>
      <c r="G231">
        <v>120</v>
      </c>
      <c r="H231">
        <v>2</v>
      </c>
      <c r="I231">
        <v>0</v>
      </c>
      <c r="J231">
        <v>10</v>
      </c>
      <c r="K231">
        <v>12</v>
      </c>
      <c r="L231" t="s">
        <v>1327</v>
      </c>
      <c r="M231">
        <v>35.778827977315693</v>
      </c>
      <c r="N231">
        <v>303</v>
      </c>
      <c r="O231">
        <v>0</v>
      </c>
      <c r="P231">
        <v>36.090909090909093</v>
      </c>
      <c r="Q231">
        <v>121.42727272727269</v>
      </c>
      <c r="R231">
        <v>0.31208111359340052</v>
      </c>
      <c r="S231">
        <v>80</v>
      </c>
      <c r="T231">
        <v>5</v>
      </c>
      <c r="U231">
        <v>25.6</v>
      </c>
      <c r="V231">
        <v>105</v>
      </c>
      <c r="W231">
        <v>0</v>
      </c>
      <c r="X231">
        <v>26.556862745098041</v>
      </c>
      <c r="Y231">
        <v>109</v>
      </c>
      <c r="Z231">
        <v>0</v>
      </c>
      <c r="AA231">
        <v>114.6301960784314</v>
      </c>
      <c r="AB231">
        <v>350</v>
      </c>
      <c r="AC231">
        <v>0</v>
      </c>
      <c r="AD231">
        <v>38.25</v>
      </c>
      <c r="AE231">
        <v>138</v>
      </c>
      <c r="AF231">
        <v>0</v>
      </c>
      <c r="AG231">
        <v>106.2954545454546</v>
      </c>
      <c r="AH231">
        <v>230</v>
      </c>
      <c r="AI231">
        <v>0</v>
      </c>
      <c r="AL231">
        <v>1709</v>
      </c>
      <c r="AM231">
        <v>617</v>
      </c>
      <c r="AN231">
        <v>2326</v>
      </c>
      <c r="AO231">
        <v>1</v>
      </c>
      <c r="AP231">
        <v>578</v>
      </c>
    </row>
    <row r="232" spans="1:42" x14ac:dyDescent="0.3">
      <c r="A232" t="s">
        <v>1163</v>
      </c>
      <c r="B232" t="s">
        <v>15</v>
      </c>
      <c r="C232" t="s">
        <v>5</v>
      </c>
      <c r="D232" t="s">
        <v>403</v>
      </c>
      <c r="E232" t="s">
        <v>990</v>
      </c>
      <c r="F232">
        <v>2020</v>
      </c>
      <c r="G232">
        <v>146.30000000000001</v>
      </c>
      <c r="H232">
        <v>3</v>
      </c>
      <c r="I232">
        <v>3</v>
      </c>
      <c r="J232">
        <v>41</v>
      </c>
      <c r="K232">
        <v>60</v>
      </c>
      <c r="L232" t="s">
        <v>979</v>
      </c>
      <c r="M232">
        <v>35.732954545454547</v>
      </c>
      <c r="N232">
        <v>303</v>
      </c>
      <c r="O232">
        <v>0</v>
      </c>
      <c r="P232">
        <v>69.666666666666671</v>
      </c>
      <c r="Q232">
        <v>105.8</v>
      </c>
      <c r="R232">
        <v>33.933712121212118</v>
      </c>
      <c r="S232">
        <v>87</v>
      </c>
      <c r="T232">
        <v>60</v>
      </c>
      <c r="U232">
        <v>37.701754385964911</v>
      </c>
      <c r="V232">
        <v>147</v>
      </c>
      <c r="W232">
        <v>1</v>
      </c>
      <c r="X232">
        <v>28.189024390243901</v>
      </c>
      <c r="Y232">
        <v>121</v>
      </c>
      <c r="Z232">
        <v>0</v>
      </c>
      <c r="AA232">
        <v>116.45060975609761</v>
      </c>
      <c r="AB232">
        <v>274.39999999999998</v>
      </c>
      <c r="AC232">
        <v>0</v>
      </c>
      <c r="AD232">
        <v>31.115942028985511</v>
      </c>
      <c r="AE232">
        <v>187</v>
      </c>
      <c r="AF232">
        <v>0</v>
      </c>
      <c r="AG232">
        <v>73.336956521739125</v>
      </c>
      <c r="AH232">
        <v>233.3</v>
      </c>
      <c r="AI232">
        <v>0</v>
      </c>
      <c r="AJ232">
        <v>65</v>
      </c>
      <c r="AK232">
        <v>162.5</v>
      </c>
      <c r="AL232">
        <v>1706</v>
      </c>
      <c r="AM232">
        <v>614</v>
      </c>
      <c r="AN232">
        <v>2320</v>
      </c>
      <c r="AO232">
        <v>17</v>
      </c>
      <c r="AP232">
        <v>413</v>
      </c>
    </row>
    <row r="233" spans="1:42" x14ac:dyDescent="0.3">
      <c r="A233" t="s">
        <v>1138</v>
      </c>
      <c r="B233" t="s">
        <v>15</v>
      </c>
      <c r="C233" t="s">
        <v>5</v>
      </c>
      <c r="D233" t="s">
        <v>405</v>
      </c>
      <c r="E233" t="s">
        <v>994</v>
      </c>
      <c r="F233">
        <v>2020</v>
      </c>
      <c r="G233">
        <v>162.5</v>
      </c>
      <c r="H233">
        <v>6</v>
      </c>
      <c r="I233">
        <v>3</v>
      </c>
      <c r="J233">
        <v>40</v>
      </c>
      <c r="K233">
        <v>65</v>
      </c>
      <c r="L233" t="s">
        <v>979</v>
      </c>
      <c r="M233">
        <v>35.677419354838712</v>
      </c>
      <c r="N233">
        <v>303</v>
      </c>
      <c r="O233">
        <v>0</v>
      </c>
      <c r="P233">
        <v>45.5</v>
      </c>
      <c r="Q233">
        <v>91.916666666666671</v>
      </c>
      <c r="R233">
        <v>9.8225806451612883</v>
      </c>
      <c r="S233">
        <v>79</v>
      </c>
      <c r="T233">
        <v>7</v>
      </c>
      <c r="U233">
        <v>37.701754385964911</v>
      </c>
      <c r="V233">
        <v>147</v>
      </c>
      <c r="W233">
        <v>1</v>
      </c>
      <c r="X233">
        <v>28.189024390243901</v>
      </c>
      <c r="Y233">
        <v>121</v>
      </c>
      <c r="Z233">
        <v>0</v>
      </c>
      <c r="AA233">
        <v>116.45060975609761</v>
      </c>
      <c r="AB233">
        <v>274.39999999999998</v>
      </c>
      <c r="AC233">
        <v>0</v>
      </c>
      <c r="AD233">
        <v>47.472727272727283</v>
      </c>
      <c r="AE233">
        <v>171</v>
      </c>
      <c r="AF233">
        <v>0</v>
      </c>
      <c r="AG233">
        <v>81.038181818181826</v>
      </c>
      <c r="AH233">
        <v>175.4</v>
      </c>
      <c r="AI233">
        <v>0</v>
      </c>
      <c r="AJ233">
        <v>15</v>
      </c>
      <c r="AK233">
        <v>125</v>
      </c>
      <c r="AL233">
        <v>1700</v>
      </c>
      <c r="AM233">
        <v>611</v>
      </c>
      <c r="AN233">
        <v>2311</v>
      </c>
      <c r="AO233">
        <v>22</v>
      </c>
      <c r="AP233">
        <v>404</v>
      </c>
    </row>
    <row r="234" spans="1:42" x14ac:dyDescent="0.3">
      <c r="A234" t="s">
        <v>1576</v>
      </c>
      <c r="B234" t="s">
        <v>15</v>
      </c>
      <c r="C234" t="s">
        <v>5</v>
      </c>
      <c r="D234" t="s">
        <v>407</v>
      </c>
      <c r="E234" t="s">
        <v>994</v>
      </c>
      <c r="F234">
        <v>2020</v>
      </c>
      <c r="G234">
        <v>133.30000000000001</v>
      </c>
      <c r="H234">
        <v>2</v>
      </c>
      <c r="I234">
        <v>0</v>
      </c>
      <c r="J234">
        <v>6</v>
      </c>
      <c r="K234">
        <v>8</v>
      </c>
      <c r="L234" t="s">
        <v>1327</v>
      </c>
      <c r="M234">
        <v>35.730038022813687</v>
      </c>
      <c r="N234">
        <v>303</v>
      </c>
      <c r="O234">
        <v>0</v>
      </c>
      <c r="P234">
        <v>36.285714285714278</v>
      </c>
      <c r="Q234">
        <v>100.7714285714286</v>
      </c>
      <c r="R234">
        <v>0.55567626290059735</v>
      </c>
      <c r="S234">
        <v>91</v>
      </c>
      <c r="T234">
        <v>7</v>
      </c>
      <c r="U234">
        <v>37.701754385964911</v>
      </c>
      <c r="V234">
        <v>147</v>
      </c>
      <c r="W234">
        <v>1</v>
      </c>
      <c r="X234">
        <v>28.189024390243901</v>
      </c>
      <c r="Y234">
        <v>121</v>
      </c>
      <c r="Z234">
        <v>0</v>
      </c>
      <c r="AA234">
        <v>116.45060975609761</v>
      </c>
      <c r="AB234">
        <v>274.39999999999998</v>
      </c>
      <c r="AC234">
        <v>0</v>
      </c>
      <c r="AD234">
        <v>47.472727272727283</v>
      </c>
      <c r="AE234">
        <v>171</v>
      </c>
      <c r="AF234">
        <v>0</v>
      </c>
      <c r="AG234">
        <v>81.038181818181826</v>
      </c>
      <c r="AH234">
        <v>175.4</v>
      </c>
      <c r="AI234">
        <v>0</v>
      </c>
      <c r="AJ234">
        <v>7</v>
      </c>
      <c r="AK234">
        <v>116.7</v>
      </c>
      <c r="AL234">
        <v>1698</v>
      </c>
      <c r="AM234">
        <v>611</v>
      </c>
      <c r="AN234">
        <v>2309</v>
      </c>
      <c r="AO234">
        <v>28</v>
      </c>
      <c r="AP234">
        <v>402</v>
      </c>
    </row>
    <row r="235" spans="1:42" x14ac:dyDescent="0.3">
      <c r="A235" t="s">
        <v>1593</v>
      </c>
      <c r="B235" t="s">
        <v>15</v>
      </c>
      <c r="C235" t="s">
        <v>5</v>
      </c>
      <c r="D235" t="s">
        <v>407</v>
      </c>
      <c r="E235" t="s">
        <v>994</v>
      </c>
      <c r="F235">
        <v>2020</v>
      </c>
      <c r="G235">
        <v>116.7</v>
      </c>
      <c r="H235">
        <v>0</v>
      </c>
      <c r="I235">
        <v>1</v>
      </c>
      <c r="J235">
        <v>6</v>
      </c>
      <c r="K235">
        <v>7</v>
      </c>
      <c r="L235" t="s">
        <v>1327</v>
      </c>
      <c r="M235">
        <v>35.784761904761908</v>
      </c>
      <c r="N235">
        <v>303</v>
      </c>
      <c r="O235">
        <v>0</v>
      </c>
      <c r="P235">
        <v>36.285714285714278</v>
      </c>
      <c r="Q235">
        <v>100.7714285714286</v>
      </c>
      <c r="R235">
        <v>0.50095238095237704</v>
      </c>
      <c r="S235">
        <v>91</v>
      </c>
      <c r="T235">
        <v>7</v>
      </c>
      <c r="U235">
        <v>37.701754385964911</v>
      </c>
      <c r="V235">
        <v>147</v>
      </c>
      <c r="W235">
        <v>1</v>
      </c>
      <c r="X235">
        <v>28.189024390243901</v>
      </c>
      <c r="Y235">
        <v>121</v>
      </c>
      <c r="Z235">
        <v>0</v>
      </c>
      <c r="AA235">
        <v>116.45060975609761</v>
      </c>
      <c r="AB235">
        <v>274.39999999999998</v>
      </c>
      <c r="AC235">
        <v>0</v>
      </c>
      <c r="AD235">
        <v>47.472727272727283</v>
      </c>
      <c r="AE235">
        <v>171</v>
      </c>
      <c r="AF235">
        <v>0</v>
      </c>
      <c r="AG235">
        <v>81.038181818181826</v>
      </c>
      <c r="AH235">
        <v>175.4</v>
      </c>
      <c r="AI235">
        <v>0</v>
      </c>
      <c r="AJ235">
        <v>119</v>
      </c>
      <c r="AK235">
        <v>93</v>
      </c>
      <c r="AL235">
        <v>1698</v>
      </c>
      <c r="AM235">
        <v>610</v>
      </c>
      <c r="AN235">
        <v>2308</v>
      </c>
      <c r="AO235">
        <v>27</v>
      </c>
      <c r="AP235">
        <v>401</v>
      </c>
    </row>
    <row r="236" spans="1:42" x14ac:dyDescent="0.3">
      <c r="A236" t="s">
        <v>1030</v>
      </c>
      <c r="B236" t="s">
        <v>32</v>
      </c>
      <c r="C236" t="s">
        <v>16</v>
      </c>
      <c r="D236" t="s">
        <v>103</v>
      </c>
      <c r="E236" t="s">
        <v>994</v>
      </c>
      <c r="F236">
        <v>2020</v>
      </c>
      <c r="G236">
        <v>93</v>
      </c>
      <c r="H236">
        <v>8</v>
      </c>
      <c r="I236">
        <v>6</v>
      </c>
      <c r="J236">
        <v>128</v>
      </c>
      <c r="K236">
        <v>119</v>
      </c>
      <c r="L236" t="s">
        <v>979</v>
      </c>
      <c r="M236">
        <v>35.625954198473281</v>
      </c>
      <c r="N236">
        <v>303</v>
      </c>
      <c r="O236">
        <v>0</v>
      </c>
      <c r="P236">
        <v>43.391304347826093</v>
      </c>
      <c r="Q236">
        <v>100.17391304347829</v>
      </c>
      <c r="R236">
        <v>7.7653501493528054</v>
      </c>
      <c r="S236">
        <v>209</v>
      </c>
      <c r="T236">
        <v>0</v>
      </c>
      <c r="U236">
        <v>44.710843373493979</v>
      </c>
      <c r="V236">
        <v>209</v>
      </c>
      <c r="W236">
        <v>0</v>
      </c>
      <c r="X236">
        <v>42.251824817518248</v>
      </c>
      <c r="Y236">
        <v>264</v>
      </c>
      <c r="Z236">
        <v>0</v>
      </c>
      <c r="AA236">
        <v>77.646715328467153</v>
      </c>
      <c r="AB236">
        <v>200</v>
      </c>
      <c r="AC236">
        <v>0</v>
      </c>
      <c r="AD236">
        <v>47.472727272727283</v>
      </c>
      <c r="AE236">
        <v>171</v>
      </c>
      <c r="AF236">
        <v>0</v>
      </c>
      <c r="AG236">
        <v>81.038181818181826</v>
      </c>
      <c r="AH236">
        <v>175.4</v>
      </c>
      <c r="AI236">
        <v>0</v>
      </c>
      <c r="AJ236">
        <v>52</v>
      </c>
      <c r="AK236">
        <v>81.099999999999994</v>
      </c>
      <c r="AL236">
        <v>1690</v>
      </c>
      <c r="AM236">
        <v>604</v>
      </c>
      <c r="AN236">
        <v>2294</v>
      </c>
      <c r="AO236">
        <v>75</v>
      </c>
      <c r="AP236">
        <v>1047</v>
      </c>
    </row>
    <row r="237" spans="1:42" x14ac:dyDescent="0.3">
      <c r="A237" t="s">
        <v>1263</v>
      </c>
      <c r="B237" t="s">
        <v>32</v>
      </c>
      <c r="C237" t="s">
        <v>16</v>
      </c>
      <c r="D237" t="s">
        <v>19</v>
      </c>
      <c r="E237" t="s">
        <v>994</v>
      </c>
      <c r="F237">
        <v>2020</v>
      </c>
      <c r="G237">
        <v>95.5</v>
      </c>
      <c r="H237">
        <v>6</v>
      </c>
      <c r="I237">
        <v>0</v>
      </c>
      <c r="J237">
        <v>44</v>
      </c>
      <c r="K237">
        <v>42</v>
      </c>
      <c r="L237" t="s">
        <v>979</v>
      </c>
      <c r="M237">
        <v>35.61376673040153</v>
      </c>
      <c r="N237">
        <v>303</v>
      </c>
      <c r="O237">
        <v>0</v>
      </c>
      <c r="P237">
        <v>47.6</v>
      </c>
      <c r="Q237">
        <v>101.29</v>
      </c>
      <c r="R237">
        <v>11.98623326959847</v>
      </c>
      <c r="S237">
        <v>150</v>
      </c>
      <c r="T237">
        <v>5</v>
      </c>
      <c r="U237">
        <v>44.710843373493979</v>
      </c>
      <c r="V237">
        <v>209</v>
      </c>
      <c r="W237">
        <v>0</v>
      </c>
      <c r="X237">
        <v>42.251824817518248</v>
      </c>
      <c r="Y237">
        <v>264</v>
      </c>
      <c r="Z237">
        <v>0</v>
      </c>
      <c r="AA237">
        <v>77.646715328467153</v>
      </c>
      <c r="AB237">
        <v>200</v>
      </c>
      <c r="AC237">
        <v>0</v>
      </c>
      <c r="AD237">
        <v>47.472727272727283</v>
      </c>
      <c r="AE237">
        <v>171</v>
      </c>
      <c r="AF237">
        <v>0</v>
      </c>
      <c r="AG237">
        <v>81.038181818181826</v>
      </c>
      <c r="AH237">
        <v>175.4</v>
      </c>
      <c r="AI237">
        <v>0</v>
      </c>
      <c r="AJ237">
        <v>10</v>
      </c>
      <c r="AK237">
        <v>66.7</v>
      </c>
      <c r="AL237">
        <v>1684</v>
      </c>
      <c r="AM237">
        <v>604</v>
      </c>
      <c r="AN237">
        <v>2288</v>
      </c>
      <c r="AO237">
        <v>24</v>
      </c>
      <c r="AP237">
        <v>1041</v>
      </c>
    </row>
    <row r="238" spans="1:42" x14ac:dyDescent="0.3">
      <c r="A238" t="s">
        <v>1543</v>
      </c>
      <c r="B238" t="s">
        <v>32</v>
      </c>
      <c r="C238" t="s">
        <v>16</v>
      </c>
      <c r="D238" t="s">
        <v>12</v>
      </c>
      <c r="E238" t="s">
        <v>994</v>
      </c>
      <c r="F238">
        <v>2020</v>
      </c>
      <c r="G238">
        <v>66.7</v>
      </c>
      <c r="H238">
        <v>2</v>
      </c>
      <c r="I238">
        <v>0</v>
      </c>
      <c r="J238">
        <v>15</v>
      </c>
      <c r="K238">
        <v>10</v>
      </c>
      <c r="L238" t="s">
        <v>1327</v>
      </c>
      <c r="M238">
        <v>35.662835249042153</v>
      </c>
      <c r="N238">
        <v>303</v>
      </c>
      <c r="O238">
        <v>0</v>
      </c>
      <c r="P238">
        <v>31.203883495145629</v>
      </c>
      <c r="Q238">
        <v>120.5689320388349</v>
      </c>
      <c r="R238">
        <v>-4.458951753896514</v>
      </c>
      <c r="S238">
        <v>162</v>
      </c>
      <c r="T238">
        <v>0</v>
      </c>
      <c r="U238">
        <v>44.710843373493979</v>
      </c>
      <c r="V238">
        <v>209</v>
      </c>
      <c r="W238">
        <v>0</v>
      </c>
      <c r="X238">
        <v>42.251824817518248</v>
      </c>
      <c r="Y238">
        <v>264</v>
      </c>
      <c r="Z238">
        <v>0</v>
      </c>
      <c r="AA238">
        <v>77.646715328467153</v>
      </c>
      <c r="AB238">
        <v>200</v>
      </c>
      <c r="AC238">
        <v>0</v>
      </c>
      <c r="AD238">
        <v>47.472727272727283</v>
      </c>
      <c r="AE238">
        <v>171</v>
      </c>
      <c r="AF238">
        <v>0</v>
      </c>
      <c r="AG238">
        <v>81.038181818181826</v>
      </c>
      <c r="AH238">
        <v>175.4</v>
      </c>
      <c r="AI238">
        <v>0</v>
      </c>
      <c r="AL238">
        <v>1682</v>
      </c>
      <c r="AM238">
        <v>604</v>
      </c>
      <c r="AN238">
        <v>2286</v>
      </c>
      <c r="AO238">
        <v>294</v>
      </c>
      <c r="AP238">
        <v>1039</v>
      </c>
    </row>
    <row r="239" spans="1:42" x14ac:dyDescent="0.3">
      <c r="A239" t="s">
        <v>1152</v>
      </c>
      <c r="B239" t="s">
        <v>208</v>
      </c>
      <c r="C239" t="s">
        <v>16</v>
      </c>
      <c r="D239" t="s">
        <v>78</v>
      </c>
      <c r="E239" t="s">
        <v>987</v>
      </c>
      <c r="F239">
        <v>2019</v>
      </c>
      <c r="G239">
        <v>100</v>
      </c>
      <c r="H239">
        <v>8</v>
      </c>
      <c r="I239">
        <v>1</v>
      </c>
      <c r="J239">
        <v>63</v>
      </c>
      <c r="K239">
        <v>63</v>
      </c>
      <c r="L239" t="s">
        <v>979</v>
      </c>
      <c r="M239">
        <v>35.610364683301341</v>
      </c>
      <c r="N239">
        <v>303</v>
      </c>
      <c r="O239">
        <v>0</v>
      </c>
      <c r="P239">
        <v>44.222222222222221</v>
      </c>
      <c r="Q239">
        <v>102.3</v>
      </c>
      <c r="R239">
        <v>8.61185753892088</v>
      </c>
      <c r="S239">
        <v>119</v>
      </c>
      <c r="T239">
        <v>1</v>
      </c>
      <c r="U239">
        <v>47.081967213114751</v>
      </c>
      <c r="V239">
        <v>177</v>
      </c>
      <c r="W239">
        <v>0</v>
      </c>
      <c r="X239">
        <v>42.251824817518248</v>
      </c>
      <c r="Y239">
        <v>264</v>
      </c>
      <c r="Z239">
        <v>0</v>
      </c>
      <c r="AA239">
        <v>77.646715328467153</v>
      </c>
      <c r="AB239">
        <v>200</v>
      </c>
      <c r="AC239">
        <v>0</v>
      </c>
      <c r="AD239">
        <v>40.825000000000003</v>
      </c>
      <c r="AE239">
        <v>208</v>
      </c>
      <c r="AF239">
        <v>1</v>
      </c>
      <c r="AG239">
        <v>90.646250000000009</v>
      </c>
      <c r="AH239">
        <v>274.39999999999998</v>
      </c>
      <c r="AI239">
        <v>15.4</v>
      </c>
      <c r="AJ239">
        <v>159</v>
      </c>
      <c r="AK239">
        <v>115.2</v>
      </c>
      <c r="AL239">
        <v>1674</v>
      </c>
      <c r="AM239">
        <v>603</v>
      </c>
      <c r="AN239">
        <v>2277</v>
      </c>
      <c r="AO239">
        <v>21</v>
      </c>
      <c r="AP239">
        <v>1030</v>
      </c>
    </row>
    <row r="240" spans="1:42" x14ac:dyDescent="0.3">
      <c r="A240" t="s">
        <v>998</v>
      </c>
      <c r="B240" t="s">
        <v>208</v>
      </c>
      <c r="C240" t="s">
        <v>16</v>
      </c>
      <c r="D240" t="s">
        <v>25</v>
      </c>
      <c r="E240" t="s">
        <v>987</v>
      </c>
      <c r="F240">
        <v>2019</v>
      </c>
      <c r="G240">
        <v>115.2</v>
      </c>
      <c r="H240">
        <v>17</v>
      </c>
      <c r="I240">
        <v>5</v>
      </c>
      <c r="J240">
        <v>138</v>
      </c>
      <c r="K240">
        <v>159</v>
      </c>
      <c r="L240" t="s">
        <v>979</v>
      </c>
      <c r="M240">
        <v>35.373076923076923</v>
      </c>
      <c r="N240">
        <v>303</v>
      </c>
      <c r="O240">
        <v>0</v>
      </c>
      <c r="P240">
        <v>56.375</v>
      </c>
      <c r="Q240">
        <v>92.453125</v>
      </c>
      <c r="R240">
        <v>21.001923076923081</v>
      </c>
      <c r="S240">
        <v>303</v>
      </c>
      <c r="T240">
        <v>4</v>
      </c>
      <c r="U240">
        <v>47.081967213114751</v>
      </c>
      <c r="V240">
        <v>177</v>
      </c>
      <c r="W240">
        <v>0</v>
      </c>
      <c r="X240">
        <v>42.251824817518248</v>
      </c>
      <c r="Y240">
        <v>264</v>
      </c>
      <c r="Z240">
        <v>0</v>
      </c>
      <c r="AA240">
        <v>77.646715328467153</v>
      </c>
      <c r="AB240">
        <v>200</v>
      </c>
      <c r="AC240">
        <v>0</v>
      </c>
      <c r="AD240">
        <v>40.825000000000003</v>
      </c>
      <c r="AE240">
        <v>208</v>
      </c>
      <c r="AF240">
        <v>1</v>
      </c>
      <c r="AG240">
        <v>90.646250000000009</v>
      </c>
      <c r="AH240">
        <v>274.39999999999998</v>
      </c>
      <c r="AI240">
        <v>15.4</v>
      </c>
      <c r="AJ240">
        <v>36</v>
      </c>
      <c r="AK240">
        <v>64.3</v>
      </c>
      <c r="AL240">
        <v>1657</v>
      </c>
      <c r="AM240">
        <v>598</v>
      </c>
      <c r="AN240">
        <v>2255</v>
      </c>
      <c r="AO240">
        <v>85</v>
      </c>
      <c r="AP240">
        <v>1008</v>
      </c>
    </row>
    <row r="241" spans="1:42" x14ac:dyDescent="0.3">
      <c r="A241" t="s">
        <v>1293</v>
      </c>
      <c r="B241" t="s">
        <v>208</v>
      </c>
      <c r="C241" t="s">
        <v>16</v>
      </c>
      <c r="D241" t="s">
        <v>64</v>
      </c>
      <c r="E241" t="s">
        <v>987</v>
      </c>
      <c r="F241">
        <v>2019</v>
      </c>
      <c r="G241">
        <v>64.3</v>
      </c>
      <c r="H241">
        <v>6</v>
      </c>
      <c r="I241">
        <v>0</v>
      </c>
      <c r="J241">
        <v>56</v>
      </c>
      <c r="K241">
        <v>36</v>
      </c>
      <c r="L241" t="s">
        <v>979</v>
      </c>
      <c r="M241">
        <v>35.371868978805402</v>
      </c>
      <c r="N241">
        <v>303</v>
      </c>
      <c r="O241">
        <v>0</v>
      </c>
      <c r="P241">
        <v>26</v>
      </c>
      <c r="Q241">
        <v>94.26964285714287</v>
      </c>
      <c r="R241">
        <v>-9.371868978805395</v>
      </c>
      <c r="S241">
        <v>187</v>
      </c>
      <c r="T241">
        <v>0</v>
      </c>
      <c r="U241">
        <v>47.081967213114751</v>
      </c>
      <c r="V241">
        <v>177</v>
      </c>
      <c r="W241">
        <v>0</v>
      </c>
      <c r="X241">
        <v>42.251824817518248</v>
      </c>
      <c r="Y241">
        <v>264</v>
      </c>
      <c r="Z241">
        <v>0</v>
      </c>
      <c r="AA241">
        <v>77.646715328467153</v>
      </c>
      <c r="AB241">
        <v>200</v>
      </c>
      <c r="AC241">
        <v>0</v>
      </c>
      <c r="AD241">
        <v>40.825000000000003</v>
      </c>
      <c r="AE241">
        <v>208</v>
      </c>
      <c r="AF241">
        <v>1</v>
      </c>
      <c r="AG241">
        <v>90.646250000000009</v>
      </c>
      <c r="AH241">
        <v>274.39999999999998</v>
      </c>
      <c r="AI241">
        <v>15.4</v>
      </c>
      <c r="AJ241">
        <v>71</v>
      </c>
      <c r="AK241">
        <v>208.8</v>
      </c>
      <c r="AL241">
        <v>1651</v>
      </c>
      <c r="AM241">
        <v>598</v>
      </c>
      <c r="AN241">
        <v>2249</v>
      </c>
      <c r="AO241">
        <v>27</v>
      </c>
      <c r="AP241">
        <v>1002</v>
      </c>
    </row>
    <row r="242" spans="1:42" x14ac:dyDescent="0.3">
      <c r="A242" t="s">
        <v>1118</v>
      </c>
      <c r="B242" t="s">
        <v>208</v>
      </c>
      <c r="C242" t="s">
        <v>5</v>
      </c>
      <c r="D242" t="s">
        <v>12</v>
      </c>
      <c r="E242" t="s">
        <v>987</v>
      </c>
      <c r="F242">
        <v>2019</v>
      </c>
      <c r="G242">
        <v>208.8</v>
      </c>
      <c r="H242">
        <v>6</v>
      </c>
      <c r="I242">
        <v>5</v>
      </c>
      <c r="J242">
        <v>34</v>
      </c>
      <c r="K242">
        <v>71</v>
      </c>
      <c r="L242" t="s">
        <v>979</v>
      </c>
      <c r="M242">
        <v>35.303088803088812</v>
      </c>
      <c r="N242">
        <v>303</v>
      </c>
      <c r="O242">
        <v>0</v>
      </c>
      <c r="P242">
        <v>31.203883495145629</v>
      </c>
      <c r="Q242">
        <v>120.5689320388349</v>
      </c>
      <c r="R242">
        <v>-4.0992053079431727</v>
      </c>
      <c r="S242">
        <v>162</v>
      </c>
      <c r="T242">
        <v>0</v>
      </c>
      <c r="U242">
        <v>47.081967213114751</v>
      </c>
      <c r="V242">
        <v>177</v>
      </c>
      <c r="W242">
        <v>0</v>
      </c>
      <c r="X242">
        <v>28.189024390243901</v>
      </c>
      <c r="Y242">
        <v>121</v>
      </c>
      <c r="Z242">
        <v>0</v>
      </c>
      <c r="AA242">
        <v>116.45060975609761</v>
      </c>
      <c r="AB242">
        <v>274.39999999999998</v>
      </c>
      <c r="AC242">
        <v>0</v>
      </c>
      <c r="AD242">
        <v>40.825000000000003</v>
      </c>
      <c r="AE242">
        <v>208</v>
      </c>
      <c r="AF242">
        <v>1</v>
      </c>
      <c r="AG242">
        <v>90.646250000000009</v>
      </c>
      <c r="AH242">
        <v>274.39999999999998</v>
      </c>
      <c r="AI242">
        <v>15.4</v>
      </c>
      <c r="AJ242">
        <v>23</v>
      </c>
      <c r="AK242">
        <v>81.650000000000006</v>
      </c>
      <c r="AL242">
        <v>1645</v>
      </c>
      <c r="AM242">
        <v>593</v>
      </c>
      <c r="AN242">
        <v>2238</v>
      </c>
      <c r="AO242">
        <v>283</v>
      </c>
      <c r="AP242">
        <v>390</v>
      </c>
    </row>
    <row r="243" spans="1:42" x14ac:dyDescent="0.3">
      <c r="A243" t="s">
        <v>1463</v>
      </c>
      <c r="B243" t="s">
        <v>208</v>
      </c>
      <c r="C243" t="s">
        <v>5</v>
      </c>
      <c r="D243" t="s">
        <v>254</v>
      </c>
      <c r="E243" t="s">
        <v>987</v>
      </c>
      <c r="F243">
        <v>2019</v>
      </c>
      <c r="G243">
        <v>83.3</v>
      </c>
      <c r="H243">
        <v>2</v>
      </c>
      <c r="I243">
        <v>0</v>
      </c>
      <c r="J243">
        <v>18</v>
      </c>
      <c r="K243">
        <v>15</v>
      </c>
      <c r="L243" t="s">
        <v>1327</v>
      </c>
      <c r="M243">
        <v>35.342359767891693</v>
      </c>
      <c r="N243">
        <v>303</v>
      </c>
      <c r="O243">
        <v>0</v>
      </c>
      <c r="P243">
        <v>25.6</v>
      </c>
      <c r="Q243">
        <v>74.08</v>
      </c>
      <c r="R243">
        <v>-9.7423597678916849</v>
      </c>
      <c r="S243">
        <v>63</v>
      </c>
      <c r="T243">
        <v>0</v>
      </c>
      <c r="U243">
        <v>47.081967213114751</v>
      </c>
      <c r="V243">
        <v>177</v>
      </c>
      <c r="W243">
        <v>0</v>
      </c>
      <c r="X243">
        <v>28.189024390243901</v>
      </c>
      <c r="Y243">
        <v>121</v>
      </c>
      <c r="Z243">
        <v>0</v>
      </c>
      <c r="AA243">
        <v>116.45060975609761</v>
      </c>
      <c r="AB243">
        <v>274.39999999999998</v>
      </c>
      <c r="AC243">
        <v>0</v>
      </c>
      <c r="AD243">
        <v>40.825000000000003</v>
      </c>
      <c r="AE243">
        <v>208</v>
      </c>
      <c r="AF243">
        <v>1</v>
      </c>
      <c r="AG243">
        <v>90.646250000000009</v>
      </c>
      <c r="AH243">
        <v>274.39999999999998</v>
      </c>
      <c r="AI243">
        <v>15.4</v>
      </c>
      <c r="AJ243">
        <v>8</v>
      </c>
      <c r="AK243">
        <v>80</v>
      </c>
      <c r="AL243">
        <v>1643</v>
      </c>
      <c r="AM243">
        <v>593</v>
      </c>
      <c r="AN243">
        <v>2236</v>
      </c>
      <c r="AO243">
        <v>10</v>
      </c>
      <c r="AP243">
        <v>388</v>
      </c>
    </row>
    <row r="244" spans="1:42" x14ac:dyDescent="0.3">
      <c r="A244" t="s">
        <v>1577</v>
      </c>
      <c r="B244" t="s">
        <v>208</v>
      </c>
      <c r="C244" t="s">
        <v>5</v>
      </c>
      <c r="D244" t="s">
        <v>54</v>
      </c>
      <c r="E244" t="s">
        <v>987</v>
      </c>
      <c r="F244">
        <v>2019</v>
      </c>
      <c r="G244">
        <v>80</v>
      </c>
      <c r="H244">
        <v>1</v>
      </c>
      <c r="I244">
        <v>0</v>
      </c>
      <c r="J244">
        <v>10</v>
      </c>
      <c r="K244">
        <v>8</v>
      </c>
      <c r="L244" t="s">
        <v>1327</v>
      </c>
      <c r="M244">
        <v>35.395348837209298</v>
      </c>
      <c r="N244">
        <v>303</v>
      </c>
      <c r="O244">
        <v>0</v>
      </c>
      <c r="P244">
        <v>30</v>
      </c>
      <c r="Q244">
        <v>129.072</v>
      </c>
      <c r="R244">
        <v>-5.3953488372093048</v>
      </c>
      <c r="S244">
        <v>76</v>
      </c>
      <c r="T244">
        <v>1</v>
      </c>
      <c r="U244">
        <v>47.081967213114751</v>
      </c>
      <c r="V244">
        <v>177</v>
      </c>
      <c r="W244">
        <v>0</v>
      </c>
      <c r="X244">
        <v>28.189024390243901</v>
      </c>
      <c r="Y244">
        <v>121</v>
      </c>
      <c r="Z244">
        <v>0</v>
      </c>
      <c r="AA244">
        <v>116.45060975609761</v>
      </c>
      <c r="AB244">
        <v>274.39999999999998</v>
      </c>
      <c r="AC244">
        <v>0</v>
      </c>
      <c r="AD244">
        <v>40.825000000000003</v>
      </c>
      <c r="AE244">
        <v>208</v>
      </c>
      <c r="AF244">
        <v>1</v>
      </c>
      <c r="AG244">
        <v>90.646250000000009</v>
      </c>
      <c r="AH244">
        <v>274.39999999999998</v>
      </c>
      <c r="AI244">
        <v>15.4</v>
      </c>
      <c r="AL244">
        <v>1642</v>
      </c>
      <c r="AM244">
        <v>593</v>
      </c>
      <c r="AN244">
        <v>2235</v>
      </c>
      <c r="AO244">
        <v>70</v>
      </c>
      <c r="AP244">
        <v>387</v>
      </c>
    </row>
    <row r="245" spans="1:42" x14ac:dyDescent="0.3">
      <c r="A245" t="s">
        <v>1403</v>
      </c>
      <c r="B245" t="s">
        <v>73</v>
      </c>
      <c r="C245" t="s">
        <v>83</v>
      </c>
      <c r="D245" t="s">
        <v>139</v>
      </c>
      <c r="E245" t="s">
        <v>981</v>
      </c>
      <c r="F245">
        <v>2019</v>
      </c>
      <c r="G245">
        <v>60</v>
      </c>
      <c r="H245">
        <v>2</v>
      </c>
      <c r="I245">
        <v>1</v>
      </c>
      <c r="J245">
        <v>38</v>
      </c>
      <c r="K245">
        <v>21</v>
      </c>
      <c r="L245" t="s">
        <v>1327</v>
      </c>
      <c r="M245">
        <v>35.42330097087379</v>
      </c>
      <c r="N245">
        <v>303</v>
      </c>
      <c r="O245">
        <v>0</v>
      </c>
      <c r="P245">
        <v>45.666666666666657</v>
      </c>
      <c r="Q245">
        <v>104.1166666666667</v>
      </c>
      <c r="R245">
        <v>10.243365695792869</v>
      </c>
      <c r="S245">
        <v>264</v>
      </c>
      <c r="T245">
        <v>0</v>
      </c>
      <c r="U245">
        <v>38.228571428571428</v>
      </c>
      <c r="V245">
        <v>137</v>
      </c>
      <c r="W245">
        <v>0</v>
      </c>
      <c r="X245">
        <v>65.166666666666671</v>
      </c>
      <c r="Y245">
        <v>303</v>
      </c>
      <c r="Z245">
        <v>1</v>
      </c>
      <c r="AA245">
        <v>55.904545454545449</v>
      </c>
      <c r="AB245">
        <v>161.6</v>
      </c>
      <c r="AC245">
        <v>16.600000000000001</v>
      </c>
      <c r="AD245">
        <v>47.122448979591837</v>
      </c>
      <c r="AE245">
        <v>264</v>
      </c>
      <c r="AF245">
        <v>0</v>
      </c>
      <c r="AG245">
        <v>105.5040816326531</v>
      </c>
      <c r="AH245">
        <v>200</v>
      </c>
      <c r="AI245">
        <v>0</v>
      </c>
      <c r="AL245">
        <v>1640</v>
      </c>
      <c r="AM245">
        <v>592</v>
      </c>
      <c r="AN245">
        <v>2232</v>
      </c>
      <c r="AO245">
        <v>149</v>
      </c>
      <c r="AP245">
        <v>265</v>
      </c>
    </row>
    <row r="246" spans="1:42" x14ac:dyDescent="0.3">
      <c r="A246" t="s">
        <v>1608</v>
      </c>
      <c r="B246" t="s">
        <v>73</v>
      </c>
      <c r="C246" t="s">
        <v>83</v>
      </c>
      <c r="D246" t="s">
        <v>17</v>
      </c>
      <c r="E246" t="s">
        <v>981</v>
      </c>
      <c r="F246">
        <v>2019</v>
      </c>
      <c r="G246">
        <v>42.8</v>
      </c>
      <c r="H246">
        <v>1</v>
      </c>
      <c r="I246">
        <v>0</v>
      </c>
      <c r="J246">
        <v>11</v>
      </c>
      <c r="K246">
        <v>6</v>
      </c>
      <c r="L246" t="s">
        <v>1327</v>
      </c>
      <c r="M246">
        <v>35.480544747081709</v>
      </c>
      <c r="N246">
        <v>303</v>
      </c>
      <c r="O246">
        <v>0</v>
      </c>
      <c r="P246">
        <v>33.769230769230766</v>
      </c>
      <c r="Q246">
        <v>87.853846153846149</v>
      </c>
      <c r="R246">
        <v>-1.7113139778509421</v>
      </c>
      <c r="S246">
        <v>118</v>
      </c>
      <c r="T246">
        <v>0</v>
      </c>
      <c r="U246">
        <v>38.228571428571428</v>
      </c>
      <c r="V246">
        <v>137</v>
      </c>
      <c r="W246">
        <v>0</v>
      </c>
      <c r="X246">
        <v>65.166666666666671</v>
      </c>
      <c r="Y246">
        <v>303</v>
      </c>
      <c r="Z246">
        <v>1</v>
      </c>
      <c r="AA246">
        <v>55.904545454545449</v>
      </c>
      <c r="AB246">
        <v>161.6</v>
      </c>
      <c r="AC246">
        <v>16.600000000000001</v>
      </c>
      <c r="AD246">
        <v>47.122448979591837</v>
      </c>
      <c r="AE246">
        <v>264</v>
      </c>
      <c r="AF246">
        <v>0</v>
      </c>
      <c r="AG246">
        <v>105.5040816326531</v>
      </c>
      <c r="AH246">
        <v>200</v>
      </c>
      <c r="AI246">
        <v>0</v>
      </c>
      <c r="AJ246">
        <v>2</v>
      </c>
      <c r="AK246">
        <v>33.299999999999997</v>
      </c>
      <c r="AL246">
        <v>1639</v>
      </c>
      <c r="AM246">
        <v>592</v>
      </c>
      <c r="AN246">
        <v>2231</v>
      </c>
      <c r="AO246">
        <v>43</v>
      </c>
      <c r="AP246">
        <v>264</v>
      </c>
    </row>
    <row r="247" spans="1:42" x14ac:dyDescent="0.3">
      <c r="A247" t="s">
        <v>1688</v>
      </c>
      <c r="B247" t="s">
        <v>73</v>
      </c>
      <c r="C247" t="s">
        <v>5</v>
      </c>
      <c r="D247" t="s">
        <v>80</v>
      </c>
      <c r="E247" t="s">
        <v>981</v>
      </c>
      <c r="F247">
        <v>2019</v>
      </c>
      <c r="G247">
        <v>33.299999999999997</v>
      </c>
      <c r="H247">
        <v>0</v>
      </c>
      <c r="I247">
        <v>0</v>
      </c>
      <c r="J247">
        <v>6</v>
      </c>
      <c r="K247">
        <v>2</v>
      </c>
      <c r="L247" t="s">
        <v>1327</v>
      </c>
      <c r="M247">
        <v>35.5458089668616</v>
      </c>
      <c r="N247">
        <v>303</v>
      </c>
      <c r="O247">
        <v>0</v>
      </c>
      <c r="P247">
        <v>45.785714285714278</v>
      </c>
      <c r="Q247">
        <v>80.371428571428552</v>
      </c>
      <c r="R247">
        <v>10.23990531885268</v>
      </c>
      <c r="S247">
        <v>125</v>
      </c>
      <c r="T247">
        <v>0</v>
      </c>
      <c r="U247">
        <v>38.228571428571428</v>
      </c>
      <c r="V247">
        <v>137</v>
      </c>
      <c r="W247">
        <v>0</v>
      </c>
      <c r="X247">
        <v>28.189024390243901</v>
      </c>
      <c r="Y247">
        <v>121</v>
      </c>
      <c r="Z247">
        <v>0</v>
      </c>
      <c r="AA247">
        <v>116.45060975609761</v>
      </c>
      <c r="AB247">
        <v>274.39999999999998</v>
      </c>
      <c r="AC247">
        <v>0</v>
      </c>
      <c r="AD247">
        <v>47.122448979591837</v>
      </c>
      <c r="AE247">
        <v>264</v>
      </c>
      <c r="AF247">
        <v>0</v>
      </c>
      <c r="AG247">
        <v>105.5040816326531</v>
      </c>
      <c r="AH247">
        <v>200</v>
      </c>
      <c r="AI247">
        <v>0</v>
      </c>
      <c r="AJ247">
        <v>85</v>
      </c>
      <c r="AK247">
        <v>197.7</v>
      </c>
      <c r="AL247">
        <v>1639</v>
      </c>
      <c r="AM247">
        <v>592</v>
      </c>
      <c r="AN247">
        <v>2231</v>
      </c>
      <c r="AO247">
        <v>54</v>
      </c>
      <c r="AP247">
        <v>387</v>
      </c>
    </row>
    <row r="248" spans="1:42" x14ac:dyDescent="0.3">
      <c r="A248" t="s">
        <v>1079</v>
      </c>
      <c r="B248" t="s">
        <v>73</v>
      </c>
      <c r="C248" t="s">
        <v>5</v>
      </c>
      <c r="D248" t="s">
        <v>19</v>
      </c>
      <c r="E248" t="s">
        <v>981</v>
      </c>
      <c r="F248">
        <v>2019</v>
      </c>
      <c r="G248">
        <v>197.7</v>
      </c>
      <c r="H248">
        <v>6</v>
      </c>
      <c r="I248">
        <v>6</v>
      </c>
      <c r="J248">
        <v>43</v>
      </c>
      <c r="K248">
        <v>85</v>
      </c>
      <c r="L248" t="s">
        <v>979</v>
      </c>
      <c r="M248">
        <v>35.44921875</v>
      </c>
      <c r="N248">
        <v>303</v>
      </c>
      <c r="O248">
        <v>0</v>
      </c>
      <c r="P248">
        <v>47.6</v>
      </c>
      <c r="Q248">
        <v>101.29</v>
      </c>
      <c r="R248">
        <v>12.15078125</v>
      </c>
      <c r="S248">
        <v>150</v>
      </c>
      <c r="T248">
        <v>5</v>
      </c>
      <c r="U248">
        <v>38.228571428571428</v>
      </c>
      <c r="V248">
        <v>137</v>
      </c>
      <c r="W248">
        <v>0</v>
      </c>
      <c r="X248">
        <v>28.189024390243901</v>
      </c>
      <c r="Y248">
        <v>121</v>
      </c>
      <c r="Z248">
        <v>0</v>
      </c>
      <c r="AA248">
        <v>116.45060975609761</v>
      </c>
      <c r="AB248">
        <v>274.39999999999998</v>
      </c>
      <c r="AC248">
        <v>0</v>
      </c>
      <c r="AD248">
        <v>47.122448979591837</v>
      </c>
      <c r="AE248">
        <v>264</v>
      </c>
      <c r="AF248">
        <v>0</v>
      </c>
      <c r="AG248">
        <v>105.5040816326531</v>
      </c>
      <c r="AH248">
        <v>200</v>
      </c>
      <c r="AI248">
        <v>0</v>
      </c>
      <c r="AJ248">
        <v>9</v>
      </c>
      <c r="AK248">
        <v>180</v>
      </c>
      <c r="AL248">
        <v>1633</v>
      </c>
      <c r="AM248">
        <v>586</v>
      </c>
      <c r="AN248">
        <v>2219</v>
      </c>
      <c r="AO248">
        <v>12</v>
      </c>
      <c r="AP248">
        <v>375</v>
      </c>
    </row>
    <row r="249" spans="1:42" x14ac:dyDescent="0.3">
      <c r="A249" t="s">
        <v>1555</v>
      </c>
      <c r="B249" t="s">
        <v>73</v>
      </c>
      <c r="C249" t="s">
        <v>5</v>
      </c>
      <c r="D249" t="s">
        <v>9</v>
      </c>
      <c r="E249" t="s">
        <v>981</v>
      </c>
      <c r="F249">
        <v>2019</v>
      </c>
      <c r="G249">
        <v>180</v>
      </c>
      <c r="H249">
        <v>2</v>
      </c>
      <c r="I249">
        <v>0</v>
      </c>
      <c r="J249">
        <v>5</v>
      </c>
      <c r="K249">
        <v>9</v>
      </c>
      <c r="L249" t="s">
        <v>1327</v>
      </c>
      <c r="M249">
        <v>35.500978473581213</v>
      </c>
      <c r="N249">
        <v>303</v>
      </c>
      <c r="O249">
        <v>0</v>
      </c>
      <c r="P249">
        <v>38.36</v>
      </c>
      <c r="Q249">
        <v>122.748</v>
      </c>
      <c r="R249">
        <v>2.8590215264187862</v>
      </c>
      <c r="S249">
        <v>131</v>
      </c>
      <c r="T249">
        <v>1</v>
      </c>
      <c r="U249">
        <v>38.228571428571428</v>
      </c>
      <c r="V249">
        <v>137</v>
      </c>
      <c r="W249">
        <v>0</v>
      </c>
      <c r="X249">
        <v>28.189024390243901</v>
      </c>
      <c r="Y249">
        <v>121</v>
      </c>
      <c r="Z249">
        <v>0</v>
      </c>
      <c r="AA249">
        <v>116.45060975609761</v>
      </c>
      <c r="AB249">
        <v>274.39999999999998</v>
      </c>
      <c r="AC249">
        <v>0</v>
      </c>
      <c r="AD249">
        <v>47.122448979591837</v>
      </c>
      <c r="AE249">
        <v>264</v>
      </c>
      <c r="AF249">
        <v>0</v>
      </c>
      <c r="AG249">
        <v>105.5040816326531</v>
      </c>
      <c r="AH249">
        <v>200</v>
      </c>
      <c r="AI249">
        <v>0</v>
      </c>
      <c r="AL249">
        <v>1631</v>
      </c>
      <c r="AM249">
        <v>586</v>
      </c>
      <c r="AN249">
        <v>2217</v>
      </c>
      <c r="AO249">
        <v>68</v>
      </c>
      <c r="AP249">
        <v>373</v>
      </c>
    </row>
    <row r="250" spans="1:42" x14ac:dyDescent="0.3">
      <c r="A250" t="s">
        <v>983</v>
      </c>
      <c r="B250" t="s">
        <v>24</v>
      </c>
      <c r="C250" t="s">
        <v>83</v>
      </c>
      <c r="D250" t="s">
        <v>29</v>
      </c>
      <c r="E250" t="s">
        <v>977</v>
      </c>
      <c r="F250">
        <v>2019</v>
      </c>
      <c r="G250">
        <v>83.1</v>
      </c>
      <c r="H250">
        <v>28</v>
      </c>
      <c r="I250">
        <v>6</v>
      </c>
      <c r="J250">
        <v>382</v>
      </c>
      <c r="K250">
        <v>212</v>
      </c>
      <c r="L250" t="s">
        <v>979</v>
      </c>
      <c r="M250">
        <v>35.154901960784308</v>
      </c>
      <c r="N250">
        <v>303</v>
      </c>
      <c r="O250">
        <v>0</v>
      </c>
      <c r="P250">
        <v>47.8</v>
      </c>
      <c r="Q250">
        <v>97.134999999999991</v>
      </c>
      <c r="R250">
        <v>12.64509803921568</v>
      </c>
      <c r="S250">
        <v>212</v>
      </c>
      <c r="T250">
        <v>9</v>
      </c>
      <c r="U250">
        <v>37.163636363636357</v>
      </c>
      <c r="V250">
        <v>303</v>
      </c>
      <c r="W250">
        <v>0</v>
      </c>
      <c r="X250">
        <v>65.166666666666671</v>
      </c>
      <c r="Y250">
        <v>303</v>
      </c>
      <c r="Z250">
        <v>1</v>
      </c>
      <c r="AA250">
        <v>55.904545454545449</v>
      </c>
      <c r="AB250">
        <v>161.6</v>
      </c>
      <c r="AC250">
        <v>16.600000000000001</v>
      </c>
      <c r="AD250">
        <v>49.901639344262293</v>
      </c>
      <c r="AE250">
        <v>303</v>
      </c>
      <c r="AF250">
        <v>0</v>
      </c>
      <c r="AG250">
        <v>90.971311475409848</v>
      </c>
      <c r="AH250">
        <v>200</v>
      </c>
      <c r="AI250">
        <v>0</v>
      </c>
      <c r="AL250">
        <v>1603</v>
      </c>
      <c r="AM250">
        <v>580</v>
      </c>
      <c r="AN250">
        <v>2183</v>
      </c>
      <c r="AO250">
        <v>13</v>
      </c>
      <c r="AP250">
        <v>230</v>
      </c>
    </row>
    <row r="251" spans="1:42" x14ac:dyDescent="0.3">
      <c r="A251" t="s">
        <v>1479</v>
      </c>
      <c r="B251" t="s">
        <v>24</v>
      </c>
      <c r="C251" t="s">
        <v>83</v>
      </c>
      <c r="D251" t="s">
        <v>100</v>
      </c>
      <c r="E251" t="s">
        <v>977</v>
      </c>
      <c r="F251">
        <v>2019</v>
      </c>
      <c r="G251">
        <v>40</v>
      </c>
      <c r="H251">
        <v>1</v>
      </c>
      <c r="I251">
        <v>0</v>
      </c>
      <c r="J251">
        <v>25</v>
      </c>
      <c r="K251">
        <v>14</v>
      </c>
      <c r="L251" t="s">
        <v>1327</v>
      </c>
      <c r="M251">
        <v>35.196463654223969</v>
      </c>
      <c r="N251">
        <v>303</v>
      </c>
      <c r="O251">
        <v>0</v>
      </c>
      <c r="P251">
        <v>25.444444444444439</v>
      </c>
      <c r="Q251">
        <v>86.627777777777794</v>
      </c>
      <c r="R251">
        <v>-9.752019209779526</v>
      </c>
      <c r="S251">
        <v>85</v>
      </c>
      <c r="T251">
        <v>0</v>
      </c>
      <c r="U251">
        <v>37.163636363636357</v>
      </c>
      <c r="V251">
        <v>303</v>
      </c>
      <c r="W251">
        <v>0</v>
      </c>
      <c r="X251">
        <v>65.166666666666671</v>
      </c>
      <c r="Y251">
        <v>303</v>
      </c>
      <c r="Z251">
        <v>1</v>
      </c>
      <c r="AA251">
        <v>55.904545454545449</v>
      </c>
      <c r="AB251">
        <v>161.6</v>
      </c>
      <c r="AC251">
        <v>16.600000000000001</v>
      </c>
      <c r="AD251">
        <v>49.901639344262293</v>
      </c>
      <c r="AE251">
        <v>303</v>
      </c>
      <c r="AF251">
        <v>0</v>
      </c>
      <c r="AG251">
        <v>90.971311475409848</v>
      </c>
      <c r="AH251">
        <v>200</v>
      </c>
      <c r="AI251">
        <v>0</v>
      </c>
      <c r="AL251">
        <v>1602</v>
      </c>
      <c r="AM251">
        <v>580</v>
      </c>
      <c r="AN251">
        <v>2182</v>
      </c>
      <c r="AO251">
        <v>31</v>
      </c>
      <c r="AP251">
        <v>229</v>
      </c>
    </row>
    <row r="252" spans="1:42" x14ac:dyDescent="0.3">
      <c r="A252" t="s">
        <v>976</v>
      </c>
      <c r="B252" t="s">
        <v>24</v>
      </c>
      <c r="C252" t="s">
        <v>83</v>
      </c>
      <c r="D252" t="s">
        <v>25</v>
      </c>
      <c r="E252" t="s">
        <v>977</v>
      </c>
      <c r="F252">
        <v>2019</v>
      </c>
      <c r="G252">
        <v>78.650000000000006</v>
      </c>
      <c r="H252">
        <v>33</v>
      </c>
      <c r="I252">
        <v>13</v>
      </c>
      <c r="J252">
        <v>545</v>
      </c>
      <c r="K252">
        <v>303</v>
      </c>
      <c r="L252" t="s">
        <v>979</v>
      </c>
      <c r="M252">
        <v>34.669291338582667</v>
      </c>
      <c r="N252">
        <v>264</v>
      </c>
      <c r="O252">
        <v>0</v>
      </c>
      <c r="P252">
        <v>56.375</v>
      </c>
      <c r="Q252">
        <v>92.453125</v>
      </c>
      <c r="R252">
        <v>21.705708661417329</v>
      </c>
      <c r="S252">
        <v>303</v>
      </c>
      <c r="T252">
        <v>4</v>
      </c>
      <c r="U252">
        <v>37.163636363636357</v>
      </c>
      <c r="V252">
        <v>303</v>
      </c>
      <c r="W252">
        <v>0</v>
      </c>
      <c r="X252">
        <v>65.166666666666671</v>
      </c>
      <c r="Y252">
        <v>303</v>
      </c>
      <c r="Z252">
        <v>1</v>
      </c>
      <c r="AA252">
        <v>55.904545454545449</v>
      </c>
      <c r="AB252">
        <v>161.6</v>
      </c>
      <c r="AC252">
        <v>16.600000000000001</v>
      </c>
      <c r="AD252">
        <v>49.901639344262293</v>
      </c>
      <c r="AE252">
        <v>303</v>
      </c>
      <c r="AF252">
        <v>0</v>
      </c>
      <c r="AG252">
        <v>90.971311475409848</v>
      </c>
      <c r="AH252">
        <v>200</v>
      </c>
      <c r="AI252">
        <v>0</v>
      </c>
      <c r="AL252">
        <v>1569</v>
      </c>
      <c r="AM252">
        <v>567</v>
      </c>
      <c r="AN252">
        <v>2136</v>
      </c>
      <c r="AO252">
        <v>39</v>
      </c>
      <c r="AP252">
        <v>183</v>
      </c>
    </row>
    <row r="253" spans="1:42" x14ac:dyDescent="0.3">
      <c r="A253" t="s">
        <v>1556</v>
      </c>
      <c r="B253" t="s">
        <v>24</v>
      </c>
      <c r="C253" t="s">
        <v>5</v>
      </c>
      <c r="D253" t="s">
        <v>103</v>
      </c>
      <c r="E253" t="s">
        <v>1009</v>
      </c>
      <c r="F253">
        <v>2019</v>
      </c>
      <c r="G253">
        <v>112.5</v>
      </c>
      <c r="H253">
        <v>2</v>
      </c>
      <c r="I253">
        <v>0</v>
      </c>
      <c r="J253">
        <v>8</v>
      </c>
      <c r="K253">
        <v>9</v>
      </c>
      <c r="L253" t="s">
        <v>1327</v>
      </c>
      <c r="M253">
        <v>34.719921104536489</v>
      </c>
      <c r="N253">
        <v>264</v>
      </c>
      <c r="O253">
        <v>0</v>
      </c>
      <c r="P253">
        <v>43.391304347826093</v>
      </c>
      <c r="Q253">
        <v>100.17391304347829</v>
      </c>
      <c r="R253">
        <v>8.671383243289597</v>
      </c>
      <c r="S253">
        <v>209</v>
      </c>
      <c r="T253">
        <v>0</v>
      </c>
      <c r="U253">
        <v>37.163636363636357</v>
      </c>
      <c r="V253">
        <v>303</v>
      </c>
      <c r="W253">
        <v>0</v>
      </c>
      <c r="X253">
        <v>28.189024390243901</v>
      </c>
      <c r="Y253">
        <v>121</v>
      </c>
      <c r="Z253">
        <v>0</v>
      </c>
      <c r="AA253">
        <v>116.45060975609761</v>
      </c>
      <c r="AB253">
        <v>274.39999999999998</v>
      </c>
      <c r="AC253">
        <v>0</v>
      </c>
      <c r="AD253">
        <v>38.25</v>
      </c>
      <c r="AE253">
        <v>138</v>
      </c>
      <c r="AF253">
        <v>0</v>
      </c>
      <c r="AG253">
        <v>106.2954545454546</v>
      </c>
      <c r="AH253">
        <v>230</v>
      </c>
      <c r="AI253">
        <v>0</v>
      </c>
      <c r="AJ253">
        <v>12</v>
      </c>
      <c r="AK253">
        <v>100</v>
      </c>
      <c r="AL253">
        <v>1567</v>
      </c>
      <c r="AM253">
        <v>567</v>
      </c>
      <c r="AN253">
        <v>2134</v>
      </c>
      <c r="AO253">
        <v>73</v>
      </c>
      <c r="AP253">
        <v>371</v>
      </c>
    </row>
    <row r="254" spans="1:42" x14ac:dyDescent="0.3">
      <c r="A254" t="s">
        <v>1507</v>
      </c>
      <c r="B254" t="s">
        <v>24</v>
      </c>
      <c r="C254" t="s">
        <v>5</v>
      </c>
      <c r="D254" t="s">
        <v>173</v>
      </c>
      <c r="E254" t="s">
        <v>1009</v>
      </c>
      <c r="F254">
        <v>2019</v>
      </c>
      <c r="G254">
        <v>100</v>
      </c>
      <c r="H254">
        <v>0</v>
      </c>
      <c r="I254">
        <v>2</v>
      </c>
      <c r="J254">
        <v>12</v>
      </c>
      <c r="K254">
        <v>12</v>
      </c>
      <c r="L254" t="s">
        <v>1327</v>
      </c>
      <c r="M254">
        <v>34.764822134387352</v>
      </c>
      <c r="N254">
        <v>264</v>
      </c>
      <c r="O254">
        <v>0</v>
      </c>
      <c r="P254">
        <v>36.388888888888893</v>
      </c>
      <c r="Q254">
        <v>93.683333333333337</v>
      </c>
      <c r="R254">
        <v>1.6240667545015339</v>
      </c>
      <c r="S254">
        <v>208</v>
      </c>
      <c r="T254">
        <v>0</v>
      </c>
      <c r="U254">
        <v>37.163636363636357</v>
      </c>
      <c r="V254">
        <v>303</v>
      </c>
      <c r="W254">
        <v>0</v>
      </c>
      <c r="X254">
        <v>28.189024390243901</v>
      </c>
      <c r="Y254">
        <v>121</v>
      </c>
      <c r="Z254">
        <v>0</v>
      </c>
      <c r="AA254">
        <v>116.45060975609761</v>
      </c>
      <c r="AB254">
        <v>274.39999999999998</v>
      </c>
      <c r="AC254">
        <v>0</v>
      </c>
      <c r="AD254">
        <v>38.25</v>
      </c>
      <c r="AE254">
        <v>138</v>
      </c>
      <c r="AF254">
        <v>0</v>
      </c>
      <c r="AG254">
        <v>106.2954545454546</v>
      </c>
      <c r="AH254">
        <v>230</v>
      </c>
      <c r="AI254">
        <v>0</v>
      </c>
      <c r="AL254">
        <v>1567</v>
      </c>
      <c r="AM254">
        <v>565</v>
      </c>
      <c r="AN254">
        <v>2132</v>
      </c>
      <c r="AO254">
        <v>74</v>
      </c>
      <c r="AP254">
        <v>369</v>
      </c>
    </row>
    <row r="255" spans="1:42" x14ac:dyDescent="0.3">
      <c r="A255" t="s">
        <v>1544</v>
      </c>
      <c r="B255" t="s">
        <v>208</v>
      </c>
      <c r="C255" t="s">
        <v>16</v>
      </c>
      <c r="D255" t="s">
        <v>210</v>
      </c>
      <c r="E255" t="s">
        <v>1021</v>
      </c>
      <c r="F255">
        <v>2019</v>
      </c>
      <c r="G255">
        <v>166.7</v>
      </c>
      <c r="H255">
        <v>2</v>
      </c>
      <c r="I255">
        <v>0</v>
      </c>
      <c r="J255">
        <v>6</v>
      </c>
      <c r="K255">
        <v>10</v>
      </c>
      <c r="L255" t="s">
        <v>1327</v>
      </c>
      <c r="M255">
        <v>34.813861386138612</v>
      </c>
      <c r="N255">
        <v>264</v>
      </c>
      <c r="O255">
        <v>0</v>
      </c>
      <c r="P255">
        <v>46.444444444444443</v>
      </c>
      <c r="Q255">
        <v>83.111111111111114</v>
      </c>
      <c r="R255">
        <v>11.630583058305829</v>
      </c>
      <c r="S255">
        <v>137</v>
      </c>
      <c r="T255">
        <v>7</v>
      </c>
      <c r="U255">
        <v>47.081967213114751</v>
      </c>
      <c r="V255">
        <v>177</v>
      </c>
      <c r="W255">
        <v>0</v>
      </c>
      <c r="X255">
        <v>42.251824817518248</v>
      </c>
      <c r="Y255">
        <v>264</v>
      </c>
      <c r="Z255">
        <v>0</v>
      </c>
      <c r="AA255">
        <v>77.646715328467153</v>
      </c>
      <c r="AB255">
        <v>200</v>
      </c>
      <c r="AC255">
        <v>0</v>
      </c>
      <c r="AD255">
        <v>37</v>
      </c>
      <c r="AE255">
        <v>124</v>
      </c>
      <c r="AF255">
        <v>0</v>
      </c>
      <c r="AG255">
        <v>84.736842105263165</v>
      </c>
      <c r="AH255">
        <v>221.4</v>
      </c>
      <c r="AI255">
        <v>0</v>
      </c>
      <c r="AJ255">
        <v>18</v>
      </c>
      <c r="AK255">
        <v>52.9</v>
      </c>
      <c r="AL255">
        <v>1565</v>
      </c>
      <c r="AM255">
        <v>565</v>
      </c>
      <c r="AN255">
        <v>2130</v>
      </c>
      <c r="AO255">
        <v>23</v>
      </c>
      <c r="AP255">
        <v>1000</v>
      </c>
    </row>
    <row r="256" spans="1:42" x14ac:dyDescent="0.3">
      <c r="A256" t="s">
        <v>1434</v>
      </c>
      <c r="B256" t="s">
        <v>208</v>
      </c>
      <c r="C256" t="s">
        <v>16</v>
      </c>
      <c r="D256" t="s">
        <v>210</v>
      </c>
      <c r="E256" t="s">
        <v>1021</v>
      </c>
      <c r="F256">
        <v>2019</v>
      </c>
      <c r="G256">
        <v>52.9</v>
      </c>
      <c r="H256">
        <v>2</v>
      </c>
      <c r="I256">
        <v>0</v>
      </c>
      <c r="J256">
        <v>34</v>
      </c>
      <c r="K256">
        <v>18</v>
      </c>
      <c r="L256" t="s">
        <v>1327</v>
      </c>
      <c r="M256">
        <v>34.847222222222221</v>
      </c>
      <c r="N256">
        <v>264</v>
      </c>
      <c r="O256">
        <v>0</v>
      </c>
      <c r="P256">
        <v>46.444444444444443</v>
      </c>
      <c r="Q256">
        <v>83.111111111111114</v>
      </c>
      <c r="R256">
        <v>11.59722222222222</v>
      </c>
      <c r="S256">
        <v>137</v>
      </c>
      <c r="T256">
        <v>7</v>
      </c>
      <c r="U256">
        <v>47.081967213114751</v>
      </c>
      <c r="V256">
        <v>177</v>
      </c>
      <c r="W256">
        <v>0</v>
      </c>
      <c r="X256">
        <v>42.251824817518248</v>
      </c>
      <c r="Y256">
        <v>264</v>
      </c>
      <c r="Z256">
        <v>0</v>
      </c>
      <c r="AA256">
        <v>77.646715328467153</v>
      </c>
      <c r="AB256">
        <v>200</v>
      </c>
      <c r="AC256">
        <v>0</v>
      </c>
      <c r="AD256">
        <v>37</v>
      </c>
      <c r="AE256">
        <v>124</v>
      </c>
      <c r="AF256">
        <v>0</v>
      </c>
      <c r="AG256">
        <v>84.736842105263165</v>
      </c>
      <c r="AH256">
        <v>221.4</v>
      </c>
      <c r="AI256">
        <v>0</v>
      </c>
      <c r="AL256">
        <v>1563</v>
      </c>
      <c r="AM256">
        <v>565</v>
      </c>
      <c r="AN256">
        <v>2128</v>
      </c>
      <c r="AO256">
        <v>21</v>
      </c>
      <c r="AP256">
        <v>998</v>
      </c>
    </row>
    <row r="257" spans="1:42" x14ac:dyDescent="0.3">
      <c r="A257" t="s">
        <v>1132</v>
      </c>
      <c r="B257" t="s">
        <v>208</v>
      </c>
      <c r="C257" t="s">
        <v>5</v>
      </c>
      <c r="D257" t="s">
        <v>281</v>
      </c>
      <c r="E257" t="s">
        <v>1021</v>
      </c>
      <c r="F257">
        <v>2019</v>
      </c>
      <c r="G257">
        <v>131.4</v>
      </c>
      <c r="H257">
        <v>6</v>
      </c>
      <c r="I257">
        <v>3</v>
      </c>
      <c r="J257">
        <v>51</v>
      </c>
      <c r="K257">
        <v>67</v>
      </c>
      <c r="L257" t="s">
        <v>979</v>
      </c>
      <c r="M257">
        <v>34.783300198807147</v>
      </c>
      <c r="N257">
        <v>264</v>
      </c>
      <c r="O257">
        <v>0</v>
      </c>
      <c r="P257">
        <v>39.200000000000003</v>
      </c>
      <c r="Q257">
        <v>156.02000000000001</v>
      </c>
      <c r="R257">
        <v>4.4166998011928484</v>
      </c>
      <c r="S257">
        <v>67</v>
      </c>
      <c r="T257">
        <v>10</v>
      </c>
      <c r="U257">
        <v>47.081967213114751</v>
      </c>
      <c r="V257">
        <v>177</v>
      </c>
      <c r="W257">
        <v>0</v>
      </c>
      <c r="X257">
        <v>28.189024390243901</v>
      </c>
      <c r="Y257">
        <v>121</v>
      </c>
      <c r="Z257">
        <v>0</v>
      </c>
      <c r="AA257">
        <v>116.45060975609761</v>
      </c>
      <c r="AB257">
        <v>274.39999999999998</v>
      </c>
      <c r="AC257">
        <v>0</v>
      </c>
      <c r="AD257">
        <v>37</v>
      </c>
      <c r="AE257">
        <v>124</v>
      </c>
      <c r="AF257">
        <v>0</v>
      </c>
      <c r="AG257">
        <v>84.736842105263165</v>
      </c>
      <c r="AH257">
        <v>221.4</v>
      </c>
      <c r="AI257">
        <v>0</v>
      </c>
      <c r="AJ257">
        <v>24</v>
      </c>
      <c r="AK257">
        <v>96</v>
      </c>
      <c r="AL257">
        <v>1557</v>
      </c>
      <c r="AM257">
        <v>562</v>
      </c>
      <c r="AN257">
        <v>2119</v>
      </c>
      <c r="AO257">
        <v>13</v>
      </c>
      <c r="AP257">
        <v>360</v>
      </c>
    </row>
    <row r="258" spans="1:42" x14ac:dyDescent="0.3">
      <c r="A258" t="s">
        <v>1379</v>
      </c>
      <c r="B258" t="s">
        <v>208</v>
      </c>
      <c r="C258" t="s">
        <v>5</v>
      </c>
      <c r="D258" t="s">
        <v>281</v>
      </c>
      <c r="E258" t="s">
        <v>1021</v>
      </c>
      <c r="F258">
        <v>2019</v>
      </c>
      <c r="G258">
        <v>96</v>
      </c>
      <c r="H258">
        <v>2</v>
      </c>
      <c r="I258">
        <v>2</v>
      </c>
      <c r="J258">
        <v>25</v>
      </c>
      <c r="K258">
        <v>24</v>
      </c>
      <c r="L258" t="s">
        <v>1327</v>
      </c>
      <c r="M258">
        <v>34.804780876494021</v>
      </c>
      <c r="N258">
        <v>264</v>
      </c>
      <c r="O258">
        <v>0</v>
      </c>
      <c r="P258">
        <v>39.200000000000003</v>
      </c>
      <c r="Q258">
        <v>156.02000000000001</v>
      </c>
      <c r="R258">
        <v>4.3952191235059814</v>
      </c>
      <c r="S258">
        <v>67</v>
      </c>
      <c r="T258">
        <v>10</v>
      </c>
      <c r="U258">
        <v>47.081967213114751</v>
      </c>
      <c r="V258">
        <v>177</v>
      </c>
      <c r="W258">
        <v>0</v>
      </c>
      <c r="X258">
        <v>28.189024390243901</v>
      </c>
      <c r="Y258">
        <v>121</v>
      </c>
      <c r="Z258">
        <v>0</v>
      </c>
      <c r="AA258">
        <v>116.45060975609761</v>
      </c>
      <c r="AB258">
        <v>274.39999999999998</v>
      </c>
      <c r="AC258">
        <v>0</v>
      </c>
      <c r="AD258">
        <v>37</v>
      </c>
      <c r="AE258">
        <v>124</v>
      </c>
      <c r="AF258">
        <v>0</v>
      </c>
      <c r="AG258">
        <v>84.736842105263165</v>
      </c>
      <c r="AH258">
        <v>221.4</v>
      </c>
      <c r="AI258">
        <v>0</v>
      </c>
      <c r="AL258">
        <v>1555</v>
      </c>
      <c r="AM258">
        <v>560</v>
      </c>
      <c r="AN258">
        <v>2115</v>
      </c>
      <c r="AO258">
        <v>9</v>
      </c>
      <c r="AP258">
        <v>356</v>
      </c>
    </row>
    <row r="259" spans="1:42" x14ac:dyDescent="0.3">
      <c r="A259" t="s">
        <v>1706</v>
      </c>
      <c r="B259" t="s">
        <v>15</v>
      </c>
      <c r="C259" t="s">
        <v>16</v>
      </c>
      <c r="D259" t="s">
        <v>287</v>
      </c>
      <c r="E259" t="s">
        <v>1012</v>
      </c>
      <c r="F259">
        <v>2019</v>
      </c>
      <c r="G259">
        <v>25</v>
      </c>
      <c r="H259">
        <v>0</v>
      </c>
      <c r="I259">
        <v>0</v>
      </c>
      <c r="J259">
        <v>4</v>
      </c>
      <c r="K259">
        <v>1</v>
      </c>
      <c r="L259" t="s">
        <v>1327</v>
      </c>
      <c r="M259">
        <v>34.872255489021953</v>
      </c>
      <c r="N259">
        <v>264</v>
      </c>
      <c r="O259">
        <v>0</v>
      </c>
      <c r="P259">
        <v>34.833333333333343</v>
      </c>
      <c r="Q259">
        <v>77.86666666666666</v>
      </c>
      <c r="R259">
        <v>-3.8922155688617011E-2</v>
      </c>
      <c r="S259">
        <v>140</v>
      </c>
      <c r="T259">
        <v>1</v>
      </c>
      <c r="U259">
        <v>37.701754385964911</v>
      </c>
      <c r="V259">
        <v>147</v>
      </c>
      <c r="W259">
        <v>1</v>
      </c>
      <c r="X259">
        <v>42.251824817518248</v>
      </c>
      <c r="Y259">
        <v>264</v>
      </c>
      <c r="Z259">
        <v>0</v>
      </c>
      <c r="AA259">
        <v>77.646715328467153</v>
      </c>
      <c r="AB259">
        <v>200</v>
      </c>
      <c r="AC259">
        <v>0</v>
      </c>
      <c r="AD259">
        <v>37.228571428571428</v>
      </c>
      <c r="AE259">
        <v>137</v>
      </c>
      <c r="AF259">
        <v>0</v>
      </c>
      <c r="AG259">
        <v>73.452857142857127</v>
      </c>
      <c r="AH259">
        <v>178.6</v>
      </c>
      <c r="AI259">
        <v>0</v>
      </c>
      <c r="AJ259">
        <v>103</v>
      </c>
      <c r="AK259">
        <v>109.6</v>
      </c>
      <c r="AL259">
        <v>1555</v>
      </c>
      <c r="AM259">
        <v>560</v>
      </c>
      <c r="AN259">
        <v>2115</v>
      </c>
      <c r="AO259">
        <v>23</v>
      </c>
      <c r="AP259">
        <v>998</v>
      </c>
    </row>
    <row r="260" spans="1:42" x14ac:dyDescent="0.3">
      <c r="A260" t="s">
        <v>1053</v>
      </c>
      <c r="B260" t="s">
        <v>115</v>
      </c>
      <c r="C260" t="s">
        <v>16</v>
      </c>
      <c r="D260" t="s">
        <v>347</v>
      </c>
      <c r="E260" t="s">
        <v>1012</v>
      </c>
      <c r="F260">
        <v>2019</v>
      </c>
      <c r="G260">
        <v>109.6</v>
      </c>
      <c r="H260">
        <v>14</v>
      </c>
      <c r="I260">
        <v>2</v>
      </c>
      <c r="J260">
        <v>94</v>
      </c>
      <c r="K260">
        <v>103</v>
      </c>
      <c r="L260" t="s">
        <v>979</v>
      </c>
      <c r="M260">
        <v>34.735999999999997</v>
      </c>
      <c r="N260">
        <v>264</v>
      </c>
      <c r="O260">
        <v>0</v>
      </c>
      <c r="P260">
        <v>61</v>
      </c>
      <c r="Q260">
        <v>49.54999999999999</v>
      </c>
      <c r="R260">
        <v>26.263999999999999</v>
      </c>
      <c r="S260">
        <v>103</v>
      </c>
      <c r="T260">
        <v>2</v>
      </c>
      <c r="U260">
        <v>38.236842105263158</v>
      </c>
      <c r="V260">
        <v>264</v>
      </c>
      <c r="W260">
        <v>0</v>
      </c>
      <c r="X260">
        <v>42.251824817518248</v>
      </c>
      <c r="Y260">
        <v>264</v>
      </c>
      <c r="Z260">
        <v>0</v>
      </c>
      <c r="AA260">
        <v>77.646715328467153</v>
      </c>
      <c r="AB260">
        <v>200</v>
      </c>
      <c r="AC260">
        <v>0</v>
      </c>
      <c r="AD260">
        <v>37.228571428571428</v>
      </c>
      <c r="AE260">
        <v>137</v>
      </c>
      <c r="AF260">
        <v>0</v>
      </c>
      <c r="AG260">
        <v>73.452857142857127</v>
      </c>
      <c r="AH260">
        <v>178.6</v>
      </c>
      <c r="AI260">
        <v>0</v>
      </c>
      <c r="AJ260">
        <v>104</v>
      </c>
      <c r="AK260">
        <v>113</v>
      </c>
      <c r="AL260">
        <v>1541</v>
      </c>
      <c r="AM260">
        <v>558</v>
      </c>
      <c r="AN260">
        <v>2099</v>
      </c>
      <c r="AO260">
        <v>0</v>
      </c>
      <c r="AP260">
        <v>982</v>
      </c>
    </row>
    <row r="261" spans="1:42" x14ac:dyDescent="0.3">
      <c r="A261" t="s">
        <v>1049</v>
      </c>
      <c r="B261" t="s">
        <v>73</v>
      </c>
      <c r="C261" t="s">
        <v>16</v>
      </c>
      <c r="D261" t="s">
        <v>292</v>
      </c>
      <c r="E261" t="s">
        <v>1012</v>
      </c>
      <c r="F261">
        <v>2019</v>
      </c>
      <c r="G261">
        <v>113</v>
      </c>
      <c r="H261">
        <v>7</v>
      </c>
      <c r="I261">
        <v>5</v>
      </c>
      <c r="J261">
        <v>92</v>
      </c>
      <c r="K261">
        <v>104</v>
      </c>
      <c r="L261" t="s">
        <v>979</v>
      </c>
      <c r="M261">
        <v>34.597194388777552</v>
      </c>
      <c r="N261">
        <v>264</v>
      </c>
      <c r="O261">
        <v>0</v>
      </c>
      <c r="P261">
        <v>68.285714285714292</v>
      </c>
      <c r="Q261">
        <v>93.428571428571431</v>
      </c>
      <c r="R261">
        <v>33.688519896936739</v>
      </c>
      <c r="S261">
        <v>123</v>
      </c>
      <c r="T261">
        <v>9</v>
      </c>
      <c r="U261">
        <v>38.228571428571428</v>
      </c>
      <c r="V261">
        <v>137</v>
      </c>
      <c r="W261">
        <v>0</v>
      </c>
      <c r="X261">
        <v>42.251824817518248</v>
      </c>
      <c r="Y261">
        <v>264</v>
      </c>
      <c r="Z261">
        <v>0</v>
      </c>
      <c r="AA261">
        <v>77.646715328467153</v>
      </c>
      <c r="AB261">
        <v>200</v>
      </c>
      <c r="AC261">
        <v>0</v>
      </c>
      <c r="AD261">
        <v>37.228571428571428</v>
      </c>
      <c r="AE261">
        <v>137</v>
      </c>
      <c r="AF261">
        <v>0</v>
      </c>
      <c r="AG261">
        <v>73.452857142857127</v>
      </c>
      <c r="AH261">
        <v>178.6</v>
      </c>
      <c r="AI261">
        <v>0</v>
      </c>
      <c r="AJ261">
        <v>120</v>
      </c>
      <c r="AK261">
        <v>85.949999999999989</v>
      </c>
      <c r="AL261">
        <v>1534</v>
      </c>
      <c r="AM261">
        <v>553</v>
      </c>
      <c r="AN261">
        <v>2087</v>
      </c>
      <c r="AO261">
        <v>43</v>
      </c>
      <c r="AP261">
        <v>970</v>
      </c>
    </row>
    <row r="262" spans="1:42" x14ac:dyDescent="0.3">
      <c r="A262" t="s">
        <v>1055</v>
      </c>
      <c r="B262" t="s">
        <v>76</v>
      </c>
      <c r="C262" t="s">
        <v>16</v>
      </c>
      <c r="D262" t="s">
        <v>292</v>
      </c>
      <c r="E262" t="s">
        <v>1007</v>
      </c>
      <c r="F262">
        <v>2019</v>
      </c>
      <c r="G262">
        <v>93.6</v>
      </c>
      <c r="H262">
        <v>15</v>
      </c>
      <c r="I262">
        <v>0</v>
      </c>
      <c r="J262">
        <v>109</v>
      </c>
      <c r="K262">
        <v>102</v>
      </c>
      <c r="L262" t="s">
        <v>979</v>
      </c>
      <c r="M262">
        <v>34.46184738955823</v>
      </c>
      <c r="N262">
        <v>264</v>
      </c>
      <c r="O262">
        <v>0</v>
      </c>
      <c r="P262">
        <v>68.285714285714292</v>
      </c>
      <c r="Q262">
        <v>93.428571428571431</v>
      </c>
      <c r="R262">
        <v>33.823866896156062</v>
      </c>
      <c r="S262">
        <v>123</v>
      </c>
      <c r="T262">
        <v>9</v>
      </c>
      <c r="U262">
        <v>48.215686274509807</v>
      </c>
      <c r="V262">
        <v>187</v>
      </c>
      <c r="W262">
        <v>0</v>
      </c>
      <c r="X262">
        <v>42.251824817518248</v>
      </c>
      <c r="Y262">
        <v>264</v>
      </c>
      <c r="Z262">
        <v>0</v>
      </c>
      <c r="AA262">
        <v>77.646715328467153</v>
      </c>
      <c r="AB262">
        <v>200</v>
      </c>
      <c r="AC262">
        <v>0</v>
      </c>
      <c r="AD262">
        <v>37.180327868852459</v>
      </c>
      <c r="AE262">
        <v>140</v>
      </c>
      <c r="AF262">
        <v>0</v>
      </c>
      <c r="AG262">
        <v>82.911475409836058</v>
      </c>
      <c r="AH262">
        <v>224.4</v>
      </c>
      <c r="AI262">
        <v>0</v>
      </c>
      <c r="AJ262">
        <v>18</v>
      </c>
      <c r="AK262">
        <v>78.3</v>
      </c>
      <c r="AL262">
        <v>1519</v>
      </c>
      <c r="AM262">
        <v>553</v>
      </c>
      <c r="AN262">
        <v>2072</v>
      </c>
      <c r="AO262">
        <v>28</v>
      </c>
      <c r="AP262">
        <v>955</v>
      </c>
    </row>
    <row r="263" spans="1:42" x14ac:dyDescent="0.3">
      <c r="A263" t="s">
        <v>1435</v>
      </c>
      <c r="B263" t="s">
        <v>208</v>
      </c>
      <c r="C263" t="s">
        <v>16</v>
      </c>
      <c r="D263" t="s">
        <v>287</v>
      </c>
      <c r="E263" t="s">
        <v>1007</v>
      </c>
      <c r="F263">
        <v>2019</v>
      </c>
      <c r="G263">
        <v>78.3</v>
      </c>
      <c r="H263">
        <v>1</v>
      </c>
      <c r="I263">
        <v>1</v>
      </c>
      <c r="J263">
        <v>23</v>
      </c>
      <c r="K263">
        <v>18</v>
      </c>
      <c r="L263" t="s">
        <v>1327</v>
      </c>
      <c r="M263">
        <v>34.494969818913482</v>
      </c>
      <c r="N263">
        <v>264</v>
      </c>
      <c r="O263">
        <v>0</v>
      </c>
      <c r="P263">
        <v>34.833333333333343</v>
      </c>
      <c r="Q263">
        <v>77.86666666666666</v>
      </c>
      <c r="R263">
        <v>0.33836351441985357</v>
      </c>
      <c r="S263">
        <v>140</v>
      </c>
      <c r="T263">
        <v>1</v>
      </c>
      <c r="U263">
        <v>47.081967213114751</v>
      </c>
      <c r="V263">
        <v>177</v>
      </c>
      <c r="W263">
        <v>0</v>
      </c>
      <c r="X263">
        <v>42.251824817518248</v>
      </c>
      <c r="Y263">
        <v>264</v>
      </c>
      <c r="Z263">
        <v>0</v>
      </c>
      <c r="AA263">
        <v>77.646715328467153</v>
      </c>
      <c r="AB263">
        <v>200</v>
      </c>
      <c r="AC263">
        <v>0</v>
      </c>
      <c r="AD263">
        <v>37.180327868852459</v>
      </c>
      <c r="AE263">
        <v>140</v>
      </c>
      <c r="AF263">
        <v>0</v>
      </c>
      <c r="AG263">
        <v>82.911475409836058</v>
      </c>
      <c r="AH263">
        <v>224.4</v>
      </c>
      <c r="AI263">
        <v>0</v>
      </c>
      <c r="AJ263">
        <v>1</v>
      </c>
      <c r="AK263">
        <v>10</v>
      </c>
      <c r="AL263">
        <v>1518</v>
      </c>
      <c r="AM263">
        <v>552</v>
      </c>
      <c r="AN263">
        <v>2070</v>
      </c>
      <c r="AO263">
        <v>21</v>
      </c>
      <c r="AP263">
        <v>953</v>
      </c>
    </row>
    <row r="264" spans="1:42" x14ac:dyDescent="0.3">
      <c r="A264" t="s">
        <v>1707</v>
      </c>
      <c r="B264" t="s">
        <v>130</v>
      </c>
      <c r="C264" t="s">
        <v>16</v>
      </c>
      <c r="D264" t="s">
        <v>294</v>
      </c>
      <c r="E264" t="s">
        <v>1007</v>
      </c>
      <c r="F264">
        <v>2019</v>
      </c>
      <c r="G264">
        <v>10</v>
      </c>
      <c r="H264">
        <v>0</v>
      </c>
      <c r="I264">
        <v>0</v>
      </c>
      <c r="J264">
        <v>10</v>
      </c>
      <c r="K264">
        <v>1</v>
      </c>
      <c r="L264" t="s">
        <v>1327</v>
      </c>
      <c r="M264">
        <v>34.5625</v>
      </c>
      <c r="N264">
        <v>264</v>
      </c>
      <c r="O264">
        <v>0</v>
      </c>
      <c r="P264">
        <v>49</v>
      </c>
      <c r="Q264">
        <v>68.650000000000006</v>
      </c>
      <c r="R264">
        <v>14.4375</v>
      </c>
      <c r="S264">
        <v>122</v>
      </c>
      <c r="T264">
        <v>1</v>
      </c>
      <c r="U264">
        <v>43.25</v>
      </c>
      <c r="V264">
        <v>131</v>
      </c>
      <c r="W264">
        <v>0</v>
      </c>
      <c r="X264">
        <v>42.251824817518248</v>
      </c>
      <c r="Y264">
        <v>264</v>
      </c>
      <c r="Z264">
        <v>0</v>
      </c>
      <c r="AA264">
        <v>77.646715328467153</v>
      </c>
      <c r="AB264">
        <v>200</v>
      </c>
      <c r="AC264">
        <v>0</v>
      </c>
      <c r="AD264">
        <v>37.180327868852459</v>
      </c>
      <c r="AE264">
        <v>140</v>
      </c>
      <c r="AF264">
        <v>0</v>
      </c>
      <c r="AG264">
        <v>82.911475409836058</v>
      </c>
      <c r="AH264">
        <v>224.4</v>
      </c>
      <c r="AI264">
        <v>0</v>
      </c>
      <c r="AL264">
        <v>1518</v>
      </c>
      <c r="AM264">
        <v>552</v>
      </c>
      <c r="AN264">
        <v>2070</v>
      </c>
      <c r="AO264">
        <v>18</v>
      </c>
      <c r="AP264">
        <v>953</v>
      </c>
    </row>
    <row r="265" spans="1:42" x14ac:dyDescent="0.3">
      <c r="A265" t="s">
        <v>1006</v>
      </c>
      <c r="B265" t="s">
        <v>71</v>
      </c>
      <c r="C265" t="s">
        <v>16</v>
      </c>
      <c r="D265" t="s">
        <v>287</v>
      </c>
      <c r="E265" t="s">
        <v>1007</v>
      </c>
      <c r="F265">
        <v>2019</v>
      </c>
      <c r="G265">
        <v>123.9</v>
      </c>
      <c r="H265">
        <v>14</v>
      </c>
      <c r="I265">
        <v>3</v>
      </c>
      <c r="J265">
        <v>113</v>
      </c>
      <c r="K265">
        <v>140</v>
      </c>
      <c r="L265" t="s">
        <v>979</v>
      </c>
      <c r="M265">
        <v>34.349494949494947</v>
      </c>
      <c r="N265">
        <v>264</v>
      </c>
      <c r="O265">
        <v>0</v>
      </c>
      <c r="P265">
        <v>34.833333333333343</v>
      </c>
      <c r="Q265">
        <v>77.86666666666666</v>
      </c>
      <c r="R265">
        <v>0.48383838383838912</v>
      </c>
      <c r="S265">
        <v>140</v>
      </c>
      <c r="T265">
        <v>1</v>
      </c>
      <c r="U265">
        <v>33.333333333333343</v>
      </c>
      <c r="V265">
        <v>140</v>
      </c>
      <c r="W265">
        <v>0</v>
      </c>
      <c r="X265">
        <v>42.251824817518248</v>
      </c>
      <c r="Y265">
        <v>264</v>
      </c>
      <c r="Z265">
        <v>0</v>
      </c>
      <c r="AA265">
        <v>77.646715328467153</v>
      </c>
      <c r="AB265">
        <v>200</v>
      </c>
      <c r="AC265">
        <v>0</v>
      </c>
      <c r="AD265">
        <v>37.180327868852459</v>
      </c>
      <c r="AE265">
        <v>140</v>
      </c>
      <c r="AF265">
        <v>0</v>
      </c>
      <c r="AG265">
        <v>82.911475409836058</v>
      </c>
      <c r="AH265">
        <v>224.4</v>
      </c>
      <c r="AI265">
        <v>0</v>
      </c>
      <c r="AL265">
        <v>1504</v>
      </c>
      <c r="AM265">
        <v>549</v>
      </c>
      <c r="AN265">
        <v>2053</v>
      </c>
      <c r="AO265">
        <v>4</v>
      </c>
      <c r="AP265">
        <v>936</v>
      </c>
    </row>
    <row r="266" spans="1:42" x14ac:dyDescent="0.3">
      <c r="A266" t="s">
        <v>1177</v>
      </c>
      <c r="B266" t="s">
        <v>32</v>
      </c>
      <c r="C266" t="s">
        <v>16</v>
      </c>
      <c r="D266" t="s">
        <v>218</v>
      </c>
      <c r="E266" t="s">
        <v>1007</v>
      </c>
      <c r="F266">
        <v>2019</v>
      </c>
      <c r="G266">
        <v>81.400000000000006</v>
      </c>
      <c r="H266">
        <v>3</v>
      </c>
      <c r="I266">
        <v>1</v>
      </c>
      <c r="J266">
        <v>70</v>
      </c>
      <c r="K266">
        <v>57</v>
      </c>
      <c r="L266" t="s">
        <v>979</v>
      </c>
      <c r="M266">
        <v>34.303643724696357</v>
      </c>
      <c r="N266">
        <v>264</v>
      </c>
      <c r="O266">
        <v>0</v>
      </c>
      <c r="P266">
        <v>46.46153846153846</v>
      </c>
      <c r="Q266">
        <v>74.492307692307705</v>
      </c>
      <c r="R266">
        <v>12.157894736842101</v>
      </c>
      <c r="S266">
        <v>138</v>
      </c>
      <c r="T266">
        <v>0</v>
      </c>
      <c r="U266">
        <v>44.710843373493979</v>
      </c>
      <c r="V266">
        <v>209</v>
      </c>
      <c r="W266">
        <v>0</v>
      </c>
      <c r="X266">
        <v>42.251824817518248</v>
      </c>
      <c r="Y266">
        <v>264</v>
      </c>
      <c r="Z266">
        <v>0</v>
      </c>
      <c r="AA266">
        <v>77.646715328467153</v>
      </c>
      <c r="AB266">
        <v>200</v>
      </c>
      <c r="AC266">
        <v>0</v>
      </c>
      <c r="AD266">
        <v>37.180327868852459</v>
      </c>
      <c r="AE266">
        <v>140</v>
      </c>
      <c r="AF266">
        <v>0</v>
      </c>
      <c r="AG266">
        <v>82.911475409836058</v>
      </c>
      <c r="AH266">
        <v>224.4</v>
      </c>
      <c r="AI266">
        <v>0</v>
      </c>
      <c r="AJ266">
        <v>122</v>
      </c>
      <c r="AK266">
        <v>84.7</v>
      </c>
      <c r="AL266">
        <v>1501</v>
      </c>
      <c r="AM266">
        <v>548</v>
      </c>
      <c r="AN266">
        <v>2049</v>
      </c>
      <c r="AO266">
        <v>22</v>
      </c>
      <c r="AP266">
        <v>932</v>
      </c>
    </row>
    <row r="267" spans="1:42" x14ac:dyDescent="0.3">
      <c r="A267" t="s">
        <v>1024</v>
      </c>
      <c r="B267" t="s">
        <v>24</v>
      </c>
      <c r="C267" t="s">
        <v>16</v>
      </c>
      <c r="D267" t="s">
        <v>294</v>
      </c>
      <c r="E267" t="s">
        <v>1007</v>
      </c>
      <c r="F267">
        <v>2019</v>
      </c>
      <c r="G267">
        <v>84.7</v>
      </c>
      <c r="H267">
        <v>13</v>
      </c>
      <c r="I267">
        <v>2</v>
      </c>
      <c r="J267">
        <v>144</v>
      </c>
      <c r="K267">
        <v>122</v>
      </c>
      <c r="L267" t="s">
        <v>979</v>
      </c>
      <c r="M267">
        <v>34.125760649087219</v>
      </c>
      <c r="N267">
        <v>264</v>
      </c>
      <c r="O267">
        <v>0</v>
      </c>
      <c r="P267">
        <v>49</v>
      </c>
      <c r="Q267">
        <v>68.650000000000006</v>
      </c>
      <c r="R267">
        <v>14.874239350912781</v>
      </c>
      <c r="S267">
        <v>122</v>
      </c>
      <c r="T267">
        <v>1</v>
      </c>
      <c r="U267">
        <v>37.163636363636357</v>
      </c>
      <c r="V267">
        <v>303</v>
      </c>
      <c r="W267">
        <v>0</v>
      </c>
      <c r="X267">
        <v>42.251824817518248</v>
      </c>
      <c r="Y267">
        <v>264</v>
      </c>
      <c r="Z267">
        <v>0</v>
      </c>
      <c r="AA267">
        <v>77.646715328467153</v>
      </c>
      <c r="AB267">
        <v>200</v>
      </c>
      <c r="AC267">
        <v>0</v>
      </c>
      <c r="AD267">
        <v>37.180327868852459</v>
      </c>
      <c r="AE267">
        <v>140</v>
      </c>
      <c r="AF267">
        <v>0</v>
      </c>
      <c r="AG267">
        <v>82.911475409836058</v>
      </c>
      <c r="AH267">
        <v>224.4</v>
      </c>
      <c r="AI267">
        <v>0</v>
      </c>
      <c r="AL267">
        <v>1488</v>
      </c>
      <c r="AM267">
        <v>546</v>
      </c>
      <c r="AN267">
        <v>2034</v>
      </c>
      <c r="AO267">
        <v>3</v>
      </c>
      <c r="AP267">
        <v>917</v>
      </c>
    </row>
    <row r="268" spans="1:42" x14ac:dyDescent="0.3">
      <c r="A268" t="s">
        <v>1464</v>
      </c>
      <c r="B268" t="s">
        <v>56</v>
      </c>
      <c r="C268" t="s">
        <v>1043</v>
      </c>
      <c r="D268" t="s">
        <v>54</v>
      </c>
      <c r="E268" t="s">
        <v>1036</v>
      </c>
      <c r="F268">
        <v>2019</v>
      </c>
      <c r="G268">
        <v>107.1</v>
      </c>
      <c r="H268">
        <v>1</v>
      </c>
      <c r="I268">
        <v>1</v>
      </c>
      <c r="J268">
        <v>14</v>
      </c>
      <c r="K268">
        <v>15</v>
      </c>
      <c r="L268" t="s">
        <v>1327</v>
      </c>
      <c r="M268">
        <v>34.164634146341463</v>
      </c>
      <c r="N268">
        <v>264</v>
      </c>
      <c r="O268">
        <v>0</v>
      </c>
      <c r="P268">
        <v>30</v>
      </c>
      <c r="Q268">
        <v>129.072</v>
      </c>
      <c r="R268">
        <v>-4.1646341463414629</v>
      </c>
      <c r="S268">
        <v>76</v>
      </c>
      <c r="T268">
        <v>1</v>
      </c>
      <c r="U268">
        <v>25.6</v>
      </c>
      <c r="V268">
        <v>105</v>
      </c>
      <c r="W268">
        <v>0</v>
      </c>
      <c r="X268">
        <v>26.556862745098041</v>
      </c>
      <c r="Y268">
        <v>109</v>
      </c>
      <c r="Z268">
        <v>0</v>
      </c>
      <c r="AA268">
        <v>114.6301960784314</v>
      </c>
      <c r="AB268">
        <v>350</v>
      </c>
      <c r="AC268">
        <v>0</v>
      </c>
      <c r="AD268">
        <v>26.732758620689651</v>
      </c>
      <c r="AE268">
        <v>114</v>
      </c>
      <c r="AF268">
        <v>0</v>
      </c>
      <c r="AG268">
        <v>115.31896551724139</v>
      </c>
      <c r="AH268">
        <v>350</v>
      </c>
      <c r="AI268">
        <v>0</v>
      </c>
      <c r="AJ268">
        <v>4</v>
      </c>
      <c r="AK268">
        <v>200</v>
      </c>
      <c r="AL268">
        <v>1487</v>
      </c>
      <c r="AM268">
        <v>545</v>
      </c>
      <c r="AN268">
        <v>2032</v>
      </c>
      <c r="AO268">
        <v>68</v>
      </c>
      <c r="AP268">
        <v>576</v>
      </c>
    </row>
    <row r="269" spans="1:42" x14ac:dyDescent="0.3">
      <c r="A269" t="s">
        <v>1649</v>
      </c>
      <c r="B269" t="s">
        <v>56</v>
      </c>
      <c r="C269" t="s">
        <v>1043</v>
      </c>
      <c r="D269" t="s">
        <v>64</v>
      </c>
      <c r="E269" t="s">
        <v>1036</v>
      </c>
      <c r="F269">
        <v>2019</v>
      </c>
      <c r="G269">
        <v>200</v>
      </c>
      <c r="H269">
        <v>1</v>
      </c>
      <c r="I269">
        <v>0</v>
      </c>
      <c r="J269">
        <v>2</v>
      </c>
      <c r="K269">
        <v>4</v>
      </c>
      <c r="L269" t="s">
        <v>1327</v>
      </c>
      <c r="M269">
        <v>34.226069246435848</v>
      </c>
      <c r="N269">
        <v>264</v>
      </c>
      <c r="O269">
        <v>0</v>
      </c>
      <c r="P269">
        <v>26</v>
      </c>
      <c r="Q269">
        <v>94.26964285714287</v>
      </c>
      <c r="R269">
        <v>-8.2260692464358485</v>
      </c>
      <c r="S269">
        <v>187</v>
      </c>
      <c r="T269">
        <v>0</v>
      </c>
      <c r="U269">
        <v>25.6</v>
      </c>
      <c r="V269">
        <v>105</v>
      </c>
      <c r="W269">
        <v>0</v>
      </c>
      <c r="X269">
        <v>26.556862745098041</v>
      </c>
      <c r="Y269">
        <v>109</v>
      </c>
      <c r="Z269">
        <v>0</v>
      </c>
      <c r="AA269">
        <v>114.6301960784314</v>
      </c>
      <c r="AB269">
        <v>350</v>
      </c>
      <c r="AC269">
        <v>0</v>
      </c>
      <c r="AD269">
        <v>26.732758620689651</v>
      </c>
      <c r="AE269">
        <v>114</v>
      </c>
      <c r="AF269">
        <v>0</v>
      </c>
      <c r="AG269">
        <v>115.31896551724139</v>
      </c>
      <c r="AH269">
        <v>350</v>
      </c>
      <c r="AI269">
        <v>0</v>
      </c>
      <c r="AJ269">
        <v>79</v>
      </c>
      <c r="AK269">
        <v>123.95</v>
      </c>
      <c r="AL269">
        <v>1486</v>
      </c>
      <c r="AM269">
        <v>545</v>
      </c>
      <c r="AN269">
        <v>2031</v>
      </c>
      <c r="AO269">
        <v>26</v>
      </c>
      <c r="AP269">
        <v>575</v>
      </c>
    </row>
    <row r="270" spans="1:42" x14ac:dyDescent="0.3">
      <c r="A270" t="s">
        <v>1195</v>
      </c>
      <c r="B270" t="s">
        <v>11</v>
      </c>
      <c r="C270" t="s">
        <v>1043</v>
      </c>
      <c r="D270" t="s">
        <v>12</v>
      </c>
      <c r="E270" t="s">
        <v>1036</v>
      </c>
      <c r="F270">
        <v>2019</v>
      </c>
      <c r="G270">
        <v>114.6</v>
      </c>
      <c r="H270">
        <v>8</v>
      </c>
      <c r="I270">
        <v>0</v>
      </c>
      <c r="J270">
        <v>48</v>
      </c>
      <c r="K270">
        <v>55</v>
      </c>
      <c r="L270" t="s">
        <v>979</v>
      </c>
      <c r="M270">
        <v>34.183673469387763</v>
      </c>
      <c r="N270">
        <v>264</v>
      </c>
      <c r="O270">
        <v>0</v>
      </c>
      <c r="P270">
        <v>31.203883495145629</v>
      </c>
      <c r="Q270">
        <v>120.5689320388349</v>
      </c>
      <c r="R270">
        <v>-2.9797899742421241</v>
      </c>
      <c r="S270">
        <v>162</v>
      </c>
      <c r="T270">
        <v>0</v>
      </c>
      <c r="U270">
        <v>31.852941176470591</v>
      </c>
      <c r="V270">
        <v>109</v>
      </c>
      <c r="W270">
        <v>0</v>
      </c>
      <c r="X270">
        <v>26.556862745098041</v>
      </c>
      <c r="Y270">
        <v>109</v>
      </c>
      <c r="Z270">
        <v>0</v>
      </c>
      <c r="AA270">
        <v>114.6301960784314</v>
      </c>
      <c r="AB270">
        <v>350</v>
      </c>
      <c r="AC270">
        <v>0</v>
      </c>
      <c r="AD270">
        <v>26.732758620689651</v>
      </c>
      <c r="AE270">
        <v>114</v>
      </c>
      <c r="AF270">
        <v>0</v>
      </c>
      <c r="AG270">
        <v>115.31896551724139</v>
      </c>
      <c r="AH270">
        <v>350</v>
      </c>
      <c r="AI270">
        <v>0</v>
      </c>
      <c r="AJ270">
        <v>24</v>
      </c>
      <c r="AK270">
        <v>133.30000000000001</v>
      </c>
      <c r="AL270">
        <v>1478</v>
      </c>
      <c r="AM270">
        <v>545</v>
      </c>
      <c r="AN270">
        <v>2023</v>
      </c>
      <c r="AO270">
        <v>275</v>
      </c>
      <c r="AP270">
        <v>567</v>
      </c>
    </row>
    <row r="271" spans="1:42" x14ac:dyDescent="0.3">
      <c r="A271" t="s">
        <v>1380</v>
      </c>
      <c r="B271" t="s">
        <v>53</v>
      </c>
      <c r="C271" t="s">
        <v>1043</v>
      </c>
      <c r="D271" t="s">
        <v>12</v>
      </c>
      <c r="E271" t="s">
        <v>1036</v>
      </c>
      <c r="F271">
        <v>2019</v>
      </c>
      <c r="G271">
        <v>133.30000000000001</v>
      </c>
      <c r="H271">
        <v>5</v>
      </c>
      <c r="I271">
        <v>0</v>
      </c>
      <c r="J271">
        <v>18</v>
      </c>
      <c r="K271">
        <v>24</v>
      </c>
      <c r="L271" t="s">
        <v>1327</v>
      </c>
      <c r="M271">
        <v>34.204498977505111</v>
      </c>
      <c r="N271">
        <v>264</v>
      </c>
      <c r="O271">
        <v>0</v>
      </c>
      <c r="P271">
        <v>31.203883495145629</v>
      </c>
      <c r="Q271">
        <v>120.5689320388349</v>
      </c>
      <c r="R271">
        <v>-3.0006154823594779</v>
      </c>
      <c r="S271">
        <v>162</v>
      </c>
      <c r="T271">
        <v>0</v>
      </c>
      <c r="U271">
        <v>19.375</v>
      </c>
      <c r="V271">
        <v>70</v>
      </c>
      <c r="W271">
        <v>1</v>
      </c>
      <c r="X271">
        <v>26.556862745098041</v>
      </c>
      <c r="Y271">
        <v>109</v>
      </c>
      <c r="Z271">
        <v>0</v>
      </c>
      <c r="AA271">
        <v>114.6301960784314</v>
      </c>
      <c r="AB271">
        <v>350</v>
      </c>
      <c r="AC271">
        <v>0</v>
      </c>
      <c r="AD271">
        <v>26.732758620689651</v>
      </c>
      <c r="AE271">
        <v>114</v>
      </c>
      <c r="AF271">
        <v>0</v>
      </c>
      <c r="AG271">
        <v>115.31896551724139</v>
      </c>
      <c r="AH271">
        <v>350</v>
      </c>
      <c r="AI271">
        <v>0</v>
      </c>
      <c r="AJ271">
        <v>12</v>
      </c>
      <c r="AK271">
        <v>133.30000000000001</v>
      </c>
      <c r="AL271">
        <v>1473</v>
      </c>
      <c r="AM271">
        <v>545</v>
      </c>
      <c r="AN271">
        <v>2018</v>
      </c>
      <c r="AO271">
        <v>270</v>
      </c>
      <c r="AP271">
        <v>562</v>
      </c>
    </row>
    <row r="272" spans="1:42" x14ac:dyDescent="0.3">
      <c r="A272" t="s">
        <v>1508</v>
      </c>
      <c r="B272" t="s">
        <v>11</v>
      </c>
      <c r="C272" t="s">
        <v>1043</v>
      </c>
      <c r="D272" t="s">
        <v>139</v>
      </c>
      <c r="E272" t="s">
        <v>1047</v>
      </c>
      <c r="F272">
        <v>2019</v>
      </c>
      <c r="G272">
        <v>133.30000000000001</v>
      </c>
      <c r="H272">
        <v>3</v>
      </c>
      <c r="I272">
        <v>0</v>
      </c>
      <c r="J272">
        <v>9</v>
      </c>
      <c r="K272">
        <v>12</v>
      </c>
      <c r="L272" t="s">
        <v>1327</v>
      </c>
      <c r="M272">
        <v>34.25</v>
      </c>
      <c r="N272">
        <v>264</v>
      </c>
      <c r="O272">
        <v>0</v>
      </c>
      <c r="P272">
        <v>45.666666666666657</v>
      </c>
      <c r="Q272">
        <v>104.1166666666667</v>
      </c>
      <c r="R272">
        <v>11.416666666666661</v>
      </c>
      <c r="S272">
        <v>264</v>
      </c>
      <c r="T272">
        <v>0</v>
      </c>
      <c r="U272">
        <v>31.852941176470591</v>
      </c>
      <c r="V272">
        <v>109</v>
      </c>
      <c r="W272">
        <v>0</v>
      </c>
      <c r="X272">
        <v>26.556862745098041</v>
      </c>
      <c r="Y272">
        <v>109</v>
      </c>
      <c r="Z272">
        <v>0</v>
      </c>
      <c r="AA272">
        <v>114.6301960784314</v>
      </c>
      <c r="AB272">
        <v>350</v>
      </c>
      <c r="AC272">
        <v>0</v>
      </c>
      <c r="AD272">
        <v>27.9758064516129</v>
      </c>
      <c r="AE272">
        <v>105</v>
      </c>
      <c r="AF272">
        <v>0</v>
      </c>
      <c r="AG272">
        <v>110.46935483870971</v>
      </c>
      <c r="AH272">
        <v>280</v>
      </c>
      <c r="AI272">
        <v>0</v>
      </c>
      <c r="AJ272">
        <v>67</v>
      </c>
      <c r="AK272">
        <v>139.6</v>
      </c>
      <c r="AL272">
        <v>1470</v>
      </c>
      <c r="AM272">
        <v>545</v>
      </c>
      <c r="AN272">
        <v>2015</v>
      </c>
      <c r="AO272">
        <v>146</v>
      </c>
      <c r="AP272">
        <v>559</v>
      </c>
    </row>
    <row r="273" spans="1:42" x14ac:dyDescent="0.3">
      <c r="A273" t="s">
        <v>1133</v>
      </c>
      <c r="B273" t="s">
        <v>56</v>
      </c>
      <c r="C273" t="s">
        <v>1043</v>
      </c>
      <c r="D273" t="s">
        <v>64</v>
      </c>
      <c r="E273" t="s">
        <v>1047</v>
      </c>
      <c r="F273">
        <v>2019</v>
      </c>
      <c r="G273">
        <v>139.6</v>
      </c>
      <c r="H273">
        <v>6</v>
      </c>
      <c r="I273">
        <v>3</v>
      </c>
      <c r="J273">
        <v>48</v>
      </c>
      <c r="K273">
        <v>67</v>
      </c>
      <c r="L273" t="s">
        <v>979</v>
      </c>
      <c r="M273">
        <v>34.182751540041068</v>
      </c>
      <c r="N273">
        <v>264</v>
      </c>
      <c r="O273">
        <v>0</v>
      </c>
      <c r="P273">
        <v>26</v>
      </c>
      <c r="Q273">
        <v>94.26964285714287</v>
      </c>
      <c r="R273">
        <v>-8.1827515400410675</v>
      </c>
      <c r="S273">
        <v>187</v>
      </c>
      <c r="T273">
        <v>0</v>
      </c>
      <c r="U273">
        <v>25.6</v>
      </c>
      <c r="V273">
        <v>105</v>
      </c>
      <c r="W273">
        <v>0</v>
      </c>
      <c r="X273">
        <v>26.556862745098041</v>
      </c>
      <c r="Y273">
        <v>109</v>
      </c>
      <c r="Z273">
        <v>0</v>
      </c>
      <c r="AA273">
        <v>114.6301960784314</v>
      </c>
      <c r="AB273">
        <v>350</v>
      </c>
      <c r="AC273">
        <v>0</v>
      </c>
      <c r="AD273">
        <v>27.9758064516129</v>
      </c>
      <c r="AE273">
        <v>105</v>
      </c>
      <c r="AF273">
        <v>0</v>
      </c>
      <c r="AG273">
        <v>110.46935483870971</v>
      </c>
      <c r="AH273">
        <v>280</v>
      </c>
      <c r="AI273">
        <v>0</v>
      </c>
      <c r="AL273">
        <v>1464</v>
      </c>
      <c r="AM273">
        <v>542</v>
      </c>
      <c r="AN273">
        <v>2006</v>
      </c>
      <c r="AO273">
        <v>17</v>
      </c>
      <c r="AP273">
        <v>550</v>
      </c>
    </row>
    <row r="274" spans="1:42" x14ac:dyDescent="0.3">
      <c r="A274" t="s">
        <v>1622</v>
      </c>
      <c r="B274" t="s">
        <v>4</v>
      </c>
      <c r="C274" t="s">
        <v>1043</v>
      </c>
      <c r="D274" t="s">
        <v>46</v>
      </c>
      <c r="E274" t="s">
        <v>1047</v>
      </c>
      <c r="F274">
        <v>2019</v>
      </c>
      <c r="G274">
        <v>71.400000000000006</v>
      </c>
      <c r="H274">
        <v>1</v>
      </c>
      <c r="I274">
        <v>0</v>
      </c>
      <c r="J274">
        <v>7</v>
      </c>
      <c r="K274">
        <v>5</v>
      </c>
      <c r="L274" t="s">
        <v>1327</v>
      </c>
      <c r="M274">
        <v>34.242798353909457</v>
      </c>
      <c r="N274">
        <v>264</v>
      </c>
      <c r="O274">
        <v>0</v>
      </c>
      <c r="P274">
        <v>31.72727272727273</v>
      </c>
      <c r="Q274">
        <v>85.109090909090909</v>
      </c>
      <c r="R274">
        <v>-2.515525626636737</v>
      </c>
      <c r="S274">
        <v>141</v>
      </c>
      <c r="T274">
        <v>0</v>
      </c>
      <c r="U274">
        <v>20.68965517241379</v>
      </c>
      <c r="V274">
        <v>73</v>
      </c>
      <c r="W274">
        <v>0</v>
      </c>
      <c r="X274">
        <v>26.556862745098041</v>
      </c>
      <c r="Y274">
        <v>109</v>
      </c>
      <c r="Z274">
        <v>0</v>
      </c>
      <c r="AA274">
        <v>114.6301960784314</v>
      </c>
      <c r="AB274">
        <v>350</v>
      </c>
      <c r="AC274">
        <v>0</v>
      </c>
      <c r="AD274">
        <v>27.9758064516129</v>
      </c>
      <c r="AE274">
        <v>105</v>
      </c>
      <c r="AF274">
        <v>0</v>
      </c>
      <c r="AG274">
        <v>110.46935483870971</v>
      </c>
      <c r="AH274">
        <v>280</v>
      </c>
      <c r="AI274">
        <v>0</v>
      </c>
      <c r="AJ274">
        <v>58</v>
      </c>
      <c r="AK274">
        <v>141.9</v>
      </c>
      <c r="AL274">
        <v>1463</v>
      </c>
      <c r="AM274">
        <v>542</v>
      </c>
      <c r="AN274">
        <v>2005</v>
      </c>
      <c r="AO274">
        <v>26</v>
      </c>
      <c r="AP274">
        <v>549</v>
      </c>
    </row>
    <row r="275" spans="1:42" x14ac:dyDescent="0.3">
      <c r="A275" t="s">
        <v>1329</v>
      </c>
      <c r="B275" t="s">
        <v>8</v>
      </c>
      <c r="C275" t="s">
        <v>1043</v>
      </c>
      <c r="D275" t="s">
        <v>9</v>
      </c>
      <c r="E275" t="s">
        <v>1047</v>
      </c>
      <c r="F275">
        <v>2019</v>
      </c>
      <c r="G275">
        <v>136.4</v>
      </c>
      <c r="H275">
        <v>3</v>
      </c>
      <c r="I275">
        <v>1</v>
      </c>
      <c r="J275">
        <v>22</v>
      </c>
      <c r="K275">
        <v>30</v>
      </c>
      <c r="L275" t="s">
        <v>1327</v>
      </c>
      <c r="M275">
        <v>34.251546391752584</v>
      </c>
      <c r="N275">
        <v>264</v>
      </c>
      <c r="O275">
        <v>0</v>
      </c>
      <c r="P275">
        <v>38.36</v>
      </c>
      <c r="Q275">
        <v>122.748</v>
      </c>
      <c r="R275">
        <v>4.108453608247423</v>
      </c>
      <c r="S275">
        <v>131</v>
      </c>
      <c r="T275">
        <v>1</v>
      </c>
      <c r="U275">
        <v>28.567567567567568</v>
      </c>
      <c r="V275">
        <v>74</v>
      </c>
      <c r="W275">
        <v>0</v>
      </c>
      <c r="X275">
        <v>26.556862745098041</v>
      </c>
      <c r="Y275">
        <v>109</v>
      </c>
      <c r="Z275">
        <v>0</v>
      </c>
      <c r="AA275">
        <v>114.6301960784314</v>
      </c>
      <c r="AB275">
        <v>350</v>
      </c>
      <c r="AC275">
        <v>0</v>
      </c>
      <c r="AD275">
        <v>27.9758064516129</v>
      </c>
      <c r="AE275">
        <v>105</v>
      </c>
      <c r="AF275">
        <v>0</v>
      </c>
      <c r="AG275">
        <v>110.46935483870971</v>
      </c>
      <c r="AH275">
        <v>280</v>
      </c>
      <c r="AI275">
        <v>0</v>
      </c>
      <c r="AJ275">
        <v>75</v>
      </c>
      <c r="AK275">
        <v>147.15</v>
      </c>
      <c r="AL275">
        <v>1460</v>
      </c>
      <c r="AM275">
        <v>541</v>
      </c>
      <c r="AN275">
        <v>2001</v>
      </c>
      <c r="AO275">
        <v>64</v>
      </c>
      <c r="AP275">
        <v>545</v>
      </c>
    </row>
    <row r="276" spans="1:42" x14ac:dyDescent="0.3">
      <c r="A276" t="s">
        <v>1348</v>
      </c>
      <c r="B276" t="s">
        <v>60</v>
      </c>
      <c r="C276" t="s">
        <v>1043</v>
      </c>
      <c r="D276" t="s">
        <v>12</v>
      </c>
      <c r="E276" t="s">
        <v>1047</v>
      </c>
      <c r="F276">
        <v>2019</v>
      </c>
      <c r="G276">
        <v>147.4</v>
      </c>
      <c r="H276">
        <v>2</v>
      </c>
      <c r="I276">
        <v>2</v>
      </c>
      <c r="J276">
        <v>19</v>
      </c>
      <c r="K276">
        <v>28</v>
      </c>
      <c r="L276" t="s">
        <v>1327</v>
      </c>
      <c r="M276">
        <v>34.264462809917347</v>
      </c>
      <c r="N276">
        <v>264</v>
      </c>
      <c r="O276">
        <v>0</v>
      </c>
      <c r="P276">
        <v>31.203883495145629</v>
      </c>
      <c r="Q276">
        <v>120.5689320388349</v>
      </c>
      <c r="R276">
        <v>-3.0605793147717222</v>
      </c>
      <c r="S276">
        <v>162</v>
      </c>
      <c r="T276">
        <v>0</v>
      </c>
      <c r="U276">
        <v>25.96875</v>
      </c>
      <c r="V276">
        <v>94</v>
      </c>
      <c r="W276">
        <v>0</v>
      </c>
      <c r="X276">
        <v>26.556862745098041</v>
      </c>
      <c r="Y276">
        <v>109</v>
      </c>
      <c r="Z276">
        <v>0</v>
      </c>
      <c r="AA276">
        <v>114.6301960784314</v>
      </c>
      <c r="AB276">
        <v>350</v>
      </c>
      <c r="AC276">
        <v>0</v>
      </c>
      <c r="AD276">
        <v>27.9758064516129</v>
      </c>
      <c r="AE276">
        <v>105</v>
      </c>
      <c r="AF276">
        <v>0</v>
      </c>
      <c r="AG276">
        <v>110.46935483870971</v>
      </c>
      <c r="AH276">
        <v>280</v>
      </c>
      <c r="AI276">
        <v>0</v>
      </c>
      <c r="AJ276">
        <v>47</v>
      </c>
      <c r="AK276">
        <v>146.9</v>
      </c>
      <c r="AL276">
        <v>1458</v>
      </c>
      <c r="AM276">
        <v>539</v>
      </c>
      <c r="AN276">
        <v>1997</v>
      </c>
      <c r="AO276">
        <v>266</v>
      </c>
      <c r="AP276">
        <v>541</v>
      </c>
    </row>
    <row r="277" spans="1:42" x14ac:dyDescent="0.3">
      <c r="A277" t="s">
        <v>1242</v>
      </c>
      <c r="B277" t="s">
        <v>4</v>
      </c>
      <c r="C277" t="s">
        <v>1043</v>
      </c>
      <c r="D277" t="s">
        <v>12</v>
      </c>
      <c r="E277" t="s">
        <v>1047</v>
      </c>
      <c r="F277">
        <v>2019</v>
      </c>
      <c r="G277">
        <v>146.9</v>
      </c>
      <c r="H277">
        <v>6</v>
      </c>
      <c r="I277">
        <v>1</v>
      </c>
      <c r="J277">
        <v>32</v>
      </c>
      <c r="K277">
        <v>47</v>
      </c>
      <c r="L277" t="s">
        <v>979</v>
      </c>
      <c r="M277">
        <v>34.238095238095241</v>
      </c>
      <c r="N277">
        <v>264</v>
      </c>
      <c r="O277">
        <v>0</v>
      </c>
      <c r="P277">
        <v>31.203883495145629</v>
      </c>
      <c r="Q277">
        <v>120.5689320388349</v>
      </c>
      <c r="R277">
        <v>-3.034211742949608</v>
      </c>
      <c r="S277">
        <v>162</v>
      </c>
      <c r="T277">
        <v>0</v>
      </c>
      <c r="U277">
        <v>20.68965517241379</v>
      </c>
      <c r="V277">
        <v>73</v>
      </c>
      <c r="W277">
        <v>0</v>
      </c>
      <c r="X277">
        <v>26.556862745098041</v>
      </c>
      <c r="Y277">
        <v>109</v>
      </c>
      <c r="Z277">
        <v>0</v>
      </c>
      <c r="AA277">
        <v>114.6301960784314</v>
      </c>
      <c r="AB277">
        <v>350</v>
      </c>
      <c r="AC277">
        <v>0</v>
      </c>
      <c r="AD277">
        <v>27.9758064516129</v>
      </c>
      <c r="AE277">
        <v>105</v>
      </c>
      <c r="AF277">
        <v>0</v>
      </c>
      <c r="AG277">
        <v>110.46935483870971</v>
      </c>
      <c r="AH277">
        <v>280</v>
      </c>
      <c r="AI277">
        <v>0</v>
      </c>
      <c r="AL277">
        <v>1452</v>
      </c>
      <c r="AM277">
        <v>538</v>
      </c>
      <c r="AN277">
        <v>1990</v>
      </c>
      <c r="AO277">
        <v>259</v>
      </c>
      <c r="AP277">
        <v>534</v>
      </c>
    </row>
    <row r="278" spans="1:42" x14ac:dyDescent="0.3">
      <c r="A278" t="s">
        <v>1524</v>
      </c>
      <c r="B278" t="s">
        <v>53</v>
      </c>
      <c r="C278" t="s">
        <v>1043</v>
      </c>
      <c r="D278" t="s">
        <v>54</v>
      </c>
      <c r="E278" t="s">
        <v>1047</v>
      </c>
      <c r="F278">
        <v>2019</v>
      </c>
      <c r="G278">
        <v>78.599999999999994</v>
      </c>
      <c r="H278">
        <v>0</v>
      </c>
      <c r="I278">
        <v>1</v>
      </c>
      <c r="J278">
        <v>14</v>
      </c>
      <c r="K278">
        <v>11</v>
      </c>
      <c r="L278" t="s">
        <v>1327</v>
      </c>
      <c r="M278">
        <v>34.286307053941911</v>
      </c>
      <c r="N278">
        <v>264</v>
      </c>
      <c r="O278">
        <v>0</v>
      </c>
      <c r="P278">
        <v>30</v>
      </c>
      <c r="Q278">
        <v>129.072</v>
      </c>
      <c r="R278">
        <v>-4.2863070539419112</v>
      </c>
      <c r="S278">
        <v>76</v>
      </c>
      <c r="T278">
        <v>1</v>
      </c>
      <c r="U278">
        <v>19.375</v>
      </c>
      <c r="V278">
        <v>70</v>
      </c>
      <c r="W278">
        <v>1</v>
      </c>
      <c r="X278">
        <v>26.556862745098041</v>
      </c>
      <c r="Y278">
        <v>109</v>
      </c>
      <c r="Z278">
        <v>0</v>
      </c>
      <c r="AA278">
        <v>114.6301960784314</v>
      </c>
      <c r="AB278">
        <v>350</v>
      </c>
      <c r="AC278">
        <v>0</v>
      </c>
      <c r="AD278">
        <v>27.9758064516129</v>
      </c>
      <c r="AE278">
        <v>105</v>
      </c>
      <c r="AF278">
        <v>0</v>
      </c>
      <c r="AG278">
        <v>110.46935483870971</v>
      </c>
      <c r="AH278">
        <v>280</v>
      </c>
      <c r="AI278">
        <v>0</v>
      </c>
      <c r="AJ278">
        <v>13</v>
      </c>
      <c r="AK278">
        <v>72.2</v>
      </c>
      <c r="AL278">
        <v>1452</v>
      </c>
      <c r="AM278">
        <v>537</v>
      </c>
      <c r="AN278">
        <v>1989</v>
      </c>
      <c r="AO278">
        <v>67</v>
      </c>
      <c r="AP278">
        <v>533</v>
      </c>
    </row>
    <row r="279" spans="1:42" x14ac:dyDescent="0.3">
      <c r="A279" t="s">
        <v>1491</v>
      </c>
      <c r="B279" t="s">
        <v>56</v>
      </c>
      <c r="C279" t="s">
        <v>1043</v>
      </c>
      <c r="D279" t="s">
        <v>12</v>
      </c>
      <c r="E279" t="s">
        <v>1047</v>
      </c>
      <c r="F279">
        <v>2019</v>
      </c>
      <c r="G279">
        <v>72.2</v>
      </c>
      <c r="H279">
        <v>1</v>
      </c>
      <c r="I279">
        <v>0</v>
      </c>
      <c r="J279">
        <v>18</v>
      </c>
      <c r="K279">
        <v>13</v>
      </c>
      <c r="L279" t="s">
        <v>1327</v>
      </c>
      <c r="M279">
        <v>34.330561330561331</v>
      </c>
      <c r="N279">
        <v>264</v>
      </c>
      <c r="O279">
        <v>0</v>
      </c>
      <c r="P279">
        <v>31.203883495145629</v>
      </c>
      <c r="Q279">
        <v>120.5689320388349</v>
      </c>
      <c r="R279">
        <v>-3.1266778354156979</v>
      </c>
      <c r="S279">
        <v>162</v>
      </c>
      <c r="T279">
        <v>0</v>
      </c>
      <c r="U279">
        <v>25.6</v>
      </c>
      <c r="V279">
        <v>105</v>
      </c>
      <c r="W279">
        <v>0</v>
      </c>
      <c r="X279">
        <v>26.556862745098041</v>
      </c>
      <c r="Y279">
        <v>109</v>
      </c>
      <c r="Z279">
        <v>0</v>
      </c>
      <c r="AA279">
        <v>114.6301960784314</v>
      </c>
      <c r="AB279">
        <v>350</v>
      </c>
      <c r="AC279">
        <v>0</v>
      </c>
      <c r="AD279">
        <v>27.9758064516129</v>
      </c>
      <c r="AE279">
        <v>105</v>
      </c>
      <c r="AF279">
        <v>0</v>
      </c>
      <c r="AG279">
        <v>110.46935483870971</v>
      </c>
      <c r="AH279">
        <v>280</v>
      </c>
      <c r="AI279">
        <v>0</v>
      </c>
      <c r="AJ279">
        <v>32</v>
      </c>
      <c r="AK279">
        <v>177.8</v>
      </c>
      <c r="AL279">
        <v>1451</v>
      </c>
      <c r="AM279">
        <v>537</v>
      </c>
      <c r="AN279">
        <v>1988</v>
      </c>
      <c r="AO279">
        <v>258</v>
      </c>
      <c r="AP279">
        <v>532</v>
      </c>
    </row>
    <row r="280" spans="1:42" x14ac:dyDescent="0.3">
      <c r="A280" t="s">
        <v>1315</v>
      </c>
      <c r="B280" t="s">
        <v>40</v>
      </c>
      <c r="C280" t="s">
        <v>1043</v>
      </c>
      <c r="D280" t="s">
        <v>173</v>
      </c>
      <c r="E280" t="s">
        <v>1016</v>
      </c>
      <c r="F280">
        <v>2019</v>
      </c>
      <c r="G280">
        <v>177.8</v>
      </c>
      <c r="H280">
        <v>5</v>
      </c>
      <c r="I280">
        <v>0</v>
      </c>
      <c r="J280">
        <v>18</v>
      </c>
      <c r="K280">
        <v>32</v>
      </c>
      <c r="L280" t="s">
        <v>979</v>
      </c>
      <c r="M280">
        <v>34.335416666666667</v>
      </c>
      <c r="N280">
        <v>264</v>
      </c>
      <c r="O280">
        <v>0</v>
      </c>
      <c r="P280">
        <v>36.388888888888893</v>
      </c>
      <c r="Q280">
        <v>93.683333333333337</v>
      </c>
      <c r="R280">
        <v>2.053472222222219</v>
      </c>
      <c r="S280">
        <v>208</v>
      </c>
      <c r="T280">
        <v>0</v>
      </c>
      <c r="U280">
        <v>28.12903225806452</v>
      </c>
      <c r="V280">
        <v>79</v>
      </c>
      <c r="W280">
        <v>0</v>
      </c>
      <c r="X280">
        <v>26.556862745098041</v>
      </c>
      <c r="Y280">
        <v>109</v>
      </c>
      <c r="Z280">
        <v>0</v>
      </c>
      <c r="AA280">
        <v>114.6301960784314</v>
      </c>
      <c r="AB280">
        <v>350</v>
      </c>
      <c r="AC280">
        <v>0</v>
      </c>
      <c r="AD280">
        <v>34.313432835820898</v>
      </c>
      <c r="AE280">
        <v>137</v>
      </c>
      <c r="AF280">
        <v>0</v>
      </c>
      <c r="AG280">
        <v>101.9507462686567</v>
      </c>
      <c r="AH280">
        <v>216.7</v>
      </c>
      <c r="AI280">
        <v>0</v>
      </c>
      <c r="AJ280">
        <v>48</v>
      </c>
      <c r="AK280">
        <v>145.5</v>
      </c>
      <c r="AL280">
        <v>1446</v>
      </c>
      <c r="AM280">
        <v>537</v>
      </c>
      <c r="AN280">
        <v>1983</v>
      </c>
      <c r="AO280">
        <v>69</v>
      </c>
      <c r="AP280">
        <v>527</v>
      </c>
    </row>
    <row r="281" spans="1:42" x14ac:dyDescent="0.3">
      <c r="A281" t="s">
        <v>1236</v>
      </c>
      <c r="B281" t="s">
        <v>60</v>
      </c>
      <c r="C281" t="s">
        <v>1043</v>
      </c>
      <c r="D281" t="s">
        <v>103</v>
      </c>
      <c r="E281" t="s">
        <v>1016</v>
      </c>
      <c r="F281">
        <v>2019</v>
      </c>
      <c r="G281">
        <v>145.5</v>
      </c>
      <c r="H281">
        <v>8</v>
      </c>
      <c r="I281">
        <v>1</v>
      </c>
      <c r="J281">
        <v>33</v>
      </c>
      <c r="K281">
        <v>48</v>
      </c>
      <c r="L281" t="s">
        <v>979</v>
      </c>
      <c r="M281">
        <v>34.306889352818366</v>
      </c>
      <c r="N281">
        <v>264</v>
      </c>
      <c r="O281">
        <v>0</v>
      </c>
      <c r="P281">
        <v>43.391304347826093</v>
      </c>
      <c r="Q281">
        <v>100.17391304347829</v>
      </c>
      <c r="R281">
        <v>9.0844149950077124</v>
      </c>
      <c r="S281">
        <v>209</v>
      </c>
      <c r="T281">
        <v>0</v>
      </c>
      <c r="U281">
        <v>25.96875</v>
      </c>
      <c r="V281">
        <v>94</v>
      </c>
      <c r="W281">
        <v>0</v>
      </c>
      <c r="X281">
        <v>26.556862745098041</v>
      </c>
      <c r="Y281">
        <v>109</v>
      </c>
      <c r="Z281">
        <v>0</v>
      </c>
      <c r="AA281">
        <v>114.6301960784314</v>
      </c>
      <c r="AB281">
        <v>350</v>
      </c>
      <c r="AC281">
        <v>0</v>
      </c>
      <c r="AD281">
        <v>34.313432835820898</v>
      </c>
      <c r="AE281">
        <v>137</v>
      </c>
      <c r="AF281">
        <v>0</v>
      </c>
      <c r="AG281">
        <v>101.9507462686567</v>
      </c>
      <c r="AH281">
        <v>216.7</v>
      </c>
      <c r="AI281">
        <v>0</v>
      </c>
      <c r="AJ281">
        <v>14</v>
      </c>
      <c r="AK281">
        <v>107.7</v>
      </c>
      <c r="AL281">
        <v>1438</v>
      </c>
      <c r="AM281">
        <v>536</v>
      </c>
      <c r="AN281">
        <v>1974</v>
      </c>
      <c r="AO281">
        <v>64</v>
      </c>
      <c r="AP281">
        <v>518</v>
      </c>
    </row>
    <row r="282" spans="1:42" x14ac:dyDescent="0.3">
      <c r="A282" t="s">
        <v>1480</v>
      </c>
      <c r="B282" t="s">
        <v>8</v>
      </c>
      <c r="C282" t="s">
        <v>1043</v>
      </c>
      <c r="D282" t="s">
        <v>12</v>
      </c>
      <c r="E282" t="s">
        <v>1016</v>
      </c>
      <c r="F282">
        <v>2019</v>
      </c>
      <c r="G282">
        <v>107.7</v>
      </c>
      <c r="H282">
        <v>2</v>
      </c>
      <c r="I282">
        <v>0</v>
      </c>
      <c r="J282">
        <v>13</v>
      </c>
      <c r="K282">
        <v>14</v>
      </c>
      <c r="L282" t="s">
        <v>1327</v>
      </c>
      <c r="M282">
        <v>34.34937238493724</v>
      </c>
      <c r="N282">
        <v>264</v>
      </c>
      <c r="O282">
        <v>0</v>
      </c>
      <c r="P282">
        <v>31.203883495145629</v>
      </c>
      <c r="Q282">
        <v>120.5689320388349</v>
      </c>
      <c r="R282">
        <v>-3.1454888897916078</v>
      </c>
      <c r="S282">
        <v>162</v>
      </c>
      <c r="T282">
        <v>0</v>
      </c>
      <c r="U282">
        <v>28.567567567567568</v>
      </c>
      <c r="V282">
        <v>74</v>
      </c>
      <c r="W282">
        <v>0</v>
      </c>
      <c r="X282">
        <v>26.556862745098041</v>
      </c>
      <c r="Y282">
        <v>109</v>
      </c>
      <c r="Z282">
        <v>0</v>
      </c>
      <c r="AA282">
        <v>114.6301960784314</v>
      </c>
      <c r="AB282">
        <v>350</v>
      </c>
      <c r="AC282">
        <v>0</v>
      </c>
      <c r="AD282">
        <v>34.313432835820898</v>
      </c>
      <c r="AE282">
        <v>137</v>
      </c>
      <c r="AF282">
        <v>0</v>
      </c>
      <c r="AG282">
        <v>101.9507462686567</v>
      </c>
      <c r="AH282">
        <v>216.7</v>
      </c>
      <c r="AI282">
        <v>0</v>
      </c>
      <c r="AL282">
        <v>1436</v>
      </c>
      <c r="AM282">
        <v>536</v>
      </c>
      <c r="AN282">
        <v>1972</v>
      </c>
      <c r="AO282">
        <v>256</v>
      </c>
      <c r="AP282">
        <v>516</v>
      </c>
    </row>
    <row r="283" spans="1:42" x14ac:dyDescent="0.3">
      <c r="A283" t="s">
        <v>1186</v>
      </c>
      <c r="B283" t="s">
        <v>32</v>
      </c>
      <c r="C283" t="s">
        <v>16</v>
      </c>
      <c r="D283" t="s">
        <v>9</v>
      </c>
      <c r="E283" t="s">
        <v>1016</v>
      </c>
      <c r="F283">
        <v>2019</v>
      </c>
      <c r="G283">
        <v>62.9</v>
      </c>
      <c r="H283">
        <v>4</v>
      </c>
      <c r="I283">
        <v>0</v>
      </c>
      <c r="J283">
        <v>89</v>
      </c>
      <c r="K283">
        <v>56</v>
      </c>
      <c r="L283" t="s">
        <v>979</v>
      </c>
      <c r="M283">
        <v>34.303983228511527</v>
      </c>
      <c r="N283">
        <v>264</v>
      </c>
      <c r="O283">
        <v>0</v>
      </c>
      <c r="P283">
        <v>38.36</v>
      </c>
      <c r="Q283">
        <v>122.748</v>
      </c>
      <c r="R283">
        <v>4.0560167714884656</v>
      </c>
      <c r="S283">
        <v>131</v>
      </c>
      <c r="T283">
        <v>1</v>
      </c>
      <c r="U283">
        <v>44.710843373493979</v>
      </c>
      <c r="V283">
        <v>209</v>
      </c>
      <c r="W283">
        <v>0</v>
      </c>
      <c r="X283">
        <v>42.251824817518248</v>
      </c>
      <c r="Y283">
        <v>264</v>
      </c>
      <c r="Z283">
        <v>0</v>
      </c>
      <c r="AA283">
        <v>77.646715328467153</v>
      </c>
      <c r="AB283">
        <v>200</v>
      </c>
      <c r="AC283">
        <v>0</v>
      </c>
      <c r="AD283">
        <v>34.313432835820898</v>
      </c>
      <c r="AE283">
        <v>137</v>
      </c>
      <c r="AF283">
        <v>0</v>
      </c>
      <c r="AG283">
        <v>101.9507462686567</v>
      </c>
      <c r="AH283">
        <v>216.7</v>
      </c>
      <c r="AI283">
        <v>0</v>
      </c>
      <c r="AJ283">
        <v>109</v>
      </c>
      <c r="AK283">
        <v>101.65</v>
      </c>
      <c r="AL283">
        <v>1432</v>
      </c>
      <c r="AM283">
        <v>536</v>
      </c>
      <c r="AN283">
        <v>1968</v>
      </c>
      <c r="AO283">
        <v>60</v>
      </c>
      <c r="AP283">
        <v>913</v>
      </c>
    </row>
    <row r="284" spans="1:42" x14ac:dyDescent="0.3">
      <c r="A284" t="s">
        <v>1063</v>
      </c>
      <c r="B284" t="s">
        <v>32</v>
      </c>
      <c r="C284" t="s">
        <v>16</v>
      </c>
      <c r="D284" t="s">
        <v>173</v>
      </c>
      <c r="E284" t="s">
        <v>1016</v>
      </c>
      <c r="F284">
        <v>2019</v>
      </c>
      <c r="G284">
        <v>103.3</v>
      </c>
      <c r="H284">
        <v>7</v>
      </c>
      <c r="I284">
        <v>2</v>
      </c>
      <c r="J284">
        <v>92</v>
      </c>
      <c r="K284">
        <v>95</v>
      </c>
      <c r="L284" t="s">
        <v>979</v>
      </c>
      <c r="M284">
        <v>34.176470588235297</v>
      </c>
      <c r="N284">
        <v>264</v>
      </c>
      <c r="O284">
        <v>0</v>
      </c>
      <c r="P284">
        <v>36.388888888888893</v>
      </c>
      <c r="Q284">
        <v>93.683333333333337</v>
      </c>
      <c r="R284">
        <v>2.2124183006535891</v>
      </c>
      <c r="S284">
        <v>208</v>
      </c>
      <c r="T284">
        <v>0</v>
      </c>
      <c r="U284">
        <v>44.710843373493979</v>
      </c>
      <c r="V284">
        <v>209</v>
      </c>
      <c r="W284">
        <v>0</v>
      </c>
      <c r="X284">
        <v>42.251824817518248</v>
      </c>
      <c r="Y284">
        <v>264</v>
      </c>
      <c r="Z284">
        <v>0</v>
      </c>
      <c r="AA284">
        <v>77.646715328467153</v>
      </c>
      <c r="AB284">
        <v>200</v>
      </c>
      <c r="AC284">
        <v>0</v>
      </c>
      <c r="AD284">
        <v>34.313432835820898</v>
      </c>
      <c r="AE284">
        <v>137</v>
      </c>
      <c r="AF284">
        <v>0</v>
      </c>
      <c r="AG284">
        <v>101.9507462686567</v>
      </c>
      <c r="AH284">
        <v>216.7</v>
      </c>
      <c r="AI284">
        <v>0</v>
      </c>
      <c r="AJ284">
        <v>14</v>
      </c>
      <c r="AK284">
        <v>50</v>
      </c>
      <c r="AL284">
        <v>1425</v>
      </c>
      <c r="AM284">
        <v>534</v>
      </c>
      <c r="AN284">
        <v>1959</v>
      </c>
      <c r="AO284">
        <v>60</v>
      </c>
      <c r="AP284">
        <v>904</v>
      </c>
    </row>
    <row r="285" spans="1:42" x14ac:dyDescent="0.3">
      <c r="A285" t="s">
        <v>1481</v>
      </c>
      <c r="B285" t="s">
        <v>32</v>
      </c>
      <c r="C285" t="s">
        <v>16</v>
      </c>
      <c r="D285" t="s">
        <v>29</v>
      </c>
      <c r="E285" t="s">
        <v>1016</v>
      </c>
      <c r="F285">
        <v>2019</v>
      </c>
      <c r="G285">
        <v>100</v>
      </c>
      <c r="H285">
        <v>2</v>
      </c>
      <c r="I285">
        <v>1</v>
      </c>
      <c r="J285">
        <v>14</v>
      </c>
      <c r="K285">
        <v>14</v>
      </c>
      <c r="L285" t="s">
        <v>1327</v>
      </c>
      <c r="M285">
        <v>34.218947368421063</v>
      </c>
      <c r="N285">
        <v>264</v>
      </c>
      <c r="O285">
        <v>0</v>
      </c>
      <c r="P285">
        <v>47.8</v>
      </c>
      <c r="Q285">
        <v>97.134999999999991</v>
      </c>
      <c r="R285">
        <v>13.58105263157894</v>
      </c>
      <c r="S285">
        <v>212</v>
      </c>
      <c r="T285">
        <v>9</v>
      </c>
      <c r="U285">
        <v>44.710843373493979</v>
      </c>
      <c r="V285">
        <v>209</v>
      </c>
      <c r="W285">
        <v>0</v>
      </c>
      <c r="X285">
        <v>42.251824817518248</v>
      </c>
      <c r="Y285">
        <v>264</v>
      </c>
      <c r="Z285">
        <v>0</v>
      </c>
      <c r="AA285">
        <v>77.646715328467153</v>
      </c>
      <c r="AB285">
        <v>200</v>
      </c>
      <c r="AC285">
        <v>0</v>
      </c>
      <c r="AD285">
        <v>34.313432835820898</v>
      </c>
      <c r="AE285">
        <v>137</v>
      </c>
      <c r="AF285">
        <v>0</v>
      </c>
      <c r="AG285">
        <v>101.9507462686567</v>
      </c>
      <c r="AH285">
        <v>216.7</v>
      </c>
      <c r="AI285">
        <v>0</v>
      </c>
      <c r="AJ285">
        <v>0</v>
      </c>
      <c r="AK285">
        <v>0</v>
      </c>
      <c r="AL285">
        <v>1423</v>
      </c>
      <c r="AM285">
        <v>533</v>
      </c>
      <c r="AN285">
        <v>1956</v>
      </c>
      <c r="AO285">
        <v>10</v>
      </c>
      <c r="AP285">
        <v>901</v>
      </c>
    </row>
    <row r="286" spans="1:42" x14ac:dyDescent="0.3">
      <c r="A286" t="s">
        <v>1738</v>
      </c>
      <c r="B286" t="s">
        <v>32</v>
      </c>
      <c r="C286" t="s">
        <v>16</v>
      </c>
      <c r="D286" t="s">
        <v>80</v>
      </c>
      <c r="E286" t="s">
        <v>1016</v>
      </c>
      <c r="F286">
        <v>2019</v>
      </c>
      <c r="G286">
        <v>0</v>
      </c>
      <c r="H286">
        <v>0</v>
      </c>
      <c r="I286">
        <v>0</v>
      </c>
      <c r="J286">
        <v>6</v>
      </c>
      <c r="K286">
        <v>0</v>
      </c>
      <c r="L286" t="s">
        <v>1327</v>
      </c>
      <c r="M286">
        <v>34.291139240506332</v>
      </c>
      <c r="N286">
        <v>264</v>
      </c>
      <c r="O286">
        <v>0</v>
      </c>
      <c r="P286">
        <v>45.785714285714278</v>
      </c>
      <c r="Q286">
        <v>80.371428571428552</v>
      </c>
      <c r="R286">
        <v>11.49457504520795</v>
      </c>
      <c r="S286">
        <v>125</v>
      </c>
      <c r="T286">
        <v>0</v>
      </c>
      <c r="U286">
        <v>44.710843373493979</v>
      </c>
      <c r="V286">
        <v>209</v>
      </c>
      <c r="W286">
        <v>0</v>
      </c>
      <c r="X286">
        <v>42.251824817518248</v>
      </c>
      <c r="Y286">
        <v>264</v>
      </c>
      <c r="Z286">
        <v>0</v>
      </c>
      <c r="AA286">
        <v>77.646715328467153</v>
      </c>
      <c r="AB286">
        <v>200</v>
      </c>
      <c r="AC286">
        <v>0</v>
      </c>
      <c r="AD286">
        <v>34.313432835820898</v>
      </c>
      <c r="AE286">
        <v>137</v>
      </c>
      <c r="AF286">
        <v>0</v>
      </c>
      <c r="AG286">
        <v>101.9507462686567</v>
      </c>
      <c r="AH286">
        <v>216.7</v>
      </c>
      <c r="AI286">
        <v>0</v>
      </c>
      <c r="AJ286">
        <v>37</v>
      </c>
      <c r="AK286">
        <v>56.1</v>
      </c>
      <c r="AL286">
        <v>1423</v>
      </c>
      <c r="AM286">
        <v>533</v>
      </c>
      <c r="AN286">
        <v>1956</v>
      </c>
      <c r="AO286">
        <v>54</v>
      </c>
      <c r="AP286">
        <v>901</v>
      </c>
    </row>
    <row r="287" spans="1:42" x14ac:dyDescent="0.3">
      <c r="A287" t="s">
        <v>1290</v>
      </c>
      <c r="B287" t="s">
        <v>32</v>
      </c>
      <c r="C287" t="s">
        <v>16</v>
      </c>
      <c r="D287" t="s">
        <v>54</v>
      </c>
      <c r="E287" t="s">
        <v>1016</v>
      </c>
      <c r="F287">
        <v>2019</v>
      </c>
      <c r="G287">
        <v>56.1</v>
      </c>
      <c r="H287">
        <v>5</v>
      </c>
      <c r="I287">
        <v>0</v>
      </c>
      <c r="J287">
        <v>66</v>
      </c>
      <c r="K287">
        <v>37</v>
      </c>
      <c r="L287" t="s">
        <v>979</v>
      </c>
      <c r="M287">
        <v>34.285412262156449</v>
      </c>
      <c r="N287">
        <v>264</v>
      </c>
      <c r="O287">
        <v>0</v>
      </c>
      <c r="P287">
        <v>30</v>
      </c>
      <c r="Q287">
        <v>129.072</v>
      </c>
      <c r="R287">
        <v>-4.2854122621564494</v>
      </c>
      <c r="S287">
        <v>76</v>
      </c>
      <c r="T287">
        <v>1</v>
      </c>
      <c r="U287">
        <v>44.710843373493979</v>
      </c>
      <c r="V287">
        <v>209</v>
      </c>
      <c r="W287">
        <v>0</v>
      </c>
      <c r="X287">
        <v>42.251824817518248</v>
      </c>
      <c r="Y287">
        <v>264</v>
      </c>
      <c r="Z287">
        <v>0</v>
      </c>
      <c r="AA287">
        <v>77.646715328467153</v>
      </c>
      <c r="AB287">
        <v>200</v>
      </c>
      <c r="AC287">
        <v>0</v>
      </c>
      <c r="AD287">
        <v>34.313432835820898</v>
      </c>
      <c r="AE287">
        <v>137</v>
      </c>
      <c r="AF287">
        <v>0</v>
      </c>
      <c r="AG287">
        <v>101.9507462686567</v>
      </c>
      <c r="AH287">
        <v>216.7</v>
      </c>
      <c r="AI287">
        <v>0</v>
      </c>
      <c r="AL287">
        <v>1418</v>
      </c>
      <c r="AM287">
        <v>533</v>
      </c>
      <c r="AN287">
        <v>1951</v>
      </c>
      <c r="AO287">
        <v>62</v>
      </c>
      <c r="AP287">
        <v>896</v>
      </c>
    </row>
    <row r="288" spans="1:42" x14ac:dyDescent="0.3">
      <c r="A288" t="s">
        <v>1623</v>
      </c>
      <c r="B288" t="s">
        <v>32</v>
      </c>
      <c r="C288" t="s">
        <v>5</v>
      </c>
      <c r="D288" t="s">
        <v>25</v>
      </c>
      <c r="E288" t="s">
        <v>990</v>
      </c>
      <c r="F288">
        <v>2019</v>
      </c>
      <c r="G288">
        <v>62.5</v>
      </c>
      <c r="H288">
        <v>0</v>
      </c>
      <c r="I288">
        <v>0</v>
      </c>
      <c r="J288">
        <v>8</v>
      </c>
      <c r="K288">
        <v>5</v>
      </c>
      <c r="L288" t="s">
        <v>1327</v>
      </c>
      <c r="M288">
        <v>34.347457627118636</v>
      </c>
      <c r="N288">
        <v>264</v>
      </c>
      <c r="O288">
        <v>0</v>
      </c>
      <c r="P288">
        <v>56.375</v>
      </c>
      <c r="Q288">
        <v>92.453125</v>
      </c>
      <c r="R288">
        <v>22.02754237288136</v>
      </c>
      <c r="S288">
        <v>303</v>
      </c>
      <c r="T288">
        <v>4</v>
      </c>
      <c r="U288">
        <v>44.710843373493979</v>
      </c>
      <c r="V288">
        <v>209</v>
      </c>
      <c r="W288">
        <v>0</v>
      </c>
      <c r="X288">
        <v>28.189024390243901</v>
      </c>
      <c r="Y288">
        <v>121</v>
      </c>
      <c r="Z288">
        <v>0</v>
      </c>
      <c r="AA288">
        <v>116.45060975609761</v>
      </c>
      <c r="AB288">
        <v>274.39999999999998</v>
      </c>
      <c r="AC288">
        <v>0</v>
      </c>
      <c r="AD288">
        <v>31.115942028985511</v>
      </c>
      <c r="AE288">
        <v>187</v>
      </c>
      <c r="AF288">
        <v>0</v>
      </c>
      <c r="AG288">
        <v>73.336956521739125</v>
      </c>
      <c r="AH288">
        <v>233.3</v>
      </c>
      <c r="AI288">
        <v>0</v>
      </c>
      <c r="AL288">
        <v>1418</v>
      </c>
      <c r="AM288">
        <v>533</v>
      </c>
      <c r="AN288">
        <v>1951</v>
      </c>
      <c r="AO288">
        <v>39</v>
      </c>
      <c r="AP288">
        <v>356</v>
      </c>
    </row>
    <row r="289" spans="1:42" x14ac:dyDescent="0.3">
      <c r="A289" t="s">
        <v>1284</v>
      </c>
      <c r="B289" t="s">
        <v>15</v>
      </c>
      <c r="C289" t="s">
        <v>5</v>
      </c>
      <c r="D289" t="s">
        <v>405</v>
      </c>
      <c r="E289" t="s">
        <v>990</v>
      </c>
      <c r="F289">
        <v>2019</v>
      </c>
      <c r="G289">
        <v>118.8</v>
      </c>
      <c r="H289">
        <v>3</v>
      </c>
      <c r="I289">
        <v>0</v>
      </c>
      <c r="J289">
        <v>32</v>
      </c>
      <c r="K289">
        <v>38</v>
      </c>
      <c r="L289" t="s">
        <v>979</v>
      </c>
      <c r="M289">
        <v>34.339702760084933</v>
      </c>
      <c r="N289">
        <v>264</v>
      </c>
      <c r="O289">
        <v>0</v>
      </c>
      <c r="P289">
        <v>45.5</v>
      </c>
      <c r="Q289">
        <v>91.916666666666671</v>
      </c>
      <c r="R289">
        <v>11.160297239915071</v>
      </c>
      <c r="S289">
        <v>79</v>
      </c>
      <c r="T289">
        <v>7</v>
      </c>
      <c r="U289">
        <v>37.701754385964911</v>
      </c>
      <c r="V289">
        <v>147</v>
      </c>
      <c r="W289">
        <v>1</v>
      </c>
      <c r="X289">
        <v>28.189024390243901</v>
      </c>
      <c r="Y289">
        <v>121</v>
      </c>
      <c r="Z289">
        <v>0</v>
      </c>
      <c r="AA289">
        <v>116.45060975609761</v>
      </c>
      <c r="AB289">
        <v>274.39999999999998</v>
      </c>
      <c r="AC289">
        <v>0</v>
      </c>
      <c r="AD289">
        <v>31.115942028985511</v>
      </c>
      <c r="AE289">
        <v>187</v>
      </c>
      <c r="AF289">
        <v>0</v>
      </c>
      <c r="AG289">
        <v>73.336956521739125</v>
      </c>
      <c r="AH289">
        <v>233.3</v>
      </c>
      <c r="AI289">
        <v>0</v>
      </c>
      <c r="AJ289">
        <v>51</v>
      </c>
      <c r="AK289">
        <v>96.2</v>
      </c>
      <c r="AL289">
        <v>1415</v>
      </c>
      <c r="AM289">
        <v>533</v>
      </c>
      <c r="AN289">
        <v>1948</v>
      </c>
      <c r="AO289">
        <v>19</v>
      </c>
      <c r="AP289">
        <v>353</v>
      </c>
    </row>
    <row r="290" spans="1:42" x14ac:dyDescent="0.3">
      <c r="A290" t="s">
        <v>1219</v>
      </c>
      <c r="B290" t="s">
        <v>15</v>
      </c>
      <c r="C290" t="s">
        <v>5</v>
      </c>
      <c r="D290" t="s">
        <v>407</v>
      </c>
      <c r="E290" t="s">
        <v>990</v>
      </c>
      <c r="F290">
        <v>2019</v>
      </c>
      <c r="G290">
        <v>172.4</v>
      </c>
      <c r="H290">
        <v>3</v>
      </c>
      <c r="I290">
        <v>4</v>
      </c>
      <c r="J290">
        <v>29</v>
      </c>
      <c r="K290">
        <v>50</v>
      </c>
      <c r="L290" t="s">
        <v>979</v>
      </c>
      <c r="M290">
        <v>34.306382978723413</v>
      </c>
      <c r="N290">
        <v>264</v>
      </c>
      <c r="O290">
        <v>0</v>
      </c>
      <c r="P290">
        <v>36.285714285714278</v>
      </c>
      <c r="Q290">
        <v>100.7714285714286</v>
      </c>
      <c r="R290">
        <v>1.9793313069908789</v>
      </c>
      <c r="S290">
        <v>91</v>
      </c>
      <c r="T290">
        <v>7</v>
      </c>
      <c r="U290">
        <v>37.701754385964911</v>
      </c>
      <c r="V290">
        <v>147</v>
      </c>
      <c r="W290">
        <v>1</v>
      </c>
      <c r="X290">
        <v>28.189024390243901</v>
      </c>
      <c r="Y290">
        <v>121</v>
      </c>
      <c r="Z290">
        <v>0</v>
      </c>
      <c r="AA290">
        <v>116.45060975609761</v>
      </c>
      <c r="AB290">
        <v>274.39999999999998</v>
      </c>
      <c r="AC290">
        <v>0</v>
      </c>
      <c r="AD290">
        <v>31.115942028985511</v>
      </c>
      <c r="AE290">
        <v>187</v>
      </c>
      <c r="AF290">
        <v>0</v>
      </c>
      <c r="AG290">
        <v>73.336956521739125</v>
      </c>
      <c r="AH290">
        <v>233.3</v>
      </c>
      <c r="AI290">
        <v>0</v>
      </c>
      <c r="AJ290">
        <v>3</v>
      </c>
      <c r="AK290">
        <v>16.25</v>
      </c>
      <c r="AL290">
        <v>1412</v>
      </c>
      <c r="AM290">
        <v>529</v>
      </c>
      <c r="AN290">
        <v>1941</v>
      </c>
      <c r="AO290">
        <v>20</v>
      </c>
      <c r="AP290">
        <v>346</v>
      </c>
    </row>
    <row r="291" spans="1:42" x14ac:dyDescent="0.3">
      <c r="A291" t="s">
        <v>1708</v>
      </c>
      <c r="B291" t="s">
        <v>15</v>
      </c>
      <c r="C291" t="s">
        <v>5</v>
      </c>
      <c r="D291" t="s">
        <v>470</v>
      </c>
      <c r="E291" t="s">
        <v>990</v>
      </c>
      <c r="F291">
        <v>2019</v>
      </c>
      <c r="G291">
        <v>20</v>
      </c>
      <c r="H291">
        <v>0</v>
      </c>
      <c r="I291">
        <v>0</v>
      </c>
      <c r="J291">
        <v>5</v>
      </c>
      <c r="K291">
        <v>1</v>
      </c>
      <c r="L291" t="s">
        <v>1327</v>
      </c>
      <c r="M291">
        <v>34.377398720682301</v>
      </c>
      <c r="N291">
        <v>264</v>
      </c>
      <c r="O291">
        <v>0</v>
      </c>
      <c r="P291">
        <v>9.5</v>
      </c>
      <c r="Q291">
        <v>23.8</v>
      </c>
      <c r="R291">
        <v>-24.877398720682301</v>
      </c>
      <c r="S291">
        <v>31</v>
      </c>
      <c r="T291">
        <v>1</v>
      </c>
      <c r="U291">
        <v>37.701754385964911</v>
      </c>
      <c r="V291">
        <v>147</v>
      </c>
      <c r="W291">
        <v>1</v>
      </c>
      <c r="X291">
        <v>28.189024390243901</v>
      </c>
      <c r="Y291">
        <v>121</v>
      </c>
      <c r="Z291">
        <v>0</v>
      </c>
      <c r="AA291">
        <v>116.45060975609761</v>
      </c>
      <c r="AB291">
        <v>274.39999999999998</v>
      </c>
      <c r="AC291">
        <v>0</v>
      </c>
      <c r="AD291">
        <v>31.115942028985511</v>
      </c>
      <c r="AE291">
        <v>187</v>
      </c>
      <c r="AF291">
        <v>0</v>
      </c>
      <c r="AG291">
        <v>73.336956521739125</v>
      </c>
      <c r="AH291">
        <v>233.3</v>
      </c>
      <c r="AI291">
        <v>0</v>
      </c>
      <c r="AJ291">
        <v>2</v>
      </c>
      <c r="AK291">
        <v>12.5</v>
      </c>
      <c r="AL291">
        <v>1412</v>
      </c>
      <c r="AM291">
        <v>529</v>
      </c>
      <c r="AN291">
        <v>1941</v>
      </c>
      <c r="AO291">
        <v>4</v>
      </c>
      <c r="AP291">
        <v>346</v>
      </c>
    </row>
    <row r="292" spans="1:42" x14ac:dyDescent="0.3">
      <c r="A292" t="s">
        <v>1689</v>
      </c>
      <c r="B292" t="s">
        <v>15</v>
      </c>
      <c r="C292" t="s">
        <v>16</v>
      </c>
      <c r="D292" t="s">
        <v>470</v>
      </c>
      <c r="E292" t="s">
        <v>990</v>
      </c>
      <c r="F292">
        <v>2019</v>
      </c>
      <c r="G292">
        <v>12.5</v>
      </c>
      <c r="H292">
        <v>0</v>
      </c>
      <c r="I292">
        <v>0</v>
      </c>
      <c r="J292">
        <v>16</v>
      </c>
      <c r="K292">
        <v>2</v>
      </c>
      <c r="L292" t="s">
        <v>1327</v>
      </c>
      <c r="M292">
        <v>34.446581196581199</v>
      </c>
      <c r="N292">
        <v>264</v>
      </c>
      <c r="O292">
        <v>0</v>
      </c>
      <c r="P292">
        <v>9.5</v>
      </c>
      <c r="Q292">
        <v>23.8</v>
      </c>
      <c r="R292">
        <v>-24.946581196581199</v>
      </c>
      <c r="S292">
        <v>31</v>
      </c>
      <c r="T292">
        <v>1</v>
      </c>
      <c r="U292">
        <v>37.701754385964911</v>
      </c>
      <c r="V292">
        <v>147</v>
      </c>
      <c r="W292">
        <v>1</v>
      </c>
      <c r="X292">
        <v>42.251824817518248</v>
      </c>
      <c r="Y292">
        <v>264</v>
      </c>
      <c r="Z292">
        <v>0</v>
      </c>
      <c r="AA292">
        <v>77.646715328467153</v>
      </c>
      <c r="AB292">
        <v>200</v>
      </c>
      <c r="AC292">
        <v>0</v>
      </c>
      <c r="AD292">
        <v>31.115942028985511</v>
      </c>
      <c r="AE292">
        <v>187</v>
      </c>
      <c r="AF292">
        <v>0</v>
      </c>
      <c r="AG292">
        <v>73.336956521739125</v>
      </c>
      <c r="AH292">
        <v>233.3</v>
      </c>
      <c r="AI292">
        <v>0</v>
      </c>
      <c r="AJ292">
        <v>7</v>
      </c>
      <c r="AK292">
        <v>30.4</v>
      </c>
      <c r="AL292">
        <v>1412</v>
      </c>
      <c r="AM292">
        <v>529</v>
      </c>
      <c r="AN292">
        <v>1941</v>
      </c>
      <c r="AO292">
        <v>4</v>
      </c>
      <c r="AP292">
        <v>896</v>
      </c>
    </row>
    <row r="293" spans="1:42" x14ac:dyDescent="0.3">
      <c r="A293" t="s">
        <v>1594</v>
      </c>
      <c r="B293" t="s">
        <v>15</v>
      </c>
      <c r="C293" t="s">
        <v>16</v>
      </c>
      <c r="D293" t="s">
        <v>405</v>
      </c>
      <c r="E293" t="s">
        <v>994</v>
      </c>
      <c r="F293">
        <v>2019</v>
      </c>
      <c r="G293">
        <v>30.4</v>
      </c>
      <c r="H293">
        <v>0</v>
      </c>
      <c r="I293">
        <v>0</v>
      </c>
      <c r="J293">
        <v>23</v>
      </c>
      <c r="K293">
        <v>7</v>
      </c>
      <c r="L293" t="s">
        <v>1327</v>
      </c>
      <c r="M293">
        <v>34.505353319057818</v>
      </c>
      <c r="N293">
        <v>264</v>
      </c>
      <c r="O293">
        <v>0</v>
      </c>
      <c r="P293">
        <v>45.5</v>
      </c>
      <c r="Q293">
        <v>91.916666666666671</v>
      </c>
      <c r="R293">
        <v>10.99464668094218</v>
      </c>
      <c r="S293">
        <v>79</v>
      </c>
      <c r="T293">
        <v>7</v>
      </c>
      <c r="U293">
        <v>37.701754385964911</v>
      </c>
      <c r="V293">
        <v>147</v>
      </c>
      <c r="W293">
        <v>1</v>
      </c>
      <c r="X293">
        <v>42.251824817518248</v>
      </c>
      <c r="Y293">
        <v>264</v>
      </c>
      <c r="Z293">
        <v>0</v>
      </c>
      <c r="AA293">
        <v>77.646715328467153</v>
      </c>
      <c r="AB293">
        <v>200</v>
      </c>
      <c r="AC293">
        <v>0</v>
      </c>
      <c r="AD293">
        <v>47.472727272727283</v>
      </c>
      <c r="AE293">
        <v>171</v>
      </c>
      <c r="AF293">
        <v>0</v>
      </c>
      <c r="AG293">
        <v>81.038181818181826</v>
      </c>
      <c r="AH293">
        <v>175.4</v>
      </c>
      <c r="AI293">
        <v>0</v>
      </c>
      <c r="AJ293">
        <v>149</v>
      </c>
      <c r="AK293">
        <v>85.55</v>
      </c>
      <c r="AL293">
        <v>1412</v>
      </c>
      <c r="AM293">
        <v>529</v>
      </c>
      <c r="AN293">
        <v>1941</v>
      </c>
      <c r="AO293">
        <v>19</v>
      </c>
      <c r="AP293">
        <v>896</v>
      </c>
    </row>
    <row r="294" spans="1:42" x14ac:dyDescent="0.3">
      <c r="A294" t="s">
        <v>1155</v>
      </c>
      <c r="B294" t="s">
        <v>15</v>
      </c>
      <c r="C294" t="s">
        <v>16</v>
      </c>
      <c r="D294" t="s">
        <v>403</v>
      </c>
      <c r="E294" t="s">
        <v>994</v>
      </c>
      <c r="F294">
        <v>2019</v>
      </c>
      <c r="G294">
        <v>80.5</v>
      </c>
      <c r="H294">
        <v>3</v>
      </c>
      <c r="I294">
        <v>2</v>
      </c>
      <c r="J294">
        <v>77</v>
      </c>
      <c r="K294">
        <v>62</v>
      </c>
      <c r="L294" t="s">
        <v>979</v>
      </c>
      <c r="M294">
        <v>34.446351931330469</v>
      </c>
      <c r="N294">
        <v>264</v>
      </c>
      <c r="O294">
        <v>0</v>
      </c>
      <c r="P294">
        <v>69.666666666666671</v>
      </c>
      <c r="Q294">
        <v>105.8</v>
      </c>
      <c r="R294">
        <v>35.220314735336203</v>
      </c>
      <c r="S294">
        <v>87</v>
      </c>
      <c r="T294">
        <v>60</v>
      </c>
      <c r="U294">
        <v>37.701754385964911</v>
      </c>
      <c r="V294">
        <v>147</v>
      </c>
      <c r="W294">
        <v>1</v>
      </c>
      <c r="X294">
        <v>42.251824817518248</v>
      </c>
      <c r="Y294">
        <v>264</v>
      </c>
      <c r="Z294">
        <v>0</v>
      </c>
      <c r="AA294">
        <v>77.646715328467153</v>
      </c>
      <c r="AB294">
        <v>200</v>
      </c>
      <c r="AC294">
        <v>0</v>
      </c>
      <c r="AD294">
        <v>47.472727272727283</v>
      </c>
      <c r="AE294">
        <v>171</v>
      </c>
      <c r="AF294">
        <v>0</v>
      </c>
      <c r="AG294">
        <v>81.038181818181826</v>
      </c>
      <c r="AH294">
        <v>175.4</v>
      </c>
      <c r="AI294">
        <v>0</v>
      </c>
      <c r="AJ294">
        <v>98</v>
      </c>
      <c r="AK294">
        <v>68.199999999999989</v>
      </c>
      <c r="AL294">
        <v>1409</v>
      </c>
      <c r="AM294">
        <v>527</v>
      </c>
      <c r="AN294">
        <v>1936</v>
      </c>
      <c r="AO294">
        <v>12</v>
      </c>
      <c r="AP294">
        <v>891</v>
      </c>
    </row>
    <row r="295" spans="1:42" x14ac:dyDescent="0.3">
      <c r="A295" t="s">
        <v>1075</v>
      </c>
      <c r="B295" t="s">
        <v>15</v>
      </c>
      <c r="C295" t="s">
        <v>16</v>
      </c>
      <c r="D295" t="s">
        <v>403</v>
      </c>
      <c r="E295" t="s">
        <v>994</v>
      </c>
      <c r="F295">
        <v>2019</v>
      </c>
      <c r="G295">
        <v>90.6</v>
      </c>
      <c r="H295">
        <v>9</v>
      </c>
      <c r="I295">
        <v>3</v>
      </c>
      <c r="J295">
        <v>96</v>
      </c>
      <c r="K295">
        <v>87</v>
      </c>
      <c r="L295" t="s">
        <v>979</v>
      </c>
      <c r="M295">
        <v>34.333333333333343</v>
      </c>
      <c r="N295">
        <v>264</v>
      </c>
      <c r="O295">
        <v>0</v>
      </c>
      <c r="P295">
        <v>69.666666666666671</v>
      </c>
      <c r="Q295">
        <v>105.8</v>
      </c>
      <c r="R295">
        <v>35.333333333333343</v>
      </c>
      <c r="S295">
        <v>87</v>
      </c>
      <c r="T295">
        <v>60</v>
      </c>
      <c r="U295">
        <v>37.701754385964911</v>
      </c>
      <c r="V295">
        <v>147</v>
      </c>
      <c r="W295">
        <v>1</v>
      </c>
      <c r="X295">
        <v>42.251824817518248</v>
      </c>
      <c r="Y295">
        <v>264</v>
      </c>
      <c r="Z295">
        <v>0</v>
      </c>
      <c r="AA295">
        <v>77.646715328467153</v>
      </c>
      <c r="AB295">
        <v>200</v>
      </c>
      <c r="AC295">
        <v>0</v>
      </c>
      <c r="AD295">
        <v>47.472727272727283</v>
      </c>
      <c r="AE295">
        <v>171</v>
      </c>
      <c r="AF295">
        <v>0</v>
      </c>
      <c r="AG295">
        <v>81.038181818181826</v>
      </c>
      <c r="AH295">
        <v>175.4</v>
      </c>
      <c r="AI295">
        <v>0</v>
      </c>
      <c r="AJ295">
        <v>11</v>
      </c>
      <c r="AK295">
        <v>45.8</v>
      </c>
      <c r="AL295">
        <v>1400</v>
      </c>
      <c r="AM295">
        <v>524</v>
      </c>
      <c r="AN295">
        <v>1924</v>
      </c>
      <c r="AP295">
        <v>879</v>
      </c>
    </row>
    <row r="296" spans="1:42" x14ac:dyDescent="0.3">
      <c r="A296" t="s">
        <v>1525</v>
      </c>
      <c r="B296" t="s">
        <v>15</v>
      </c>
      <c r="C296" t="s">
        <v>16</v>
      </c>
      <c r="D296" t="s">
        <v>476</v>
      </c>
      <c r="E296" t="s">
        <v>994</v>
      </c>
      <c r="F296">
        <v>2019</v>
      </c>
      <c r="G296">
        <v>45.8</v>
      </c>
      <c r="H296">
        <v>1</v>
      </c>
      <c r="I296">
        <v>0</v>
      </c>
      <c r="J296">
        <v>24</v>
      </c>
      <c r="K296">
        <v>11</v>
      </c>
      <c r="L296" t="s">
        <v>1327</v>
      </c>
      <c r="M296">
        <v>34.383620689655167</v>
      </c>
      <c r="N296">
        <v>264</v>
      </c>
      <c r="O296">
        <v>0</v>
      </c>
      <c r="P296">
        <v>7</v>
      </c>
      <c r="Q296">
        <v>29.4</v>
      </c>
      <c r="R296">
        <v>-27.383620689655171</v>
      </c>
      <c r="S296">
        <v>11</v>
      </c>
      <c r="T296">
        <v>3</v>
      </c>
      <c r="U296">
        <v>37.701754385964911</v>
      </c>
      <c r="V296">
        <v>147</v>
      </c>
      <c r="W296">
        <v>1</v>
      </c>
      <c r="X296">
        <v>42.251824817518248</v>
      </c>
      <c r="Y296">
        <v>264</v>
      </c>
      <c r="Z296">
        <v>0</v>
      </c>
      <c r="AA296">
        <v>77.646715328467153</v>
      </c>
      <c r="AB296">
        <v>200</v>
      </c>
      <c r="AC296">
        <v>0</v>
      </c>
      <c r="AD296">
        <v>47.472727272727283</v>
      </c>
      <c r="AE296">
        <v>171</v>
      </c>
      <c r="AF296">
        <v>0</v>
      </c>
      <c r="AG296">
        <v>81.038181818181826</v>
      </c>
      <c r="AH296">
        <v>175.4</v>
      </c>
      <c r="AI296">
        <v>0</v>
      </c>
      <c r="AJ296">
        <v>9</v>
      </c>
      <c r="AK296">
        <v>52.9</v>
      </c>
      <c r="AL296">
        <v>1399</v>
      </c>
      <c r="AM296">
        <v>524</v>
      </c>
      <c r="AN296">
        <v>1923</v>
      </c>
      <c r="AO296">
        <v>0</v>
      </c>
      <c r="AP296">
        <v>878</v>
      </c>
    </row>
    <row r="297" spans="1:42" x14ac:dyDescent="0.3">
      <c r="A297" t="s">
        <v>1557</v>
      </c>
      <c r="B297" t="s">
        <v>32</v>
      </c>
      <c r="C297" t="s">
        <v>16</v>
      </c>
      <c r="D297" t="s">
        <v>84</v>
      </c>
      <c r="E297" t="s">
        <v>994</v>
      </c>
      <c r="F297">
        <v>2019</v>
      </c>
      <c r="G297">
        <v>52.9</v>
      </c>
      <c r="H297">
        <v>1</v>
      </c>
      <c r="I297">
        <v>0</v>
      </c>
      <c r="J297">
        <v>17</v>
      </c>
      <c r="K297">
        <v>9</v>
      </c>
      <c r="L297" t="s">
        <v>1327</v>
      </c>
      <c r="M297">
        <v>34.438444924406049</v>
      </c>
      <c r="N297">
        <v>264</v>
      </c>
      <c r="O297">
        <v>0</v>
      </c>
      <c r="P297">
        <v>39.769230769230766</v>
      </c>
      <c r="Q297">
        <v>74.015384615384619</v>
      </c>
      <c r="R297">
        <v>5.3307858448247174</v>
      </c>
      <c r="S297">
        <v>138</v>
      </c>
      <c r="T297">
        <v>0</v>
      </c>
      <c r="U297">
        <v>44.710843373493979</v>
      </c>
      <c r="V297">
        <v>209</v>
      </c>
      <c r="W297">
        <v>0</v>
      </c>
      <c r="X297">
        <v>42.251824817518248</v>
      </c>
      <c r="Y297">
        <v>264</v>
      </c>
      <c r="Z297">
        <v>0</v>
      </c>
      <c r="AA297">
        <v>77.646715328467153</v>
      </c>
      <c r="AB297">
        <v>200</v>
      </c>
      <c r="AC297">
        <v>0</v>
      </c>
      <c r="AD297">
        <v>47.472727272727283</v>
      </c>
      <c r="AE297">
        <v>171</v>
      </c>
      <c r="AF297">
        <v>0</v>
      </c>
      <c r="AG297">
        <v>81.038181818181826</v>
      </c>
      <c r="AH297">
        <v>175.4</v>
      </c>
      <c r="AI297">
        <v>0</v>
      </c>
      <c r="AJ297">
        <v>43</v>
      </c>
      <c r="AK297">
        <v>82.7</v>
      </c>
      <c r="AL297">
        <v>1398</v>
      </c>
      <c r="AM297">
        <v>524</v>
      </c>
      <c r="AN297">
        <v>1922</v>
      </c>
      <c r="AO297">
        <v>47</v>
      </c>
      <c r="AP297">
        <v>877</v>
      </c>
    </row>
    <row r="298" spans="1:42" x14ac:dyDescent="0.3">
      <c r="A298" t="s">
        <v>1258</v>
      </c>
      <c r="B298" t="s">
        <v>32</v>
      </c>
      <c r="C298" t="s">
        <v>16</v>
      </c>
      <c r="D298" t="s">
        <v>35</v>
      </c>
      <c r="E298" t="s">
        <v>994</v>
      </c>
      <c r="F298">
        <v>2019</v>
      </c>
      <c r="G298">
        <v>82.7</v>
      </c>
      <c r="H298">
        <v>2</v>
      </c>
      <c r="I298">
        <v>2</v>
      </c>
      <c r="J298">
        <v>52</v>
      </c>
      <c r="K298">
        <v>43</v>
      </c>
      <c r="L298" t="s">
        <v>979</v>
      </c>
      <c r="M298">
        <v>34.419913419913421</v>
      </c>
      <c r="N298">
        <v>264</v>
      </c>
      <c r="O298">
        <v>0</v>
      </c>
      <c r="P298">
        <v>27.69230769230769</v>
      </c>
      <c r="Q298">
        <v>65.492307692307691</v>
      </c>
      <c r="R298">
        <v>-6.7276057276057273</v>
      </c>
      <c r="S298">
        <v>73</v>
      </c>
      <c r="T298">
        <v>1</v>
      </c>
      <c r="U298">
        <v>44.710843373493979</v>
      </c>
      <c r="V298">
        <v>209</v>
      </c>
      <c r="W298">
        <v>0</v>
      </c>
      <c r="X298">
        <v>42.251824817518248</v>
      </c>
      <c r="Y298">
        <v>264</v>
      </c>
      <c r="Z298">
        <v>0</v>
      </c>
      <c r="AA298">
        <v>77.646715328467153</v>
      </c>
      <c r="AB298">
        <v>200</v>
      </c>
      <c r="AC298">
        <v>0</v>
      </c>
      <c r="AD298">
        <v>47.472727272727283</v>
      </c>
      <c r="AE298">
        <v>171</v>
      </c>
      <c r="AF298">
        <v>0</v>
      </c>
      <c r="AG298">
        <v>81.038181818181826</v>
      </c>
      <c r="AH298">
        <v>175.4</v>
      </c>
      <c r="AI298">
        <v>0</v>
      </c>
      <c r="AJ298">
        <v>133</v>
      </c>
      <c r="AK298">
        <v>103.1</v>
      </c>
      <c r="AL298">
        <v>1396</v>
      </c>
      <c r="AM298">
        <v>522</v>
      </c>
      <c r="AN298">
        <v>1918</v>
      </c>
      <c r="AO298">
        <v>23</v>
      </c>
      <c r="AP298">
        <v>873</v>
      </c>
    </row>
    <row r="299" spans="1:42" x14ac:dyDescent="0.3">
      <c r="A299" t="s">
        <v>1017</v>
      </c>
      <c r="B299" t="s">
        <v>32</v>
      </c>
      <c r="C299" t="s">
        <v>16</v>
      </c>
      <c r="D299" t="s">
        <v>33</v>
      </c>
      <c r="E299" t="s">
        <v>994</v>
      </c>
      <c r="F299">
        <v>2019</v>
      </c>
      <c r="G299">
        <v>103.1</v>
      </c>
      <c r="H299">
        <v>10</v>
      </c>
      <c r="I299">
        <v>6</v>
      </c>
      <c r="J299">
        <v>129</v>
      </c>
      <c r="K299">
        <v>133</v>
      </c>
      <c r="L299" t="s">
        <v>979</v>
      </c>
      <c r="M299">
        <v>34.206073752711497</v>
      </c>
      <c r="N299">
        <v>264</v>
      </c>
      <c r="O299">
        <v>0</v>
      </c>
      <c r="P299">
        <v>68.36363636363636</v>
      </c>
      <c r="Q299">
        <v>88.454545454545453</v>
      </c>
      <c r="R299">
        <v>34.157562610924863</v>
      </c>
      <c r="S299">
        <v>133</v>
      </c>
      <c r="T299">
        <v>1</v>
      </c>
      <c r="U299">
        <v>44.710843373493979</v>
      </c>
      <c r="V299">
        <v>209</v>
      </c>
      <c r="W299">
        <v>0</v>
      </c>
      <c r="X299">
        <v>42.251824817518248</v>
      </c>
      <c r="Y299">
        <v>264</v>
      </c>
      <c r="Z299">
        <v>0</v>
      </c>
      <c r="AA299">
        <v>77.646715328467153</v>
      </c>
      <c r="AB299">
        <v>200</v>
      </c>
      <c r="AC299">
        <v>0</v>
      </c>
      <c r="AD299">
        <v>47.472727272727283</v>
      </c>
      <c r="AE299">
        <v>171</v>
      </c>
      <c r="AF299">
        <v>0</v>
      </c>
      <c r="AG299">
        <v>81.038181818181826</v>
      </c>
      <c r="AH299">
        <v>175.4</v>
      </c>
      <c r="AI299">
        <v>0</v>
      </c>
      <c r="AL299">
        <v>1386</v>
      </c>
      <c r="AM299">
        <v>516</v>
      </c>
      <c r="AN299">
        <v>1902</v>
      </c>
      <c r="AO299">
        <v>39</v>
      </c>
      <c r="AP299">
        <v>857</v>
      </c>
    </row>
    <row r="300" spans="1:42" x14ac:dyDescent="0.3">
      <c r="A300" t="s">
        <v>1127</v>
      </c>
      <c r="B300" t="s">
        <v>32</v>
      </c>
      <c r="C300" t="s">
        <v>83</v>
      </c>
      <c r="D300" t="s">
        <v>84</v>
      </c>
      <c r="E300" t="s">
        <v>987</v>
      </c>
      <c r="F300">
        <v>2018</v>
      </c>
      <c r="G300">
        <v>41.45</v>
      </c>
      <c r="H300">
        <v>5</v>
      </c>
      <c r="I300">
        <v>0</v>
      </c>
      <c r="J300">
        <v>122</v>
      </c>
      <c r="K300">
        <v>68</v>
      </c>
      <c r="L300" t="s">
        <v>979</v>
      </c>
      <c r="M300">
        <v>34.132608695652173</v>
      </c>
      <c r="N300">
        <v>264</v>
      </c>
      <c r="O300">
        <v>0</v>
      </c>
      <c r="P300">
        <v>39.769230769230766</v>
      </c>
      <c r="Q300">
        <v>74.015384615384619</v>
      </c>
      <c r="R300">
        <v>5.636622073578593</v>
      </c>
      <c r="S300">
        <v>138</v>
      </c>
      <c r="T300">
        <v>0</v>
      </c>
      <c r="U300">
        <v>44.710843373493979</v>
      </c>
      <c r="V300">
        <v>209</v>
      </c>
      <c r="W300">
        <v>0</v>
      </c>
      <c r="X300">
        <v>65.166666666666671</v>
      </c>
      <c r="Y300">
        <v>303</v>
      </c>
      <c r="Z300">
        <v>1</v>
      </c>
      <c r="AA300">
        <v>55.904545454545449</v>
      </c>
      <c r="AB300">
        <v>161.6</v>
      </c>
      <c r="AC300">
        <v>16.600000000000001</v>
      </c>
      <c r="AD300">
        <v>40.825000000000003</v>
      </c>
      <c r="AE300">
        <v>208</v>
      </c>
      <c r="AF300">
        <v>1</v>
      </c>
      <c r="AG300">
        <v>90.646250000000009</v>
      </c>
      <c r="AH300">
        <v>274.39999999999998</v>
      </c>
      <c r="AI300">
        <v>15.4</v>
      </c>
      <c r="AL300">
        <v>1381</v>
      </c>
      <c r="AM300">
        <v>516</v>
      </c>
      <c r="AN300">
        <v>1897</v>
      </c>
      <c r="AO300">
        <v>42</v>
      </c>
      <c r="AP300">
        <v>178</v>
      </c>
    </row>
    <row r="301" spans="1:42" x14ac:dyDescent="0.3">
      <c r="A301" t="s">
        <v>1285</v>
      </c>
      <c r="B301" t="s">
        <v>32</v>
      </c>
      <c r="C301" t="s">
        <v>83</v>
      </c>
      <c r="D301" t="s">
        <v>35</v>
      </c>
      <c r="E301" t="s">
        <v>987</v>
      </c>
      <c r="F301">
        <v>2018</v>
      </c>
      <c r="G301">
        <v>38.6</v>
      </c>
      <c r="H301">
        <v>2</v>
      </c>
      <c r="I301">
        <v>3</v>
      </c>
      <c r="J301">
        <v>68</v>
      </c>
      <c r="K301">
        <v>38</v>
      </c>
      <c r="L301" t="s">
        <v>979</v>
      </c>
      <c r="M301">
        <v>34.124183006535951</v>
      </c>
      <c r="N301">
        <v>264</v>
      </c>
      <c r="O301">
        <v>0</v>
      </c>
      <c r="P301">
        <v>27.69230769230769</v>
      </c>
      <c r="Q301">
        <v>65.492307692307691</v>
      </c>
      <c r="R301">
        <v>-6.4318753142282574</v>
      </c>
      <c r="S301">
        <v>73</v>
      </c>
      <c r="T301">
        <v>1</v>
      </c>
      <c r="U301">
        <v>44.710843373493979</v>
      </c>
      <c r="V301">
        <v>209</v>
      </c>
      <c r="W301">
        <v>0</v>
      </c>
      <c r="X301">
        <v>65.166666666666671</v>
      </c>
      <c r="Y301">
        <v>303</v>
      </c>
      <c r="Z301">
        <v>1</v>
      </c>
      <c r="AA301">
        <v>55.904545454545449</v>
      </c>
      <c r="AB301">
        <v>161.6</v>
      </c>
      <c r="AC301">
        <v>16.600000000000001</v>
      </c>
      <c r="AD301">
        <v>40.825000000000003</v>
      </c>
      <c r="AE301">
        <v>208</v>
      </c>
      <c r="AF301">
        <v>1</v>
      </c>
      <c r="AG301">
        <v>90.646250000000009</v>
      </c>
      <c r="AH301">
        <v>274.39999999999998</v>
      </c>
      <c r="AI301">
        <v>15.4</v>
      </c>
      <c r="AL301">
        <v>1379</v>
      </c>
      <c r="AM301">
        <v>513</v>
      </c>
      <c r="AN301">
        <v>1892</v>
      </c>
      <c r="AO301">
        <v>18</v>
      </c>
      <c r="AP301">
        <v>173</v>
      </c>
    </row>
    <row r="302" spans="1:42" x14ac:dyDescent="0.3">
      <c r="A302" t="s">
        <v>1391</v>
      </c>
      <c r="B302" t="s">
        <v>32</v>
      </c>
      <c r="C302" t="s">
        <v>5</v>
      </c>
      <c r="D302" t="s">
        <v>33</v>
      </c>
      <c r="E302" t="s">
        <v>981</v>
      </c>
      <c r="F302">
        <v>2018</v>
      </c>
      <c r="G302">
        <v>143.80000000000001</v>
      </c>
      <c r="H302">
        <v>1</v>
      </c>
      <c r="I302">
        <v>2</v>
      </c>
      <c r="J302">
        <v>16</v>
      </c>
      <c r="K302">
        <v>23</v>
      </c>
      <c r="L302" t="s">
        <v>1327</v>
      </c>
      <c r="M302">
        <v>34.148471615720517</v>
      </c>
      <c r="N302">
        <v>264</v>
      </c>
      <c r="O302">
        <v>0</v>
      </c>
      <c r="P302">
        <v>68.36363636363636</v>
      </c>
      <c r="Q302">
        <v>88.454545454545453</v>
      </c>
      <c r="R302">
        <v>34.215164747915843</v>
      </c>
      <c r="S302">
        <v>133</v>
      </c>
      <c r="T302">
        <v>1</v>
      </c>
      <c r="U302">
        <v>44.710843373493979</v>
      </c>
      <c r="V302">
        <v>209</v>
      </c>
      <c r="W302">
        <v>0</v>
      </c>
      <c r="X302">
        <v>28.189024390243901</v>
      </c>
      <c r="Y302">
        <v>121</v>
      </c>
      <c r="Z302">
        <v>0</v>
      </c>
      <c r="AA302">
        <v>116.45060975609761</v>
      </c>
      <c r="AB302">
        <v>274.39999999999998</v>
      </c>
      <c r="AC302">
        <v>0</v>
      </c>
      <c r="AD302">
        <v>47.122448979591837</v>
      </c>
      <c r="AE302">
        <v>264</v>
      </c>
      <c r="AF302">
        <v>0</v>
      </c>
      <c r="AG302">
        <v>105.5040816326531</v>
      </c>
      <c r="AH302">
        <v>200</v>
      </c>
      <c r="AI302">
        <v>0</v>
      </c>
      <c r="AJ302">
        <v>7</v>
      </c>
      <c r="AK302">
        <v>87.5</v>
      </c>
      <c r="AL302">
        <v>1378</v>
      </c>
      <c r="AM302">
        <v>511</v>
      </c>
      <c r="AN302">
        <v>1889</v>
      </c>
      <c r="AO302">
        <v>36</v>
      </c>
      <c r="AP302">
        <v>343</v>
      </c>
    </row>
    <row r="303" spans="1:42" x14ac:dyDescent="0.3">
      <c r="A303" t="s">
        <v>1595</v>
      </c>
      <c r="B303" t="s">
        <v>32</v>
      </c>
      <c r="C303" t="s">
        <v>5</v>
      </c>
      <c r="D303" t="s">
        <v>88</v>
      </c>
      <c r="E303" t="s">
        <v>981</v>
      </c>
      <c r="F303">
        <v>2018</v>
      </c>
      <c r="G303">
        <v>87.5</v>
      </c>
      <c r="H303">
        <v>0</v>
      </c>
      <c r="I303">
        <v>0</v>
      </c>
      <c r="J303">
        <v>8</v>
      </c>
      <c r="K303">
        <v>7</v>
      </c>
      <c r="L303" t="s">
        <v>1327</v>
      </c>
      <c r="M303">
        <v>34.207877461706786</v>
      </c>
      <c r="N303">
        <v>264</v>
      </c>
      <c r="O303">
        <v>0</v>
      </c>
      <c r="P303">
        <v>28.333333333333329</v>
      </c>
      <c r="Q303">
        <v>48.216666666666661</v>
      </c>
      <c r="R303">
        <v>-5.8745441283734543</v>
      </c>
      <c r="S303">
        <v>124</v>
      </c>
      <c r="T303">
        <v>0</v>
      </c>
      <c r="U303">
        <v>44.710843373493979</v>
      </c>
      <c r="V303">
        <v>209</v>
      </c>
      <c r="W303">
        <v>0</v>
      </c>
      <c r="X303">
        <v>28.189024390243901</v>
      </c>
      <c r="Y303">
        <v>121</v>
      </c>
      <c r="Z303">
        <v>0</v>
      </c>
      <c r="AA303">
        <v>116.45060975609761</v>
      </c>
      <c r="AB303">
        <v>274.39999999999998</v>
      </c>
      <c r="AC303">
        <v>0</v>
      </c>
      <c r="AD303">
        <v>47.122448979591837</v>
      </c>
      <c r="AE303">
        <v>264</v>
      </c>
      <c r="AF303">
        <v>0</v>
      </c>
      <c r="AG303">
        <v>105.5040816326531</v>
      </c>
      <c r="AH303">
        <v>200</v>
      </c>
      <c r="AI303">
        <v>0</v>
      </c>
      <c r="AL303">
        <v>1378</v>
      </c>
      <c r="AM303">
        <v>511</v>
      </c>
      <c r="AN303">
        <v>1889</v>
      </c>
      <c r="AO303">
        <v>23</v>
      </c>
      <c r="AP303">
        <v>343</v>
      </c>
    </row>
    <row r="304" spans="1:42" x14ac:dyDescent="0.3">
      <c r="A304" t="s">
        <v>1650</v>
      </c>
      <c r="B304" t="s">
        <v>208</v>
      </c>
      <c r="C304" t="s">
        <v>5</v>
      </c>
      <c r="D304" t="s">
        <v>64</v>
      </c>
      <c r="E304" t="s">
        <v>981</v>
      </c>
      <c r="F304">
        <v>2018</v>
      </c>
      <c r="G304">
        <v>66.7</v>
      </c>
      <c r="H304">
        <v>1</v>
      </c>
      <c r="I304">
        <v>0</v>
      </c>
      <c r="J304">
        <v>6</v>
      </c>
      <c r="K304">
        <v>4</v>
      </c>
      <c r="L304" t="s">
        <v>1327</v>
      </c>
      <c r="M304">
        <v>34.274122807017541</v>
      </c>
      <c r="N304">
        <v>264</v>
      </c>
      <c r="O304">
        <v>0</v>
      </c>
      <c r="P304">
        <v>26</v>
      </c>
      <c r="Q304">
        <v>94.26964285714287</v>
      </c>
      <c r="R304">
        <v>-8.274122807017541</v>
      </c>
      <c r="S304">
        <v>187</v>
      </c>
      <c r="T304">
        <v>0</v>
      </c>
      <c r="U304">
        <v>47.081967213114751</v>
      </c>
      <c r="V304">
        <v>177</v>
      </c>
      <c r="W304">
        <v>0</v>
      </c>
      <c r="X304">
        <v>28.189024390243901</v>
      </c>
      <c r="Y304">
        <v>121</v>
      </c>
      <c r="Z304">
        <v>0</v>
      </c>
      <c r="AA304">
        <v>116.45060975609761</v>
      </c>
      <c r="AB304">
        <v>274.39999999999998</v>
      </c>
      <c r="AC304">
        <v>0</v>
      </c>
      <c r="AD304">
        <v>47.122448979591837</v>
      </c>
      <c r="AE304">
        <v>264</v>
      </c>
      <c r="AF304">
        <v>0</v>
      </c>
      <c r="AG304">
        <v>105.5040816326531</v>
      </c>
      <c r="AH304">
        <v>200</v>
      </c>
      <c r="AI304">
        <v>0</v>
      </c>
      <c r="AJ304">
        <v>111</v>
      </c>
      <c r="AK304">
        <v>182</v>
      </c>
      <c r="AL304">
        <v>1377</v>
      </c>
      <c r="AM304">
        <v>511</v>
      </c>
      <c r="AN304">
        <v>1888</v>
      </c>
      <c r="AO304">
        <v>16</v>
      </c>
      <c r="AP304">
        <v>342</v>
      </c>
    </row>
    <row r="305" spans="1:42" x14ac:dyDescent="0.3">
      <c r="A305" t="s">
        <v>1039</v>
      </c>
      <c r="B305" t="s">
        <v>208</v>
      </c>
      <c r="C305" t="s">
        <v>5</v>
      </c>
      <c r="D305" t="s">
        <v>142</v>
      </c>
      <c r="E305" t="s">
        <v>981</v>
      </c>
      <c r="F305">
        <v>2018</v>
      </c>
      <c r="G305">
        <v>182</v>
      </c>
      <c r="H305">
        <v>8</v>
      </c>
      <c r="I305">
        <v>7</v>
      </c>
      <c r="J305">
        <v>61</v>
      </c>
      <c r="K305">
        <v>111</v>
      </c>
      <c r="L305" t="s">
        <v>979</v>
      </c>
      <c r="M305">
        <v>34.105494505494512</v>
      </c>
      <c r="N305">
        <v>264</v>
      </c>
      <c r="O305">
        <v>0</v>
      </c>
      <c r="P305">
        <v>56.6</v>
      </c>
      <c r="Q305">
        <v>126.72</v>
      </c>
      <c r="R305">
        <v>22.4945054945055</v>
      </c>
      <c r="S305">
        <v>111</v>
      </c>
      <c r="T305">
        <v>4</v>
      </c>
      <c r="U305">
        <v>47.081967213114751</v>
      </c>
      <c r="V305">
        <v>177</v>
      </c>
      <c r="W305">
        <v>0</v>
      </c>
      <c r="X305">
        <v>28.189024390243901</v>
      </c>
      <c r="Y305">
        <v>121</v>
      </c>
      <c r="Z305">
        <v>0</v>
      </c>
      <c r="AA305">
        <v>116.45060975609761</v>
      </c>
      <c r="AB305">
        <v>274.39999999999998</v>
      </c>
      <c r="AC305">
        <v>0</v>
      </c>
      <c r="AD305">
        <v>47.122448979591837</v>
      </c>
      <c r="AE305">
        <v>264</v>
      </c>
      <c r="AF305">
        <v>0</v>
      </c>
      <c r="AG305">
        <v>105.5040816326531</v>
      </c>
      <c r="AH305">
        <v>200</v>
      </c>
      <c r="AI305">
        <v>0</v>
      </c>
      <c r="AJ305">
        <v>69</v>
      </c>
      <c r="AK305">
        <v>106.25</v>
      </c>
      <c r="AL305">
        <v>1369</v>
      </c>
      <c r="AM305">
        <v>504</v>
      </c>
      <c r="AN305">
        <v>1873</v>
      </c>
      <c r="AP305">
        <v>327</v>
      </c>
    </row>
    <row r="306" spans="1:42" x14ac:dyDescent="0.3">
      <c r="A306" t="s">
        <v>1609</v>
      </c>
      <c r="B306" t="s">
        <v>208</v>
      </c>
      <c r="C306" t="s">
        <v>5</v>
      </c>
      <c r="D306" t="s">
        <v>139</v>
      </c>
      <c r="E306" t="s">
        <v>981</v>
      </c>
      <c r="F306">
        <v>2018</v>
      </c>
      <c r="G306">
        <v>100</v>
      </c>
      <c r="H306">
        <v>1</v>
      </c>
      <c r="I306">
        <v>0</v>
      </c>
      <c r="J306">
        <v>6</v>
      </c>
      <c r="K306">
        <v>6</v>
      </c>
      <c r="L306" t="s">
        <v>1327</v>
      </c>
      <c r="M306">
        <v>34.167400881057269</v>
      </c>
      <c r="N306">
        <v>264</v>
      </c>
      <c r="O306">
        <v>0</v>
      </c>
      <c r="P306">
        <v>45.666666666666657</v>
      </c>
      <c r="Q306">
        <v>104.1166666666667</v>
      </c>
      <c r="R306">
        <v>11.499265785609399</v>
      </c>
      <c r="S306">
        <v>264</v>
      </c>
      <c r="T306">
        <v>0</v>
      </c>
      <c r="U306">
        <v>47.081967213114751</v>
      </c>
      <c r="V306">
        <v>177</v>
      </c>
      <c r="W306">
        <v>0</v>
      </c>
      <c r="X306">
        <v>28.189024390243901</v>
      </c>
      <c r="Y306">
        <v>121</v>
      </c>
      <c r="Z306">
        <v>0</v>
      </c>
      <c r="AA306">
        <v>116.45060975609761</v>
      </c>
      <c r="AB306">
        <v>274.39999999999998</v>
      </c>
      <c r="AC306">
        <v>0</v>
      </c>
      <c r="AD306">
        <v>47.122448979591837</v>
      </c>
      <c r="AE306">
        <v>264</v>
      </c>
      <c r="AF306">
        <v>0</v>
      </c>
      <c r="AG306">
        <v>105.5040816326531</v>
      </c>
      <c r="AH306">
        <v>200</v>
      </c>
      <c r="AI306">
        <v>0</v>
      </c>
      <c r="AJ306">
        <v>63</v>
      </c>
      <c r="AK306">
        <v>112.5</v>
      </c>
      <c r="AL306">
        <v>1368</v>
      </c>
      <c r="AM306">
        <v>504</v>
      </c>
      <c r="AN306">
        <v>1872</v>
      </c>
      <c r="AO306">
        <v>145</v>
      </c>
      <c r="AP306">
        <v>326</v>
      </c>
    </row>
    <row r="307" spans="1:42" x14ac:dyDescent="0.3">
      <c r="A307" t="s">
        <v>1153</v>
      </c>
      <c r="B307" t="s">
        <v>208</v>
      </c>
      <c r="C307" t="s">
        <v>16</v>
      </c>
      <c r="D307" t="s">
        <v>254</v>
      </c>
      <c r="E307" t="s">
        <v>981</v>
      </c>
      <c r="F307">
        <v>2018</v>
      </c>
      <c r="G307">
        <v>112.5</v>
      </c>
      <c r="H307">
        <v>5</v>
      </c>
      <c r="I307">
        <v>4</v>
      </c>
      <c r="J307">
        <v>56</v>
      </c>
      <c r="K307">
        <v>63</v>
      </c>
      <c r="L307" t="s">
        <v>979</v>
      </c>
      <c r="M307">
        <v>34.103752759381898</v>
      </c>
      <c r="N307">
        <v>264</v>
      </c>
      <c r="O307">
        <v>0</v>
      </c>
      <c r="P307">
        <v>25.6</v>
      </c>
      <c r="Q307">
        <v>74.08</v>
      </c>
      <c r="R307">
        <v>-8.5037527593818965</v>
      </c>
      <c r="S307">
        <v>63</v>
      </c>
      <c r="T307">
        <v>0</v>
      </c>
      <c r="U307">
        <v>47.081967213114751</v>
      </c>
      <c r="V307">
        <v>177</v>
      </c>
      <c r="W307">
        <v>0</v>
      </c>
      <c r="X307">
        <v>42.251824817518248</v>
      </c>
      <c r="Y307">
        <v>264</v>
      </c>
      <c r="Z307">
        <v>0</v>
      </c>
      <c r="AA307">
        <v>77.646715328467153</v>
      </c>
      <c r="AB307">
        <v>200</v>
      </c>
      <c r="AC307">
        <v>0</v>
      </c>
      <c r="AD307">
        <v>47.122448979591837</v>
      </c>
      <c r="AE307">
        <v>264</v>
      </c>
      <c r="AF307">
        <v>0</v>
      </c>
      <c r="AG307">
        <v>105.5040816326531</v>
      </c>
      <c r="AH307">
        <v>200</v>
      </c>
      <c r="AI307">
        <v>0</v>
      </c>
      <c r="AJ307">
        <v>170</v>
      </c>
      <c r="AK307">
        <v>103.55</v>
      </c>
      <c r="AL307">
        <v>1363</v>
      </c>
      <c r="AM307">
        <v>500</v>
      </c>
      <c r="AN307">
        <v>1863</v>
      </c>
      <c r="AO307">
        <v>1</v>
      </c>
      <c r="AP307">
        <v>848</v>
      </c>
    </row>
    <row r="308" spans="1:42" x14ac:dyDescent="0.3">
      <c r="A308" t="s">
        <v>996</v>
      </c>
      <c r="B308" t="s">
        <v>208</v>
      </c>
      <c r="C308" t="s">
        <v>16</v>
      </c>
      <c r="D308" t="s">
        <v>12</v>
      </c>
      <c r="E308" t="s">
        <v>977</v>
      </c>
      <c r="F308">
        <v>2018</v>
      </c>
      <c r="G308">
        <v>118.2</v>
      </c>
      <c r="H308">
        <v>20</v>
      </c>
      <c r="I308">
        <v>4</v>
      </c>
      <c r="J308">
        <v>137</v>
      </c>
      <c r="K308">
        <v>162</v>
      </c>
      <c r="L308" t="s">
        <v>979</v>
      </c>
      <c r="M308">
        <v>33.820796460176993</v>
      </c>
      <c r="N308">
        <v>264</v>
      </c>
      <c r="O308">
        <v>0</v>
      </c>
      <c r="P308">
        <v>31.203883495145629</v>
      </c>
      <c r="Q308">
        <v>120.5689320388349</v>
      </c>
      <c r="R308">
        <v>-2.6169129650313612</v>
      </c>
      <c r="S308">
        <v>162</v>
      </c>
      <c r="T308">
        <v>0</v>
      </c>
      <c r="U308">
        <v>47.081967213114751</v>
      </c>
      <c r="V308">
        <v>177</v>
      </c>
      <c r="W308">
        <v>0</v>
      </c>
      <c r="X308">
        <v>42.251824817518248</v>
      </c>
      <c r="Y308">
        <v>264</v>
      </c>
      <c r="Z308">
        <v>0</v>
      </c>
      <c r="AA308">
        <v>77.646715328467153</v>
      </c>
      <c r="AB308">
        <v>200</v>
      </c>
      <c r="AC308">
        <v>0</v>
      </c>
      <c r="AD308">
        <v>49.901639344262293</v>
      </c>
      <c r="AE308">
        <v>303</v>
      </c>
      <c r="AF308">
        <v>0</v>
      </c>
      <c r="AG308">
        <v>90.971311475409848</v>
      </c>
      <c r="AH308">
        <v>200</v>
      </c>
      <c r="AI308">
        <v>0</v>
      </c>
      <c r="AJ308">
        <v>12</v>
      </c>
      <c r="AK308">
        <v>69.45</v>
      </c>
      <c r="AL308">
        <v>1343</v>
      </c>
      <c r="AM308">
        <v>496</v>
      </c>
      <c r="AN308">
        <v>1839</v>
      </c>
      <c r="AO308">
        <v>232</v>
      </c>
      <c r="AP308">
        <v>824</v>
      </c>
    </row>
    <row r="309" spans="1:42" x14ac:dyDescent="0.3">
      <c r="A309" t="s">
        <v>1578</v>
      </c>
      <c r="B309" t="s">
        <v>208</v>
      </c>
      <c r="C309" t="s">
        <v>16</v>
      </c>
      <c r="D309" t="s">
        <v>100</v>
      </c>
      <c r="E309" t="s">
        <v>977</v>
      </c>
      <c r="F309">
        <v>2018</v>
      </c>
      <c r="G309">
        <v>88.9</v>
      </c>
      <c r="H309">
        <v>2</v>
      </c>
      <c r="I309">
        <v>0</v>
      </c>
      <c r="J309">
        <v>9</v>
      </c>
      <c r="K309">
        <v>8</v>
      </c>
      <c r="L309" t="s">
        <v>1327</v>
      </c>
      <c r="M309">
        <v>33.878048780487802</v>
      </c>
      <c r="N309">
        <v>264</v>
      </c>
      <c r="O309">
        <v>0</v>
      </c>
      <c r="P309">
        <v>25.444444444444439</v>
      </c>
      <c r="Q309">
        <v>86.627777777777794</v>
      </c>
      <c r="R309">
        <v>-8.4336043360433592</v>
      </c>
      <c r="S309">
        <v>85</v>
      </c>
      <c r="T309">
        <v>0</v>
      </c>
      <c r="U309">
        <v>47.081967213114751</v>
      </c>
      <c r="V309">
        <v>177</v>
      </c>
      <c r="W309">
        <v>0</v>
      </c>
      <c r="X309">
        <v>42.251824817518248</v>
      </c>
      <c r="Y309">
        <v>264</v>
      </c>
      <c r="Z309">
        <v>0</v>
      </c>
      <c r="AA309">
        <v>77.646715328467153</v>
      </c>
      <c r="AB309">
        <v>200</v>
      </c>
      <c r="AC309">
        <v>0</v>
      </c>
      <c r="AD309">
        <v>49.901639344262293</v>
      </c>
      <c r="AE309">
        <v>303</v>
      </c>
      <c r="AF309">
        <v>0</v>
      </c>
      <c r="AG309">
        <v>90.971311475409848</v>
      </c>
      <c r="AH309">
        <v>200</v>
      </c>
      <c r="AI309">
        <v>0</v>
      </c>
      <c r="AJ309">
        <v>4</v>
      </c>
      <c r="AK309">
        <v>50</v>
      </c>
      <c r="AL309">
        <v>1341</v>
      </c>
      <c r="AM309">
        <v>496</v>
      </c>
      <c r="AN309">
        <v>1837</v>
      </c>
      <c r="AO309">
        <v>29</v>
      </c>
      <c r="AP309">
        <v>822</v>
      </c>
    </row>
    <row r="310" spans="1:42" x14ac:dyDescent="0.3">
      <c r="A310" t="s">
        <v>1651</v>
      </c>
      <c r="B310" t="s">
        <v>208</v>
      </c>
      <c r="C310" t="s">
        <v>16</v>
      </c>
      <c r="D310" t="s">
        <v>25</v>
      </c>
      <c r="E310" t="s">
        <v>977</v>
      </c>
      <c r="F310">
        <v>2018</v>
      </c>
      <c r="G310">
        <v>50</v>
      </c>
      <c r="H310">
        <v>1</v>
      </c>
      <c r="I310">
        <v>0</v>
      </c>
      <c r="J310">
        <v>8</v>
      </c>
      <c r="K310">
        <v>4</v>
      </c>
      <c r="L310" t="s">
        <v>1327</v>
      </c>
      <c r="M310">
        <v>33.944444444444443</v>
      </c>
      <c r="N310">
        <v>264</v>
      </c>
      <c r="O310">
        <v>0</v>
      </c>
      <c r="P310">
        <v>56.375</v>
      </c>
      <c r="Q310">
        <v>92.453125</v>
      </c>
      <c r="R310">
        <v>22.430555555555561</v>
      </c>
      <c r="S310">
        <v>303</v>
      </c>
      <c r="T310">
        <v>4</v>
      </c>
      <c r="U310">
        <v>47.081967213114751</v>
      </c>
      <c r="V310">
        <v>177</v>
      </c>
      <c r="W310">
        <v>0</v>
      </c>
      <c r="X310">
        <v>42.251824817518248</v>
      </c>
      <c r="Y310">
        <v>264</v>
      </c>
      <c r="Z310">
        <v>0</v>
      </c>
      <c r="AA310">
        <v>77.646715328467153</v>
      </c>
      <c r="AB310">
        <v>200</v>
      </c>
      <c r="AC310">
        <v>0</v>
      </c>
      <c r="AD310">
        <v>49.901639344262293</v>
      </c>
      <c r="AE310">
        <v>303</v>
      </c>
      <c r="AF310">
        <v>0</v>
      </c>
      <c r="AG310">
        <v>90.971311475409848</v>
      </c>
      <c r="AH310">
        <v>200</v>
      </c>
      <c r="AI310">
        <v>0</v>
      </c>
      <c r="AJ310">
        <v>152</v>
      </c>
      <c r="AK310">
        <v>129.9</v>
      </c>
      <c r="AL310">
        <v>1340</v>
      </c>
      <c r="AM310">
        <v>496</v>
      </c>
      <c r="AN310">
        <v>1836</v>
      </c>
      <c r="AO310">
        <v>38</v>
      </c>
      <c r="AP310">
        <v>821</v>
      </c>
    </row>
    <row r="311" spans="1:42" x14ac:dyDescent="0.3">
      <c r="A311" t="s">
        <v>999</v>
      </c>
      <c r="B311" t="s">
        <v>208</v>
      </c>
      <c r="C311" t="s">
        <v>16</v>
      </c>
      <c r="D311" t="s">
        <v>6</v>
      </c>
      <c r="E311" t="s">
        <v>977</v>
      </c>
      <c r="F311">
        <v>2018</v>
      </c>
      <c r="G311">
        <v>129.9</v>
      </c>
      <c r="H311">
        <v>15</v>
      </c>
      <c r="I311">
        <v>8</v>
      </c>
      <c r="J311">
        <v>117</v>
      </c>
      <c r="K311">
        <v>152</v>
      </c>
      <c r="L311" t="s">
        <v>979</v>
      </c>
      <c r="M311">
        <v>33.681514476614701</v>
      </c>
      <c r="N311">
        <v>264</v>
      </c>
      <c r="O311">
        <v>0</v>
      </c>
      <c r="P311">
        <v>58.2</v>
      </c>
      <c r="Q311">
        <v>130.66</v>
      </c>
      <c r="R311">
        <v>24.518485523385301</v>
      </c>
      <c r="S311">
        <v>152</v>
      </c>
      <c r="T311">
        <v>5</v>
      </c>
      <c r="U311">
        <v>47.081967213114751</v>
      </c>
      <c r="V311">
        <v>177</v>
      </c>
      <c r="W311">
        <v>0</v>
      </c>
      <c r="X311">
        <v>42.251824817518248</v>
      </c>
      <c r="Y311">
        <v>264</v>
      </c>
      <c r="Z311">
        <v>0</v>
      </c>
      <c r="AA311">
        <v>77.646715328467153</v>
      </c>
      <c r="AB311">
        <v>200</v>
      </c>
      <c r="AC311">
        <v>0</v>
      </c>
      <c r="AD311">
        <v>49.901639344262293</v>
      </c>
      <c r="AE311">
        <v>303</v>
      </c>
      <c r="AF311">
        <v>0</v>
      </c>
      <c r="AG311">
        <v>90.971311475409848</v>
      </c>
      <c r="AH311">
        <v>200</v>
      </c>
      <c r="AI311">
        <v>0</v>
      </c>
      <c r="AL311">
        <v>1325</v>
      </c>
      <c r="AM311">
        <v>488</v>
      </c>
      <c r="AN311">
        <v>1813</v>
      </c>
      <c r="AO311">
        <v>2</v>
      </c>
      <c r="AP311">
        <v>798</v>
      </c>
    </row>
    <row r="312" spans="1:42" x14ac:dyDescent="0.3">
      <c r="A312" t="s">
        <v>1237</v>
      </c>
      <c r="B312" t="s">
        <v>73</v>
      </c>
      <c r="C312" t="s">
        <v>16</v>
      </c>
      <c r="D312" t="s">
        <v>67</v>
      </c>
      <c r="E312" t="s">
        <v>1009</v>
      </c>
      <c r="F312">
        <v>2018</v>
      </c>
      <c r="G312">
        <v>87.3</v>
      </c>
      <c r="H312">
        <v>3</v>
      </c>
      <c r="I312">
        <v>3</v>
      </c>
      <c r="J312">
        <v>55</v>
      </c>
      <c r="K312">
        <v>48</v>
      </c>
      <c r="L312" t="s">
        <v>979</v>
      </c>
      <c r="M312">
        <v>33.649553571428569</v>
      </c>
      <c r="N312">
        <v>264</v>
      </c>
      <c r="O312">
        <v>0</v>
      </c>
      <c r="P312">
        <v>35.03846153846154</v>
      </c>
      <c r="Q312">
        <v>104.65</v>
      </c>
      <c r="R312">
        <v>1.3889079670329709</v>
      </c>
      <c r="S312">
        <v>111</v>
      </c>
      <c r="T312">
        <v>0</v>
      </c>
      <c r="U312">
        <v>38.228571428571428</v>
      </c>
      <c r="V312">
        <v>137</v>
      </c>
      <c r="W312">
        <v>0</v>
      </c>
      <c r="X312">
        <v>42.251824817518248</v>
      </c>
      <c r="Y312">
        <v>264</v>
      </c>
      <c r="Z312">
        <v>0</v>
      </c>
      <c r="AA312">
        <v>77.646715328467153</v>
      </c>
      <c r="AB312">
        <v>200</v>
      </c>
      <c r="AC312">
        <v>0</v>
      </c>
      <c r="AD312">
        <v>38.25</v>
      </c>
      <c r="AE312">
        <v>138</v>
      </c>
      <c r="AF312">
        <v>0</v>
      </c>
      <c r="AG312">
        <v>106.2954545454546</v>
      </c>
      <c r="AH312">
        <v>230</v>
      </c>
      <c r="AI312">
        <v>0</v>
      </c>
      <c r="AJ312">
        <v>111</v>
      </c>
      <c r="AK312">
        <v>93.3</v>
      </c>
      <c r="AL312">
        <v>1322</v>
      </c>
      <c r="AM312">
        <v>485</v>
      </c>
      <c r="AN312">
        <v>1807</v>
      </c>
      <c r="AO312">
        <v>37</v>
      </c>
      <c r="AP312">
        <v>792</v>
      </c>
    </row>
    <row r="313" spans="1:42" x14ac:dyDescent="0.3">
      <c r="A313" t="s">
        <v>1040</v>
      </c>
      <c r="B313" t="s">
        <v>71</v>
      </c>
      <c r="C313" t="s">
        <v>16</v>
      </c>
      <c r="D313" t="s">
        <v>67</v>
      </c>
      <c r="E313" t="s">
        <v>1009</v>
      </c>
      <c r="F313">
        <v>2018</v>
      </c>
      <c r="G313">
        <v>93.3</v>
      </c>
      <c r="H313">
        <v>7</v>
      </c>
      <c r="I313">
        <v>4</v>
      </c>
      <c r="J313">
        <v>119</v>
      </c>
      <c r="K313">
        <v>111</v>
      </c>
      <c r="L313" t="s">
        <v>979</v>
      </c>
      <c r="M313">
        <v>33.476510067114091</v>
      </c>
      <c r="N313">
        <v>264</v>
      </c>
      <c r="O313">
        <v>0</v>
      </c>
      <c r="P313">
        <v>35.03846153846154</v>
      </c>
      <c r="Q313">
        <v>104.65</v>
      </c>
      <c r="R313">
        <v>1.5619514713474489</v>
      </c>
      <c r="S313">
        <v>111</v>
      </c>
      <c r="T313">
        <v>0</v>
      </c>
      <c r="U313">
        <v>33.333333333333343</v>
      </c>
      <c r="V313">
        <v>140</v>
      </c>
      <c r="W313">
        <v>0</v>
      </c>
      <c r="X313">
        <v>42.251824817518248</v>
      </c>
      <c r="Y313">
        <v>264</v>
      </c>
      <c r="Z313">
        <v>0</v>
      </c>
      <c r="AA313">
        <v>77.646715328467153</v>
      </c>
      <c r="AB313">
        <v>200</v>
      </c>
      <c r="AC313">
        <v>0</v>
      </c>
      <c r="AD313">
        <v>38.25</v>
      </c>
      <c r="AE313">
        <v>138</v>
      </c>
      <c r="AF313">
        <v>0</v>
      </c>
      <c r="AG313">
        <v>106.2954545454546</v>
      </c>
      <c r="AH313">
        <v>230</v>
      </c>
      <c r="AI313">
        <v>0</v>
      </c>
      <c r="AJ313">
        <v>158</v>
      </c>
      <c r="AK313">
        <v>105.8666666666667</v>
      </c>
      <c r="AL313">
        <v>1315</v>
      </c>
      <c r="AM313">
        <v>481</v>
      </c>
      <c r="AN313">
        <v>1796</v>
      </c>
      <c r="AO313">
        <v>26</v>
      </c>
      <c r="AP313">
        <v>781</v>
      </c>
    </row>
    <row r="314" spans="1:42" x14ac:dyDescent="0.3">
      <c r="A314" t="s">
        <v>1084</v>
      </c>
      <c r="B314" t="s">
        <v>73</v>
      </c>
      <c r="C314" t="s">
        <v>16</v>
      </c>
      <c r="D314" t="s">
        <v>67</v>
      </c>
      <c r="E314" t="s">
        <v>1009</v>
      </c>
      <c r="F314">
        <v>2018</v>
      </c>
      <c r="G314">
        <v>79.8</v>
      </c>
      <c r="H314">
        <v>5</v>
      </c>
      <c r="I314">
        <v>3</v>
      </c>
      <c r="J314">
        <v>104</v>
      </c>
      <c r="K314">
        <v>83</v>
      </c>
      <c r="L314" t="s">
        <v>979</v>
      </c>
      <c r="M314">
        <v>33.365470852017943</v>
      </c>
      <c r="N314">
        <v>264</v>
      </c>
      <c r="O314">
        <v>0</v>
      </c>
      <c r="P314">
        <v>35.03846153846154</v>
      </c>
      <c r="Q314">
        <v>104.65</v>
      </c>
      <c r="R314">
        <v>1.672990686443605</v>
      </c>
      <c r="S314">
        <v>111</v>
      </c>
      <c r="T314">
        <v>0</v>
      </c>
      <c r="U314">
        <v>38.228571428571428</v>
      </c>
      <c r="V314">
        <v>137</v>
      </c>
      <c r="W314">
        <v>0</v>
      </c>
      <c r="X314">
        <v>42.251824817518248</v>
      </c>
      <c r="Y314">
        <v>264</v>
      </c>
      <c r="Z314">
        <v>0</v>
      </c>
      <c r="AA314">
        <v>77.646715328467153</v>
      </c>
      <c r="AB314">
        <v>200</v>
      </c>
      <c r="AC314">
        <v>0</v>
      </c>
      <c r="AD314">
        <v>38.25</v>
      </c>
      <c r="AE314">
        <v>138</v>
      </c>
      <c r="AF314">
        <v>0</v>
      </c>
      <c r="AG314">
        <v>106.2954545454546</v>
      </c>
      <c r="AH314">
        <v>230</v>
      </c>
      <c r="AI314">
        <v>0</v>
      </c>
      <c r="AJ314">
        <v>75</v>
      </c>
      <c r="AK314">
        <v>118.9</v>
      </c>
      <c r="AL314">
        <v>1310</v>
      </c>
      <c r="AM314">
        <v>478</v>
      </c>
      <c r="AN314">
        <v>1788</v>
      </c>
      <c r="AO314">
        <v>18</v>
      </c>
      <c r="AP314">
        <v>773</v>
      </c>
    </row>
    <row r="315" spans="1:42" x14ac:dyDescent="0.3">
      <c r="A315" t="s">
        <v>1204</v>
      </c>
      <c r="B315" t="s">
        <v>71</v>
      </c>
      <c r="C315" t="s">
        <v>16</v>
      </c>
      <c r="D315" t="s">
        <v>67</v>
      </c>
      <c r="E315" t="s">
        <v>1009</v>
      </c>
      <c r="F315">
        <v>2018</v>
      </c>
      <c r="G315">
        <v>133.30000000000001</v>
      </c>
      <c r="H315">
        <v>6</v>
      </c>
      <c r="I315">
        <v>3</v>
      </c>
      <c r="J315">
        <v>39</v>
      </c>
      <c r="K315">
        <v>52</v>
      </c>
      <c r="L315" t="s">
        <v>979</v>
      </c>
      <c r="M315">
        <v>33.32359550561798</v>
      </c>
      <c r="N315">
        <v>264</v>
      </c>
      <c r="O315">
        <v>0</v>
      </c>
      <c r="P315">
        <v>35.03846153846154</v>
      </c>
      <c r="Q315">
        <v>104.65</v>
      </c>
      <c r="R315">
        <v>1.7148660328435601</v>
      </c>
      <c r="S315">
        <v>111</v>
      </c>
      <c r="T315">
        <v>0</v>
      </c>
      <c r="U315">
        <v>33.333333333333343</v>
      </c>
      <c r="V315">
        <v>140</v>
      </c>
      <c r="W315">
        <v>0</v>
      </c>
      <c r="X315">
        <v>42.251824817518248</v>
      </c>
      <c r="Y315">
        <v>264</v>
      </c>
      <c r="Z315">
        <v>0</v>
      </c>
      <c r="AA315">
        <v>77.646715328467153</v>
      </c>
      <c r="AB315">
        <v>200</v>
      </c>
      <c r="AC315">
        <v>0</v>
      </c>
      <c r="AD315">
        <v>38.25</v>
      </c>
      <c r="AE315">
        <v>138</v>
      </c>
      <c r="AF315">
        <v>0</v>
      </c>
      <c r="AG315">
        <v>106.2954545454546</v>
      </c>
      <c r="AH315">
        <v>230</v>
      </c>
      <c r="AI315">
        <v>0</v>
      </c>
      <c r="AJ315">
        <v>23</v>
      </c>
      <c r="AK315">
        <v>104.5</v>
      </c>
      <c r="AL315">
        <v>1304</v>
      </c>
      <c r="AM315">
        <v>475</v>
      </c>
      <c r="AN315">
        <v>1779</v>
      </c>
      <c r="AO315">
        <v>9</v>
      </c>
      <c r="AP315">
        <v>764</v>
      </c>
    </row>
    <row r="316" spans="1:42" x14ac:dyDescent="0.3">
      <c r="A316" t="s">
        <v>1392</v>
      </c>
      <c r="B316" t="s">
        <v>277</v>
      </c>
      <c r="C316" t="s">
        <v>16</v>
      </c>
      <c r="D316" t="s">
        <v>67</v>
      </c>
      <c r="E316" t="s">
        <v>1009</v>
      </c>
      <c r="F316">
        <v>2018</v>
      </c>
      <c r="G316">
        <v>104.5</v>
      </c>
      <c r="H316">
        <v>4</v>
      </c>
      <c r="I316">
        <v>0</v>
      </c>
      <c r="J316">
        <v>22</v>
      </c>
      <c r="K316">
        <v>23</v>
      </c>
      <c r="L316" t="s">
        <v>1327</v>
      </c>
      <c r="M316">
        <v>33.346846846846837</v>
      </c>
      <c r="N316">
        <v>264</v>
      </c>
      <c r="O316">
        <v>0</v>
      </c>
      <c r="P316">
        <v>35.03846153846154</v>
      </c>
      <c r="Q316">
        <v>104.65</v>
      </c>
      <c r="R316">
        <v>1.6916146916146959</v>
      </c>
      <c r="S316">
        <v>111</v>
      </c>
      <c r="T316">
        <v>0</v>
      </c>
      <c r="U316">
        <v>17</v>
      </c>
      <c r="V316">
        <v>23</v>
      </c>
      <c r="W316">
        <v>11</v>
      </c>
      <c r="X316">
        <v>42.251824817518248</v>
      </c>
      <c r="Y316">
        <v>264</v>
      </c>
      <c r="Z316">
        <v>0</v>
      </c>
      <c r="AA316">
        <v>77.646715328467153</v>
      </c>
      <c r="AB316">
        <v>200</v>
      </c>
      <c r="AC316">
        <v>0</v>
      </c>
      <c r="AD316">
        <v>38.25</v>
      </c>
      <c r="AE316">
        <v>138</v>
      </c>
      <c r="AF316">
        <v>0</v>
      </c>
      <c r="AG316">
        <v>106.2954545454546</v>
      </c>
      <c r="AH316">
        <v>230</v>
      </c>
      <c r="AI316">
        <v>0</v>
      </c>
      <c r="AL316">
        <v>1300</v>
      </c>
      <c r="AM316">
        <v>475</v>
      </c>
      <c r="AN316">
        <v>1775</v>
      </c>
      <c r="AO316">
        <v>5</v>
      </c>
      <c r="AP316">
        <v>760</v>
      </c>
    </row>
    <row r="317" spans="1:42" x14ac:dyDescent="0.3">
      <c r="A317" t="s">
        <v>1690</v>
      </c>
      <c r="B317" t="s">
        <v>76</v>
      </c>
      <c r="C317" t="s">
        <v>16</v>
      </c>
      <c r="D317" t="s">
        <v>347</v>
      </c>
      <c r="E317" t="s">
        <v>1012</v>
      </c>
      <c r="F317">
        <v>2018</v>
      </c>
      <c r="G317">
        <v>11.1</v>
      </c>
      <c r="H317">
        <v>0</v>
      </c>
      <c r="I317">
        <v>0</v>
      </c>
      <c r="J317">
        <v>18</v>
      </c>
      <c r="K317">
        <v>2</v>
      </c>
      <c r="L317" t="s">
        <v>1327</v>
      </c>
      <c r="M317">
        <v>33.417607223476303</v>
      </c>
      <c r="N317">
        <v>264</v>
      </c>
      <c r="O317">
        <v>0</v>
      </c>
      <c r="P317">
        <v>61</v>
      </c>
      <c r="Q317">
        <v>49.54999999999999</v>
      </c>
      <c r="R317">
        <v>27.582392776523701</v>
      </c>
      <c r="S317">
        <v>103</v>
      </c>
      <c r="T317">
        <v>2</v>
      </c>
      <c r="U317">
        <v>48.215686274509807</v>
      </c>
      <c r="V317">
        <v>187</v>
      </c>
      <c r="W317">
        <v>0</v>
      </c>
      <c r="X317">
        <v>42.251824817518248</v>
      </c>
      <c r="Y317">
        <v>264</v>
      </c>
      <c r="Z317">
        <v>0</v>
      </c>
      <c r="AA317">
        <v>77.646715328467153</v>
      </c>
      <c r="AB317">
        <v>200</v>
      </c>
      <c r="AC317">
        <v>0</v>
      </c>
      <c r="AD317">
        <v>37.228571428571428</v>
      </c>
      <c r="AE317">
        <v>137</v>
      </c>
      <c r="AF317">
        <v>0</v>
      </c>
      <c r="AG317">
        <v>73.452857142857127</v>
      </c>
      <c r="AH317">
        <v>178.6</v>
      </c>
      <c r="AI317">
        <v>0</v>
      </c>
      <c r="AJ317">
        <v>152</v>
      </c>
      <c r="AK317">
        <v>88.95</v>
      </c>
      <c r="AL317">
        <v>1300</v>
      </c>
      <c r="AM317">
        <v>475</v>
      </c>
      <c r="AN317">
        <v>1775</v>
      </c>
      <c r="AP317">
        <v>760</v>
      </c>
    </row>
    <row r="318" spans="1:42" x14ac:dyDescent="0.3">
      <c r="A318" t="s">
        <v>1465</v>
      </c>
      <c r="B318" t="s">
        <v>76</v>
      </c>
      <c r="C318" t="s">
        <v>16</v>
      </c>
      <c r="D318" t="s">
        <v>218</v>
      </c>
      <c r="E318" t="s">
        <v>1012</v>
      </c>
      <c r="F318">
        <v>2018</v>
      </c>
      <c r="G318">
        <v>57.7</v>
      </c>
      <c r="H318">
        <v>2</v>
      </c>
      <c r="I318">
        <v>0</v>
      </c>
      <c r="J318">
        <v>26</v>
      </c>
      <c r="K318">
        <v>15</v>
      </c>
      <c r="L318" t="s">
        <v>1327</v>
      </c>
      <c r="M318">
        <v>33.459276018099537</v>
      </c>
      <c r="N318">
        <v>264</v>
      </c>
      <c r="O318">
        <v>0</v>
      </c>
      <c r="P318">
        <v>46.46153846153846</v>
      </c>
      <c r="Q318">
        <v>74.492307692307705</v>
      </c>
      <c r="R318">
        <v>13.002262443438919</v>
      </c>
      <c r="S318">
        <v>138</v>
      </c>
      <c r="T318">
        <v>0</v>
      </c>
      <c r="U318">
        <v>48.215686274509807</v>
      </c>
      <c r="V318">
        <v>187</v>
      </c>
      <c r="W318">
        <v>0</v>
      </c>
      <c r="X318">
        <v>42.251824817518248</v>
      </c>
      <c r="Y318">
        <v>264</v>
      </c>
      <c r="Z318">
        <v>0</v>
      </c>
      <c r="AA318">
        <v>77.646715328467153</v>
      </c>
      <c r="AB318">
        <v>200</v>
      </c>
      <c r="AC318">
        <v>0</v>
      </c>
      <c r="AD318">
        <v>37.228571428571428</v>
      </c>
      <c r="AE318">
        <v>137</v>
      </c>
      <c r="AF318">
        <v>0</v>
      </c>
      <c r="AG318">
        <v>73.452857142857127</v>
      </c>
      <c r="AH318">
        <v>178.6</v>
      </c>
      <c r="AI318">
        <v>0</v>
      </c>
      <c r="AJ318">
        <v>137</v>
      </c>
      <c r="AK318">
        <v>120.2</v>
      </c>
      <c r="AL318">
        <v>1298</v>
      </c>
      <c r="AM318">
        <v>475</v>
      </c>
      <c r="AN318">
        <v>1773</v>
      </c>
      <c r="AO318">
        <v>20</v>
      </c>
      <c r="AP318">
        <v>758</v>
      </c>
    </row>
    <row r="319" spans="1:42" x14ac:dyDescent="0.3">
      <c r="A319" t="s">
        <v>1014</v>
      </c>
      <c r="B319" t="s">
        <v>76</v>
      </c>
      <c r="C319" t="s">
        <v>16</v>
      </c>
      <c r="D319" t="s">
        <v>290</v>
      </c>
      <c r="E319" t="s">
        <v>1012</v>
      </c>
      <c r="F319">
        <v>2018</v>
      </c>
      <c r="G319">
        <v>120.2</v>
      </c>
      <c r="H319">
        <v>15</v>
      </c>
      <c r="I319">
        <v>4</v>
      </c>
      <c r="J319">
        <v>114</v>
      </c>
      <c r="K319">
        <v>137</v>
      </c>
      <c r="L319" t="s">
        <v>979</v>
      </c>
      <c r="M319">
        <v>33.224489795918373</v>
      </c>
      <c r="N319">
        <v>264</v>
      </c>
      <c r="O319">
        <v>0</v>
      </c>
      <c r="P319">
        <v>52.166666666666657</v>
      </c>
      <c r="Q319">
        <v>103.6666666666667</v>
      </c>
      <c r="R319">
        <v>18.942176870748298</v>
      </c>
      <c r="S319">
        <v>137</v>
      </c>
      <c r="T319">
        <v>11</v>
      </c>
      <c r="U319">
        <v>48.215686274509807</v>
      </c>
      <c r="V319">
        <v>187</v>
      </c>
      <c r="W319">
        <v>0</v>
      </c>
      <c r="X319">
        <v>42.251824817518248</v>
      </c>
      <c r="Y319">
        <v>264</v>
      </c>
      <c r="Z319">
        <v>0</v>
      </c>
      <c r="AA319">
        <v>77.646715328467153</v>
      </c>
      <c r="AB319">
        <v>200</v>
      </c>
      <c r="AC319">
        <v>0</v>
      </c>
      <c r="AD319">
        <v>37.228571428571428</v>
      </c>
      <c r="AE319">
        <v>137</v>
      </c>
      <c r="AF319">
        <v>0</v>
      </c>
      <c r="AG319">
        <v>73.452857142857127</v>
      </c>
      <c r="AH319">
        <v>178.6</v>
      </c>
      <c r="AI319">
        <v>0</v>
      </c>
      <c r="AJ319">
        <v>100</v>
      </c>
      <c r="AK319">
        <v>178.6</v>
      </c>
      <c r="AL319">
        <v>1283</v>
      </c>
      <c r="AM319">
        <v>471</v>
      </c>
      <c r="AN319">
        <v>1754</v>
      </c>
      <c r="AO319">
        <v>13</v>
      </c>
      <c r="AP319">
        <v>739</v>
      </c>
    </row>
    <row r="320" spans="1:42" x14ac:dyDescent="0.3">
      <c r="A320" t="s">
        <v>1059</v>
      </c>
      <c r="B320" t="s">
        <v>76</v>
      </c>
      <c r="C320" t="s">
        <v>5</v>
      </c>
      <c r="D320" t="s">
        <v>507</v>
      </c>
      <c r="E320" t="s">
        <v>1012</v>
      </c>
      <c r="F320">
        <v>2018</v>
      </c>
      <c r="G320">
        <v>178.6</v>
      </c>
      <c r="H320">
        <v>11</v>
      </c>
      <c r="I320">
        <v>5</v>
      </c>
      <c r="J320">
        <v>56</v>
      </c>
      <c r="K320">
        <v>100</v>
      </c>
      <c r="L320" t="s">
        <v>979</v>
      </c>
      <c r="M320">
        <v>33.072727272727271</v>
      </c>
      <c r="N320">
        <v>264</v>
      </c>
      <c r="O320">
        <v>0</v>
      </c>
      <c r="P320">
        <v>100</v>
      </c>
      <c r="Q320">
        <v>178.6</v>
      </c>
      <c r="R320">
        <v>66.927272727272737</v>
      </c>
      <c r="S320">
        <v>100</v>
      </c>
      <c r="T320">
        <v>100</v>
      </c>
      <c r="U320">
        <v>48.215686274509807</v>
      </c>
      <c r="V320">
        <v>187</v>
      </c>
      <c r="W320">
        <v>0</v>
      </c>
      <c r="X320">
        <v>28.189024390243901</v>
      </c>
      <c r="Y320">
        <v>121</v>
      </c>
      <c r="Z320">
        <v>0</v>
      </c>
      <c r="AA320">
        <v>116.45060975609761</v>
      </c>
      <c r="AB320">
        <v>274.39999999999998</v>
      </c>
      <c r="AC320">
        <v>0</v>
      </c>
      <c r="AD320">
        <v>37.228571428571428</v>
      </c>
      <c r="AE320">
        <v>137</v>
      </c>
      <c r="AF320">
        <v>0</v>
      </c>
      <c r="AG320">
        <v>73.452857142857127</v>
      </c>
      <c r="AH320">
        <v>178.6</v>
      </c>
      <c r="AI320">
        <v>0</v>
      </c>
      <c r="AJ320">
        <v>37</v>
      </c>
      <c r="AK320">
        <v>81.150000000000006</v>
      </c>
      <c r="AL320">
        <v>1272</v>
      </c>
      <c r="AM320">
        <v>466</v>
      </c>
      <c r="AN320">
        <v>1738</v>
      </c>
      <c r="AP320">
        <v>310</v>
      </c>
    </row>
    <row r="321" spans="1:42" x14ac:dyDescent="0.3">
      <c r="A321" t="s">
        <v>1624</v>
      </c>
      <c r="B321" t="s">
        <v>76</v>
      </c>
      <c r="C321" t="s">
        <v>5</v>
      </c>
      <c r="D321" t="s">
        <v>508</v>
      </c>
      <c r="E321" t="s">
        <v>1012</v>
      </c>
      <c r="F321">
        <v>2018</v>
      </c>
      <c r="G321">
        <v>55.6</v>
      </c>
      <c r="H321">
        <v>1</v>
      </c>
      <c r="I321">
        <v>0</v>
      </c>
      <c r="J321">
        <v>9</v>
      </c>
      <c r="K321">
        <v>5</v>
      </c>
      <c r="L321" t="s">
        <v>1327</v>
      </c>
      <c r="M321">
        <v>33.136674259681087</v>
      </c>
      <c r="N321">
        <v>264</v>
      </c>
      <c r="O321">
        <v>0</v>
      </c>
      <c r="P321">
        <v>38.75</v>
      </c>
      <c r="Q321">
        <v>65.400000000000006</v>
      </c>
      <c r="R321">
        <v>5.6133257403189063</v>
      </c>
      <c r="S321">
        <v>65</v>
      </c>
      <c r="T321">
        <v>5</v>
      </c>
      <c r="U321">
        <v>48.215686274509807</v>
      </c>
      <c r="V321">
        <v>187</v>
      </c>
      <c r="W321">
        <v>0</v>
      </c>
      <c r="X321">
        <v>28.189024390243901</v>
      </c>
      <c r="Y321">
        <v>121</v>
      </c>
      <c r="Z321">
        <v>0</v>
      </c>
      <c r="AA321">
        <v>116.45060975609761</v>
      </c>
      <c r="AB321">
        <v>274.39999999999998</v>
      </c>
      <c r="AC321">
        <v>0</v>
      </c>
      <c r="AD321">
        <v>37.228571428571428</v>
      </c>
      <c r="AE321">
        <v>137</v>
      </c>
      <c r="AF321">
        <v>0</v>
      </c>
      <c r="AG321">
        <v>73.452857142857127</v>
      </c>
      <c r="AH321">
        <v>178.6</v>
      </c>
      <c r="AI321">
        <v>0</v>
      </c>
      <c r="AJ321">
        <v>32</v>
      </c>
      <c r="AK321">
        <v>106.7</v>
      </c>
      <c r="AL321">
        <v>1271</v>
      </c>
      <c r="AM321">
        <v>466</v>
      </c>
      <c r="AN321">
        <v>1737</v>
      </c>
      <c r="AO321">
        <v>18</v>
      </c>
      <c r="AP321">
        <v>309</v>
      </c>
    </row>
    <row r="322" spans="1:42" x14ac:dyDescent="0.3">
      <c r="A322" t="s">
        <v>1316</v>
      </c>
      <c r="B322" t="s">
        <v>76</v>
      </c>
      <c r="C322" t="s">
        <v>5</v>
      </c>
      <c r="D322" t="s">
        <v>287</v>
      </c>
      <c r="E322" t="s">
        <v>1012</v>
      </c>
      <c r="F322">
        <v>2018</v>
      </c>
      <c r="G322">
        <v>106.7</v>
      </c>
      <c r="H322">
        <v>3</v>
      </c>
      <c r="I322">
        <v>1</v>
      </c>
      <c r="J322">
        <v>30</v>
      </c>
      <c r="K322">
        <v>32</v>
      </c>
      <c r="L322" t="s">
        <v>979</v>
      </c>
      <c r="M322">
        <v>33.139269406392692</v>
      </c>
      <c r="N322">
        <v>264</v>
      </c>
      <c r="O322">
        <v>0</v>
      </c>
      <c r="P322">
        <v>34.833333333333343</v>
      </c>
      <c r="Q322">
        <v>77.86666666666666</v>
      </c>
      <c r="R322">
        <v>1.694063926940643</v>
      </c>
      <c r="S322">
        <v>140</v>
      </c>
      <c r="T322">
        <v>1</v>
      </c>
      <c r="U322">
        <v>48.215686274509807</v>
      </c>
      <c r="V322">
        <v>187</v>
      </c>
      <c r="W322">
        <v>0</v>
      </c>
      <c r="X322">
        <v>28.189024390243901</v>
      </c>
      <c r="Y322">
        <v>121</v>
      </c>
      <c r="Z322">
        <v>0</v>
      </c>
      <c r="AA322">
        <v>116.45060975609761</v>
      </c>
      <c r="AB322">
        <v>274.39999999999998</v>
      </c>
      <c r="AC322">
        <v>0</v>
      </c>
      <c r="AD322">
        <v>37.228571428571428</v>
      </c>
      <c r="AE322">
        <v>137</v>
      </c>
      <c r="AF322">
        <v>0</v>
      </c>
      <c r="AG322">
        <v>73.452857142857127</v>
      </c>
      <c r="AH322">
        <v>178.6</v>
      </c>
      <c r="AI322">
        <v>0</v>
      </c>
      <c r="AJ322">
        <v>0</v>
      </c>
      <c r="AK322">
        <v>0</v>
      </c>
      <c r="AL322">
        <v>1268</v>
      </c>
      <c r="AM322">
        <v>465</v>
      </c>
      <c r="AN322">
        <v>1733</v>
      </c>
      <c r="AO322">
        <v>0</v>
      </c>
      <c r="AP322">
        <v>305</v>
      </c>
    </row>
    <row r="323" spans="1:42" x14ac:dyDescent="0.3">
      <c r="A323" t="s">
        <v>1739</v>
      </c>
      <c r="B323" t="s">
        <v>135</v>
      </c>
      <c r="C323" t="s">
        <v>5</v>
      </c>
      <c r="D323" t="s">
        <v>511</v>
      </c>
      <c r="E323" t="s">
        <v>1007</v>
      </c>
      <c r="F323">
        <v>2018</v>
      </c>
      <c r="G323">
        <v>0</v>
      </c>
      <c r="H323">
        <v>0</v>
      </c>
      <c r="I323">
        <v>0</v>
      </c>
      <c r="J323">
        <v>2</v>
      </c>
      <c r="K323">
        <v>0</v>
      </c>
      <c r="L323" t="s">
        <v>1327</v>
      </c>
      <c r="M323">
        <v>33.215102974828383</v>
      </c>
      <c r="N323">
        <v>264</v>
      </c>
      <c r="O323">
        <v>0</v>
      </c>
      <c r="P323">
        <v>48.5</v>
      </c>
      <c r="Q323">
        <v>79.5</v>
      </c>
      <c r="R323">
        <v>15.28489702517162</v>
      </c>
      <c r="S323">
        <v>97</v>
      </c>
      <c r="T323">
        <v>0</v>
      </c>
      <c r="U323">
        <v>53.25</v>
      </c>
      <c r="V323">
        <v>97</v>
      </c>
      <c r="W323">
        <v>0</v>
      </c>
      <c r="X323">
        <v>28.189024390243901</v>
      </c>
      <c r="Y323">
        <v>121</v>
      </c>
      <c r="Z323">
        <v>0</v>
      </c>
      <c r="AA323">
        <v>116.45060975609761</v>
      </c>
      <c r="AB323">
        <v>274.39999999999998</v>
      </c>
      <c r="AC323">
        <v>0</v>
      </c>
      <c r="AD323">
        <v>37.180327868852459</v>
      </c>
      <c r="AE323">
        <v>140</v>
      </c>
      <c r="AF323">
        <v>0</v>
      </c>
      <c r="AG323">
        <v>82.911475409836058</v>
      </c>
      <c r="AH323">
        <v>224.4</v>
      </c>
      <c r="AI323">
        <v>0</v>
      </c>
      <c r="AJ323">
        <v>97</v>
      </c>
      <c r="AK323">
        <v>159</v>
      </c>
      <c r="AL323">
        <v>1268</v>
      </c>
      <c r="AM323">
        <v>465</v>
      </c>
      <c r="AN323">
        <v>1733</v>
      </c>
      <c r="AO323">
        <v>13</v>
      </c>
      <c r="AP323">
        <v>305</v>
      </c>
    </row>
    <row r="324" spans="1:42" x14ac:dyDescent="0.3">
      <c r="A324" t="s">
        <v>1062</v>
      </c>
      <c r="B324" t="s">
        <v>135</v>
      </c>
      <c r="C324" t="s">
        <v>5</v>
      </c>
      <c r="D324" t="s">
        <v>511</v>
      </c>
      <c r="E324" t="s">
        <v>1007</v>
      </c>
      <c r="F324">
        <v>2018</v>
      </c>
      <c r="G324">
        <v>159</v>
      </c>
      <c r="H324">
        <v>8</v>
      </c>
      <c r="I324">
        <v>5</v>
      </c>
      <c r="J324">
        <v>61</v>
      </c>
      <c r="K324">
        <v>97</v>
      </c>
      <c r="L324" t="s">
        <v>979</v>
      </c>
      <c r="M324">
        <v>33.068807339449542</v>
      </c>
      <c r="N324">
        <v>264</v>
      </c>
      <c r="O324">
        <v>0</v>
      </c>
      <c r="P324">
        <v>48.5</v>
      </c>
      <c r="Q324">
        <v>79.5</v>
      </c>
      <c r="R324">
        <v>15.43119266055046</v>
      </c>
      <c r="S324">
        <v>97</v>
      </c>
      <c r="T324">
        <v>0</v>
      </c>
      <c r="U324">
        <v>53.25</v>
      </c>
      <c r="V324">
        <v>97</v>
      </c>
      <c r="W324">
        <v>0</v>
      </c>
      <c r="X324">
        <v>28.189024390243901</v>
      </c>
      <c r="Y324">
        <v>121</v>
      </c>
      <c r="Z324">
        <v>0</v>
      </c>
      <c r="AA324">
        <v>116.45060975609761</v>
      </c>
      <c r="AB324">
        <v>274.39999999999998</v>
      </c>
      <c r="AC324">
        <v>0</v>
      </c>
      <c r="AD324">
        <v>37.180327868852459</v>
      </c>
      <c r="AE324">
        <v>140</v>
      </c>
      <c r="AF324">
        <v>0</v>
      </c>
      <c r="AG324">
        <v>82.911475409836058</v>
      </c>
      <c r="AH324">
        <v>224.4</v>
      </c>
      <c r="AI324">
        <v>0</v>
      </c>
      <c r="AL324">
        <v>1260</v>
      </c>
      <c r="AM324">
        <v>460</v>
      </c>
      <c r="AN324">
        <v>1720</v>
      </c>
      <c r="AP324">
        <v>292</v>
      </c>
    </row>
    <row r="325" spans="1:42" x14ac:dyDescent="0.3">
      <c r="A325" t="s">
        <v>1492</v>
      </c>
      <c r="B325" t="s">
        <v>8</v>
      </c>
      <c r="C325" t="s">
        <v>1043</v>
      </c>
      <c r="D325" t="s">
        <v>9</v>
      </c>
      <c r="E325" t="s">
        <v>1036</v>
      </c>
      <c r="F325">
        <v>2018</v>
      </c>
      <c r="G325">
        <v>118.2</v>
      </c>
      <c r="H325">
        <v>1</v>
      </c>
      <c r="I325">
        <v>0</v>
      </c>
      <c r="J325">
        <v>11</v>
      </c>
      <c r="K325">
        <v>13</v>
      </c>
      <c r="L325" t="s">
        <v>1327</v>
      </c>
      <c r="M325">
        <v>33.114942528735632</v>
      </c>
      <c r="N325">
        <v>264</v>
      </c>
      <c r="O325">
        <v>0</v>
      </c>
      <c r="P325">
        <v>38.36</v>
      </c>
      <c r="Q325">
        <v>122.748</v>
      </c>
      <c r="R325">
        <v>5.2450574712643672</v>
      </c>
      <c r="S325">
        <v>131</v>
      </c>
      <c r="T325">
        <v>1</v>
      </c>
      <c r="U325">
        <v>28.567567567567568</v>
      </c>
      <c r="V325">
        <v>74</v>
      </c>
      <c r="W325">
        <v>0</v>
      </c>
      <c r="X325">
        <v>26.556862745098041</v>
      </c>
      <c r="Y325">
        <v>109</v>
      </c>
      <c r="Z325">
        <v>0</v>
      </c>
      <c r="AA325">
        <v>114.6301960784314</v>
      </c>
      <c r="AB325">
        <v>350</v>
      </c>
      <c r="AC325">
        <v>0</v>
      </c>
      <c r="AD325">
        <v>26.732758620689651</v>
      </c>
      <c r="AE325">
        <v>114</v>
      </c>
      <c r="AF325">
        <v>0</v>
      </c>
      <c r="AG325">
        <v>115.31896551724139</v>
      </c>
      <c r="AH325">
        <v>350</v>
      </c>
      <c r="AI325">
        <v>0</v>
      </c>
      <c r="AJ325">
        <v>6</v>
      </c>
      <c r="AK325">
        <v>60</v>
      </c>
      <c r="AL325">
        <v>1259</v>
      </c>
      <c r="AM325">
        <v>460</v>
      </c>
      <c r="AN325">
        <v>1719</v>
      </c>
      <c r="AO325">
        <v>59</v>
      </c>
      <c r="AP325">
        <v>515</v>
      </c>
    </row>
    <row r="326" spans="1:42" x14ac:dyDescent="0.3">
      <c r="A326" t="s">
        <v>1610</v>
      </c>
      <c r="B326" t="s">
        <v>40</v>
      </c>
      <c r="C326" t="s">
        <v>1043</v>
      </c>
      <c r="D326" t="s">
        <v>12</v>
      </c>
      <c r="E326" t="s">
        <v>1036</v>
      </c>
      <c r="F326">
        <v>2018</v>
      </c>
      <c r="G326">
        <v>60</v>
      </c>
      <c r="H326">
        <v>0</v>
      </c>
      <c r="I326">
        <v>0</v>
      </c>
      <c r="J326">
        <v>10</v>
      </c>
      <c r="K326">
        <v>6</v>
      </c>
      <c r="L326" t="s">
        <v>1327</v>
      </c>
      <c r="M326">
        <v>33.177419354838712</v>
      </c>
      <c r="N326">
        <v>264</v>
      </c>
      <c r="O326">
        <v>0</v>
      </c>
      <c r="P326">
        <v>31.203883495145629</v>
      </c>
      <c r="Q326">
        <v>120.5689320388349</v>
      </c>
      <c r="R326">
        <v>-1.973535859693079</v>
      </c>
      <c r="S326">
        <v>162</v>
      </c>
      <c r="T326">
        <v>0</v>
      </c>
      <c r="U326">
        <v>28.12903225806452</v>
      </c>
      <c r="V326">
        <v>79</v>
      </c>
      <c r="W326">
        <v>0</v>
      </c>
      <c r="X326">
        <v>26.556862745098041</v>
      </c>
      <c r="Y326">
        <v>109</v>
      </c>
      <c r="Z326">
        <v>0</v>
      </c>
      <c r="AA326">
        <v>114.6301960784314</v>
      </c>
      <c r="AB326">
        <v>350</v>
      </c>
      <c r="AC326">
        <v>0</v>
      </c>
      <c r="AD326">
        <v>26.732758620689651</v>
      </c>
      <c r="AE326">
        <v>114</v>
      </c>
      <c r="AF326">
        <v>0</v>
      </c>
      <c r="AG326">
        <v>115.31896551724139</v>
      </c>
      <c r="AH326">
        <v>350</v>
      </c>
      <c r="AI326">
        <v>0</v>
      </c>
      <c r="AJ326">
        <v>0</v>
      </c>
      <c r="AK326">
        <v>0</v>
      </c>
      <c r="AL326">
        <v>1259</v>
      </c>
      <c r="AM326">
        <v>460</v>
      </c>
      <c r="AN326">
        <v>1719</v>
      </c>
      <c r="AO326">
        <v>232</v>
      </c>
      <c r="AP326">
        <v>515</v>
      </c>
    </row>
    <row r="327" spans="1:42" x14ac:dyDescent="0.3">
      <c r="A327" t="s">
        <v>1740</v>
      </c>
      <c r="B327" t="s">
        <v>4</v>
      </c>
      <c r="C327" t="s">
        <v>1043</v>
      </c>
      <c r="D327" t="s">
        <v>12</v>
      </c>
      <c r="E327" t="s">
        <v>1036</v>
      </c>
      <c r="F327">
        <v>2018</v>
      </c>
      <c r="G327">
        <v>0</v>
      </c>
      <c r="H327">
        <v>0</v>
      </c>
      <c r="I327">
        <v>0</v>
      </c>
      <c r="J327">
        <v>1</v>
      </c>
      <c r="K327">
        <v>0</v>
      </c>
      <c r="L327" t="s">
        <v>1327</v>
      </c>
      <c r="M327">
        <v>33.254041570438801</v>
      </c>
      <c r="N327">
        <v>264</v>
      </c>
      <c r="O327">
        <v>0</v>
      </c>
      <c r="P327">
        <v>31.203883495145629</v>
      </c>
      <c r="Q327">
        <v>120.5689320388349</v>
      </c>
      <c r="R327">
        <v>-2.0501580752931692</v>
      </c>
      <c r="S327">
        <v>162</v>
      </c>
      <c r="T327">
        <v>0</v>
      </c>
      <c r="U327">
        <v>20.68965517241379</v>
      </c>
      <c r="V327">
        <v>73</v>
      </c>
      <c r="W327">
        <v>0</v>
      </c>
      <c r="X327">
        <v>26.556862745098041</v>
      </c>
      <c r="Y327">
        <v>109</v>
      </c>
      <c r="Z327">
        <v>0</v>
      </c>
      <c r="AA327">
        <v>114.6301960784314</v>
      </c>
      <c r="AB327">
        <v>350</v>
      </c>
      <c r="AC327">
        <v>0</v>
      </c>
      <c r="AD327">
        <v>26.732758620689651</v>
      </c>
      <c r="AE327">
        <v>114</v>
      </c>
      <c r="AF327">
        <v>0</v>
      </c>
      <c r="AG327">
        <v>115.31896551724139</v>
      </c>
      <c r="AH327">
        <v>350</v>
      </c>
      <c r="AI327">
        <v>0</v>
      </c>
      <c r="AJ327">
        <v>36</v>
      </c>
      <c r="AK327">
        <v>116.1</v>
      </c>
      <c r="AL327">
        <v>1259</v>
      </c>
      <c r="AM327">
        <v>460</v>
      </c>
      <c r="AN327">
        <v>1719</v>
      </c>
      <c r="AO327">
        <v>232</v>
      </c>
      <c r="AP327">
        <v>515</v>
      </c>
    </row>
    <row r="328" spans="1:42" x14ac:dyDescent="0.3">
      <c r="A328" t="s">
        <v>1294</v>
      </c>
      <c r="B328" t="s">
        <v>11</v>
      </c>
      <c r="C328" t="s">
        <v>1043</v>
      </c>
      <c r="D328" t="s">
        <v>139</v>
      </c>
      <c r="E328" t="s">
        <v>1036</v>
      </c>
      <c r="F328">
        <v>2018</v>
      </c>
      <c r="G328">
        <v>116.1</v>
      </c>
      <c r="H328">
        <v>2</v>
      </c>
      <c r="I328">
        <v>1</v>
      </c>
      <c r="J328">
        <v>31</v>
      </c>
      <c r="K328">
        <v>36</v>
      </c>
      <c r="L328" t="s">
        <v>979</v>
      </c>
      <c r="M328">
        <v>33.247685185185183</v>
      </c>
      <c r="N328">
        <v>264</v>
      </c>
      <c r="O328">
        <v>0</v>
      </c>
      <c r="P328">
        <v>45.666666666666657</v>
      </c>
      <c r="Q328">
        <v>104.1166666666667</v>
      </c>
      <c r="R328">
        <v>12.418981481481479</v>
      </c>
      <c r="S328">
        <v>264</v>
      </c>
      <c r="T328">
        <v>0</v>
      </c>
      <c r="U328">
        <v>31.852941176470591</v>
      </c>
      <c r="V328">
        <v>109</v>
      </c>
      <c r="W328">
        <v>0</v>
      </c>
      <c r="X328">
        <v>26.556862745098041</v>
      </c>
      <c r="Y328">
        <v>109</v>
      </c>
      <c r="Z328">
        <v>0</v>
      </c>
      <c r="AA328">
        <v>114.6301960784314</v>
      </c>
      <c r="AB328">
        <v>350</v>
      </c>
      <c r="AC328">
        <v>0</v>
      </c>
      <c r="AD328">
        <v>26.732758620689651</v>
      </c>
      <c r="AE328">
        <v>114</v>
      </c>
      <c r="AF328">
        <v>0</v>
      </c>
      <c r="AG328">
        <v>115.31896551724139</v>
      </c>
      <c r="AH328">
        <v>350</v>
      </c>
      <c r="AI328">
        <v>0</v>
      </c>
      <c r="AJ328">
        <v>35</v>
      </c>
      <c r="AK328">
        <v>130</v>
      </c>
      <c r="AL328">
        <v>1257</v>
      </c>
      <c r="AM328">
        <v>459</v>
      </c>
      <c r="AN328">
        <v>1716</v>
      </c>
      <c r="AO328">
        <v>142</v>
      </c>
      <c r="AP328">
        <v>512</v>
      </c>
    </row>
    <row r="329" spans="1:42" x14ac:dyDescent="0.3">
      <c r="A329" t="s">
        <v>1526</v>
      </c>
      <c r="B329" t="s">
        <v>11</v>
      </c>
      <c r="C329" t="s">
        <v>1043</v>
      </c>
      <c r="D329" t="s">
        <v>12</v>
      </c>
      <c r="E329" t="s">
        <v>1036</v>
      </c>
      <c r="F329">
        <v>2018</v>
      </c>
      <c r="G329">
        <v>100</v>
      </c>
      <c r="H329">
        <v>1</v>
      </c>
      <c r="I329">
        <v>0</v>
      </c>
      <c r="J329">
        <v>11</v>
      </c>
      <c r="K329">
        <v>11</v>
      </c>
      <c r="L329" t="s">
        <v>1327</v>
      </c>
      <c r="M329">
        <v>33.299303944315547</v>
      </c>
      <c r="N329">
        <v>264</v>
      </c>
      <c r="O329">
        <v>0</v>
      </c>
      <c r="P329">
        <v>31.203883495145629</v>
      </c>
      <c r="Q329">
        <v>120.5689320388349</v>
      </c>
      <c r="R329">
        <v>-2.095420449169914</v>
      </c>
      <c r="S329">
        <v>162</v>
      </c>
      <c r="T329">
        <v>0</v>
      </c>
      <c r="U329">
        <v>31.852941176470591</v>
      </c>
      <c r="V329">
        <v>109</v>
      </c>
      <c r="W329">
        <v>0</v>
      </c>
      <c r="X329">
        <v>26.556862745098041</v>
      </c>
      <c r="Y329">
        <v>109</v>
      </c>
      <c r="Z329">
        <v>0</v>
      </c>
      <c r="AA329">
        <v>114.6301960784314</v>
      </c>
      <c r="AB329">
        <v>350</v>
      </c>
      <c r="AC329">
        <v>0</v>
      </c>
      <c r="AD329">
        <v>26.732758620689651</v>
      </c>
      <c r="AE329">
        <v>114</v>
      </c>
      <c r="AF329">
        <v>0</v>
      </c>
      <c r="AG329">
        <v>115.31896551724139</v>
      </c>
      <c r="AH329">
        <v>350</v>
      </c>
      <c r="AI329">
        <v>0</v>
      </c>
      <c r="AJ329">
        <v>24</v>
      </c>
      <c r="AK329">
        <v>80</v>
      </c>
      <c r="AL329">
        <v>1256</v>
      </c>
      <c r="AM329">
        <v>459</v>
      </c>
      <c r="AN329">
        <v>1715</v>
      </c>
      <c r="AO329">
        <v>231</v>
      </c>
      <c r="AP329">
        <v>511</v>
      </c>
    </row>
    <row r="330" spans="1:42" x14ac:dyDescent="0.3">
      <c r="A330" t="s">
        <v>1381</v>
      </c>
      <c r="B330" t="s">
        <v>40</v>
      </c>
      <c r="C330" t="s">
        <v>1043</v>
      </c>
      <c r="D330" t="s">
        <v>17</v>
      </c>
      <c r="E330" t="s">
        <v>1036</v>
      </c>
      <c r="F330">
        <v>2018</v>
      </c>
      <c r="G330">
        <v>160</v>
      </c>
      <c r="H330">
        <v>1</v>
      </c>
      <c r="I330">
        <v>2</v>
      </c>
      <c r="J330">
        <v>15</v>
      </c>
      <c r="K330">
        <v>24</v>
      </c>
      <c r="L330" t="s">
        <v>1327</v>
      </c>
      <c r="M330">
        <v>33.32093023255814</v>
      </c>
      <c r="N330">
        <v>264</v>
      </c>
      <c r="O330">
        <v>0</v>
      </c>
      <c r="P330">
        <v>33.769230769230766</v>
      </c>
      <c r="Q330">
        <v>87.853846153846149</v>
      </c>
      <c r="R330">
        <v>0.44830053667262598</v>
      </c>
      <c r="S330">
        <v>118</v>
      </c>
      <c r="T330">
        <v>0</v>
      </c>
      <c r="U330">
        <v>28.12903225806452</v>
      </c>
      <c r="V330">
        <v>79</v>
      </c>
      <c r="W330">
        <v>0</v>
      </c>
      <c r="X330">
        <v>26.556862745098041</v>
      </c>
      <c r="Y330">
        <v>109</v>
      </c>
      <c r="Z330">
        <v>0</v>
      </c>
      <c r="AA330">
        <v>114.6301960784314</v>
      </c>
      <c r="AB330">
        <v>350</v>
      </c>
      <c r="AC330">
        <v>0</v>
      </c>
      <c r="AD330">
        <v>26.732758620689651</v>
      </c>
      <c r="AE330">
        <v>114</v>
      </c>
      <c r="AF330">
        <v>0</v>
      </c>
      <c r="AG330">
        <v>115.31896551724139</v>
      </c>
      <c r="AH330">
        <v>350</v>
      </c>
      <c r="AI330">
        <v>0</v>
      </c>
      <c r="AJ330">
        <v>0</v>
      </c>
      <c r="AK330">
        <v>0</v>
      </c>
      <c r="AL330">
        <v>1255</v>
      </c>
      <c r="AM330">
        <v>457</v>
      </c>
      <c r="AN330">
        <v>1712</v>
      </c>
      <c r="AO330">
        <v>40</v>
      </c>
      <c r="AP330">
        <v>508</v>
      </c>
    </row>
    <row r="331" spans="1:42" x14ac:dyDescent="0.3">
      <c r="A331" t="s">
        <v>1741</v>
      </c>
      <c r="B331" t="s">
        <v>60</v>
      </c>
      <c r="C331" t="s">
        <v>1043</v>
      </c>
      <c r="D331" t="s">
        <v>103</v>
      </c>
      <c r="E331" t="s">
        <v>1036</v>
      </c>
      <c r="F331">
        <v>2018</v>
      </c>
      <c r="G331">
        <v>0</v>
      </c>
      <c r="H331">
        <v>0</v>
      </c>
      <c r="I331">
        <v>0</v>
      </c>
      <c r="J331">
        <v>1</v>
      </c>
      <c r="K331">
        <v>0</v>
      </c>
      <c r="L331" t="s">
        <v>1327</v>
      </c>
      <c r="M331">
        <v>33.3986013986014</v>
      </c>
      <c r="N331">
        <v>264</v>
      </c>
      <c r="O331">
        <v>0</v>
      </c>
      <c r="P331">
        <v>43.391304347826093</v>
      </c>
      <c r="Q331">
        <v>100.17391304347829</v>
      </c>
      <c r="R331">
        <v>9.9927029492246859</v>
      </c>
      <c r="S331">
        <v>209</v>
      </c>
      <c r="T331">
        <v>0</v>
      </c>
      <c r="U331">
        <v>25.96875</v>
      </c>
      <c r="V331">
        <v>94</v>
      </c>
      <c r="W331">
        <v>0</v>
      </c>
      <c r="X331">
        <v>26.556862745098041</v>
      </c>
      <c r="Y331">
        <v>109</v>
      </c>
      <c r="Z331">
        <v>0</v>
      </c>
      <c r="AA331">
        <v>114.6301960784314</v>
      </c>
      <c r="AB331">
        <v>350</v>
      </c>
      <c r="AC331">
        <v>0</v>
      </c>
      <c r="AD331">
        <v>26.732758620689651</v>
      </c>
      <c r="AE331">
        <v>114</v>
      </c>
      <c r="AF331">
        <v>0</v>
      </c>
      <c r="AG331">
        <v>115.31896551724139</v>
      </c>
      <c r="AH331">
        <v>350</v>
      </c>
      <c r="AI331">
        <v>0</v>
      </c>
      <c r="AJ331">
        <v>56</v>
      </c>
      <c r="AK331">
        <v>169.7</v>
      </c>
      <c r="AL331">
        <v>1255</v>
      </c>
      <c r="AM331">
        <v>457</v>
      </c>
      <c r="AN331">
        <v>1712</v>
      </c>
      <c r="AO331">
        <v>64</v>
      </c>
      <c r="AP331">
        <v>508</v>
      </c>
    </row>
    <row r="332" spans="1:42" x14ac:dyDescent="0.3">
      <c r="A332" t="s">
        <v>1187</v>
      </c>
      <c r="B332" t="s">
        <v>56</v>
      </c>
      <c r="C332" t="s">
        <v>1043</v>
      </c>
      <c r="D332" t="s">
        <v>100</v>
      </c>
      <c r="E332" t="s">
        <v>1047</v>
      </c>
      <c r="F332">
        <v>2018</v>
      </c>
      <c r="G332">
        <v>169.7</v>
      </c>
      <c r="H332">
        <v>6</v>
      </c>
      <c r="I332">
        <v>2</v>
      </c>
      <c r="J332">
        <v>33</v>
      </c>
      <c r="K332">
        <v>56</v>
      </c>
      <c r="L332" t="s">
        <v>979</v>
      </c>
      <c r="M332">
        <v>33.345794392523374</v>
      </c>
      <c r="N332">
        <v>264</v>
      </c>
      <c r="O332">
        <v>0</v>
      </c>
      <c r="P332">
        <v>25.444444444444439</v>
      </c>
      <c r="Q332">
        <v>86.627777777777794</v>
      </c>
      <c r="R332">
        <v>-7.9013499480789244</v>
      </c>
      <c r="S332">
        <v>85</v>
      </c>
      <c r="T332">
        <v>0</v>
      </c>
      <c r="U332">
        <v>25.6</v>
      </c>
      <c r="V332">
        <v>105</v>
      </c>
      <c r="W332">
        <v>0</v>
      </c>
      <c r="X332">
        <v>26.556862745098041</v>
      </c>
      <c r="Y332">
        <v>109</v>
      </c>
      <c r="Z332">
        <v>0</v>
      </c>
      <c r="AA332">
        <v>114.6301960784314</v>
      </c>
      <c r="AB332">
        <v>350</v>
      </c>
      <c r="AC332">
        <v>0</v>
      </c>
      <c r="AD332">
        <v>27.9758064516129</v>
      </c>
      <c r="AE332">
        <v>105</v>
      </c>
      <c r="AF332">
        <v>0</v>
      </c>
      <c r="AG332">
        <v>110.46935483870971</v>
      </c>
      <c r="AH332">
        <v>280</v>
      </c>
      <c r="AI332">
        <v>0</v>
      </c>
      <c r="AJ332">
        <v>2</v>
      </c>
      <c r="AK332">
        <v>33.299999999999997</v>
      </c>
      <c r="AL332">
        <v>1249</v>
      </c>
      <c r="AM332">
        <v>455</v>
      </c>
      <c r="AN332">
        <v>1704</v>
      </c>
      <c r="AO332">
        <v>21</v>
      </c>
      <c r="AP332">
        <v>500</v>
      </c>
    </row>
    <row r="333" spans="1:42" x14ac:dyDescent="0.3">
      <c r="A333" t="s">
        <v>1691</v>
      </c>
      <c r="B333" t="s">
        <v>53</v>
      </c>
      <c r="C333" t="s">
        <v>1043</v>
      </c>
      <c r="D333" t="s">
        <v>12</v>
      </c>
      <c r="E333" t="s">
        <v>1047</v>
      </c>
      <c r="F333">
        <v>2018</v>
      </c>
      <c r="G333">
        <v>33.299999999999997</v>
      </c>
      <c r="H333">
        <v>0</v>
      </c>
      <c r="I333">
        <v>0</v>
      </c>
      <c r="J333">
        <v>6</v>
      </c>
      <c r="K333">
        <v>2</v>
      </c>
      <c r="L333" t="s">
        <v>1327</v>
      </c>
      <c r="M333">
        <v>33.419203747072601</v>
      </c>
      <c r="N333">
        <v>264</v>
      </c>
      <c r="O333">
        <v>0</v>
      </c>
      <c r="P333">
        <v>31.203883495145629</v>
      </c>
      <c r="Q333">
        <v>120.5689320388349</v>
      </c>
      <c r="R333">
        <v>-2.2153202519269679</v>
      </c>
      <c r="S333">
        <v>162</v>
      </c>
      <c r="T333">
        <v>0</v>
      </c>
      <c r="U333">
        <v>19.375</v>
      </c>
      <c r="V333">
        <v>70</v>
      </c>
      <c r="W333">
        <v>1</v>
      </c>
      <c r="X333">
        <v>26.556862745098041</v>
      </c>
      <c r="Y333">
        <v>109</v>
      </c>
      <c r="Z333">
        <v>0</v>
      </c>
      <c r="AA333">
        <v>114.6301960784314</v>
      </c>
      <c r="AB333">
        <v>350</v>
      </c>
      <c r="AC333">
        <v>0</v>
      </c>
      <c r="AD333">
        <v>27.9758064516129</v>
      </c>
      <c r="AE333">
        <v>105</v>
      </c>
      <c r="AF333">
        <v>0</v>
      </c>
      <c r="AG333">
        <v>110.46935483870971</v>
      </c>
      <c r="AH333">
        <v>280</v>
      </c>
      <c r="AI333">
        <v>0</v>
      </c>
      <c r="AJ333">
        <v>0</v>
      </c>
      <c r="AK333">
        <v>0</v>
      </c>
      <c r="AL333">
        <v>1249</v>
      </c>
      <c r="AM333">
        <v>455</v>
      </c>
      <c r="AN333">
        <v>1704</v>
      </c>
      <c r="AO333">
        <v>231</v>
      </c>
      <c r="AP333">
        <v>500</v>
      </c>
    </row>
    <row r="334" spans="1:42" x14ac:dyDescent="0.3">
      <c r="A334" t="s">
        <v>1742</v>
      </c>
      <c r="B334" t="s">
        <v>4</v>
      </c>
      <c r="C334" t="s">
        <v>1043</v>
      </c>
      <c r="D334" t="s">
        <v>46</v>
      </c>
      <c r="E334" t="s">
        <v>1047</v>
      </c>
      <c r="F334">
        <v>2018</v>
      </c>
      <c r="G334">
        <v>0</v>
      </c>
      <c r="H334">
        <v>0</v>
      </c>
      <c r="I334">
        <v>0</v>
      </c>
      <c r="J334">
        <v>1</v>
      </c>
      <c r="K334">
        <v>0</v>
      </c>
      <c r="L334" t="s">
        <v>1327</v>
      </c>
      <c r="M334">
        <v>33.497652582159617</v>
      </c>
      <c r="N334">
        <v>264</v>
      </c>
      <c r="O334">
        <v>0</v>
      </c>
      <c r="P334">
        <v>31.72727272727273</v>
      </c>
      <c r="Q334">
        <v>85.109090909090909</v>
      </c>
      <c r="R334">
        <v>-1.770379854886897</v>
      </c>
      <c r="S334">
        <v>141</v>
      </c>
      <c r="T334">
        <v>0</v>
      </c>
      <c r="U334">
        <v>20.68965517241379</v>
      </c>
      <c r="V334">
        <v>73</v>
      </c>
      <c r="W334">
        <v>0</v>
      </c>
      <c r="X334">
        <v>26.556862745098041</v>
      </c>
      <c r="Y334">
        <v>109</v>
      </c>
      <c r="Z334">
        <v>0</v>
      </c>
      <c r="AA334">
        <v>114.6301960784314</v>
      </c>
      <c r="AB334">
        <v>350</v>
      </c>
      <c r="AC334">
        <v>0</v>
      </c>
      <c r="AD334">
        <v>27.9758064516129</v>
      </c>
      <c r="AE334">
        <v>105</v>
      </c>
      <c r="AF334">
        <v>0</v>
      </c>
      <c r="AG334">
        <v>110.46935483870971</v>
      </c>
      <c r="AH334">
        <v>280</v>
      </c>
      <c r="AI334">
        <v>0</v>
      </c>
      <c r="AJ334">
        <v>94</v>
      </c>
      <c r="AK334">
        <v>180.8</v>
      </c>
      <c r="AL334">
        <v>1249</v>
      </c>
      <c r="AM334">
        <v>455</v>
      </c>
      <c r="AN334">
        <v>1704</v>
      </c>
      <c r="AO334">
        <v>26</v>
      </c>
      <c r="AP334">
        <v>500</v>
      </c>
    </row>
    <row r="335" spans="1:42" x14ac:dyDescent="0.3">
      <c r="A335" t="s">
        <v>1066</v>
      </c>
      <c r="B335" t="s">
        <v>60</v>
      </c>
      <c r="C335" t="s">
        <v>1043</v>
      </c>
      <c r="D335" t="s">
        <v>12</v>
      </c>
      <c r="E335" t="s">
        <v>1047</v>
      </c>
      <c r="F335">
        <v>2018</v>
      </c>
      <c r="G335">
        <v>180.8</v>
      </c>
      <c r="H335">
        <v>10</v>
      </c>
      <c r="I335">
        <v>5</v>
      </c>
      <c r="J335">
        <v>52</v>
      </c>
      <c r="K335">
        <v>94</v>
      </c>
      <c r="L335" t="s">
        <v>979</v>
      </c>
      <c r="M335">
        <v>33.355294117647063</v>
      </c>
      <c r="N335">
        <v>264</v>
      </c>
      <c r="O335">
        <v>0</v>
      </c>
      <c r="P335">
        <v>31.203883495145629</v>
      </c>
      <c r="Q335">
        <v>120.5689320388349</v>
      </c>
      <c r="R335">
        <v>-2.1514106225014231</v>
      </c>
      <c r="S335">
        <v>162</v>
      </c>
      <c r="T335">
        <v>0</v>
      </c>
      <c r="U335">
        <v>25.96875</v>
      </c>
      <c r="V335">
        <v>94</v>
      </c>
      <c r="W335">
        <v>0</v>
      </c>
      <c r="X335">
        <v>26.556862745098041</v>
      </c>
      <c r="Y335">
        <v>109</v>
      </c>
      <c r="Z335">
        <v>0</v>
      </c>
      <c r="AA335">
        <v>114.6301960784314</v>
      </c>
      <c r="AB335">
        <v>350</v>
      </c>
      <c r="AC335">
        <v>0</v>
      </c>
      <c r="AD335">
        <v>27.9758064516129</v>
      </c>
      <c r="AE335">
        <v>105</v>
      </c>
      <c r="AF335">
        <v>0</v>
      </c>
      <c r="AG335">
        <v>110.46935483870971</v>
      </c>
      <c r="AH335">
        <v>280</v>
      </c>
      <c r="AI335">
        <v>0</v>
      </c>
      <c r="AJ335">
        <v>29</v>
      </c>
      <c r="AK335">
        <v>115</v>
      </c>
      <c r="AL335">
        <v>1239</v>
      </c>
      <c r="AM335">
        <v>450</v>
      </c>
      <c r="AN335">
        <v>1689</v>
      </c>
      <c r="AO335">
        <v>216</v>
      </c>
      <c r="AP335">
        <v>485</v>
      </c>
    </row>
    <row r="336" spans="1:42" x14ac:dyDescent="0.3">
      <c r="A336" t="s">
        <v>1436</v>
      </c>
      <c r="B336" t="s">
        <v>8</v>
      </c>
      <c r="C336" t="s">
        <v>1043</v>
      </c>
      <c r="D336" t="s">
        <v>12</v>
      </c>
      <c r="E336" t="s">
        <v>1047</v>
      </c>
      <c r="F336">
        <v>2018</v>
      </c>
      <c r="G336">
        <v>120</v>
      </c>
      <c r="H336">
        <v>2</v>
      </c>
      <c r="I336">
        <v>0</v>
      </c>
      <c r="J336">
        <v>15</v>
      </c>
      <c r="K336">
        <v>18</v>
      </c>
      <c r="L336" t="s">
        <v>1327</v>
      </c>
      <c r="M336">
        <v>33.391509433962263</v>
      </c>
      <c r="N336">
        <v>264</v>
      </c>
      <c r="O336">
        <v>0</v>
      </c>
      <c r="P336">
        <v>31.203883495145629</v>
      </c>
      <c r="Q336">
        <v>120.5689320388349</v>
      </c>
      <c r="R336">
        <v>-2.1876259388166299</v>
      </c>
      <c r="S336">
        <v>162</v>
      </c>
      <c r="T336">
        <v>0</v>
      </c>
      <c r="U336">
        <v>28.567567567567568</v>
      </c>
      <c r="V336">
        <v>74</v>
      </c>
      <c r="W336">
        <v>0</v>
      </c>
      <c r="X336">
        <v>26.556862745098041</v>
      </c>
      <c r="Y336">
        <v>109</v>
      </c>
      <c r="Z336">
        <v>0</v>
      </c>
      <c r="AA336">
        <v>114.6301960784314</v>
      </c>
      <c r="AB336">
        <v>350</v>
      </c>
      <c r="AC336">
        <v>0</v>
      </c>
      <c r="AD336">
        <v>27.9758064516129</v>
      </c>
      <c r="AE336">
        <v>105</v>
      </c>
      <c r="AF336">
        <v>0</v>
      </c>
      <c r="AG336">
        <v>110.46935483870971</v>
      </c>
      <c r="AH336">
        <v>280</v>
      </c>
      <c r="AI336">
        <v>0</v>
      </c>
      <c r="AJ336">
        <v>11</v>
      </c>
      <c r="AK336">
        <v>110</v>
      </c>
      <c r="AL336">
        <v>1237</v>
      </c>
      <c r="AM336">
        <v>450</v>
      </c>
      <c r="AN336">
        <v>1687</v>
      </c>
      <c r="AO336">
        <v>214</v>
      </c>
      <c r="AP336">
        <v>483</v>
      </c>
    </row>
    <row r="337" spans="1:42" x14ac:dyDescent="0.3">
      <c r="A337" t="s">
        <v>1527</v>
      </c>
      <c r="B337" t="s">
        <v>53</v>
      </c>
      <c r="C337" t="s">
        <v>1043</v>
      </c>
      <c r="D337" t="s">
        <v>54</v>
      </c>
      <c r="E337" t="s">
        <v>1047</v>
      </c>
      <c r="F337">
        <v>2018</v>
      </c>
      <c r="G337">
        <v>110</v>
      </c>
      <c r="H337">
        <v>1</v>
      </c>
      <c r="I337">
        <v>1</v>
      </c>
      <c r="J337">
        <v>10</v>
      </c>
      <c r="K337">
        <v>11</v>
      </c>
      <c r="L337" t="s">
        <v>1327</v>
      </c>
      <c r="M337">
        <v>33.444444444444443</v>
      </c>
      <c r="N337">
        <v>264</v>
      </c>
      <c r="O337">
        <v>0</v>
      </c>
      <c r="P337">
        <v>30</v>
      </c>
      <c r="Q337">
        <v>129.072</v>
      </c>
      <c r="R337">
        <v>-3.4444444444444429</v>
      </c>
      <c r="S337">
        <v>76</v>
      </c>
      <c r="T337">
        <v>1</v>
      </c>
      <c r="U337">
        <v>19.375</v>
      </c>
      <c r="V337">
        <v>70</v>
      </c>
      <c r="W337">
        <v>1</v>
      </c>
      <c r="X337">
        <v>26.556862745098041</v>
      </c>
      <c r="Y337">
        <v>109</v>
      </c>
      <c r="Z337">
        <v>0</v>
      </c>
      <c r="AA337">
        <v>114.6301960784314</v>
      </c>
      <c r="AB337">
        <v>350</v>
      </c>
      <c r="AC337">
        <v>0</v>
      </c>
      <c r="AD337">
        <v>27.9758064516129</v>
      </c>
      <c r="AE337">
        <v>105</v>
      </c>
      <c r="AF337">
        <v>0</v>
      </c>
      <c r="AG337">
        <v>110.46935483870971</v>
      </c>
      <c r="AH337">
        <v>280</v>
      </c>
      <c r="AI337">
        <v>0</v>
      </c>
      <c r="AJ337">
        <v>15</v>
      </c>
      <c r="AK337">
        <v>83.3</v>
      </c>
      <c r="AL337">
        <v>1236</v>
      </c>
      <c r="AM337">
        <v>449</v>
      </c>
      <c r="AN337">
        <v>1685</v>
      </c>
      <c r="AO337">
        <v>60</v>
      </c>
      <c r="AP337">
        <v>481</v>
      </c>
    </row>
    <row r="338" spans="1:42" x14ac:dyDescent="0.3">
      <c r="A338" t="s">
        <v>1466</v>
      </c>
      <c r="B338" t="s">
        <v>56</v>
      </c>
      <c r="C338" t="s">
        <v>1043</v>
      </c>
      <c r="D338" t="s">
        <v>12</v>
      </c>
      <c r="E338" t="s">
        <v>1047</v>
      </c>
      <c r="F338">
        <v>2018</v>
      </c>
      <c r="G338">
        <v>83.3</v>
      </c>
      <c r="H338">
        <v>1</v>
      </c>
      <c r="I338">
        <v>1</v>
      </c>
      <c r="J338">
        <v>18</v>
      </c>
      <c r="K338">
        <v>15</v>
      </c>
      <c r="L338" t="s">
        <v>1327</v>
      </c>
      <c r="M338">
        <v>33.488151658767769</v>
      </c>
      <c r="N338">
        <v>264</v>
      </c>
      <c r="O338">
        <v>0</v>
      </c>
      <c r="P338">
        <v>31.203883495145629</v>
      </c>
      <c r="Q338">
        <v>120.5689320388349</v>
      </c>
      <c r="R338">
        <v>-2.2842681636221371</v>
      </c>
      <c r="S338">
        <v>162</v>
      </c>
      <c r="T338">
        <v>0</v>
      </c>
      <c r="U338">
        <v>25.6</v>
      </c>
      <c r="V338">
        <v>105</v>
      </c>
      <c r="W338">
        <v>0</v>
      </c>
      <c r="X338">
        <v>26.556862745098041</v>
      </c>
      <c r="Y338">
        <v>109</v>
      </c>
      <c r="Z338">
        <v>0</v>
      </c>
      <c r="AA338">
        <v>114.6301960784314</v>
      </c>
      <c r="AB338">
        <v>350</v>
      </c>
      <c r="AC338">
        <v>0</v>
      </c>
      <c r="AD338">
        <v>27.9758064516129</v>
      </c>
      <c r="AE338">
        <v>105</v>
      </c>
      <c r="AF338">
        <v>0</v>
      </c>
      <c r="AG338">
        <v>110.46935483870971</v>
      </c>
      <c r="AH338">
        <v>280</v>
      </c>
      <c r="AI338">
        <v>0</v>
      </c>
      <c r="AL338">
        <v>1235</v>
      </c>
      <c r="AM338">
        <v>448</v>
      </c>
      <c r="AN338">
        <v>1683</v>
      </c>
      <c r="AO338">
        <v>212</v>
      </c>
      <c r="AP338">
        <v>479</v>
      </c>
    </row>
    <row r="339" spans="1:42" x14ac:dyDescent="0.3">
      <c r="A339" t="s">
        <v>1188</v>
      </c>
      <c r="B339" t="s">
        <v>73</v>
      </c>
      <c r="C339" t="s">
        <v>5</v>
      </c>
      <c r="D339" t="s">
        <v>116</v>
      </c>
      <c r="E339" t="s">
        <v>1016</v>
      </c>
      <c r="F339">
        <v>2018</v>
      </c>
      <c r="G339">
        <v>133.30000000000001</v>
      </c>
      <c r="H339">
        <v>4</v>
      </c>
      <c r="I339">
        <v>3</v>
      </c>
      <c r="J339">
        <v>42</v>
      </c>
      <c r="K339">
        <v>56</v>
      </c>
      <c r="L339" t="s">
        <v>979</v>
      </c>
      <c r="M339">
        <v>33.434679334916858</v>
      </c>
      <c r="N339">
        <v>264</v>
      </c>
      <c r="O339">
        <v>0</v>
      </c>
      <c r="P339">
        <v>32.821428571428569</v>
      </c>
      <c r="Q339">
        <v>89.621428571428581</v>
      </c>
      <c r="R339">
        <v>-0.61325076348829555</v>
      </c>
      <c r="S339">
        <v>113</v>
      </c>
      <c r="T339">
        <v>0</v>
      </c>
      <c r="U339">
        <v>38.228571428571428</v>
      </c>
      <c r="V339">
        <v>137</v>
      </c>
      <c r="W339">
        <v>0</v>
      </c>
      <c r="X339">
        <v>28.189024390243901</v>
      </c>
      <c r="Y339">
        <v>121</v>
      </c>
      <c r="Z339">
        <v>0</v>
      </c>
      <c r="AA339">
        <v>116.45060975609761</v>
      </c>
      <c r="AB339">
        <v>274.39999999999998</v>
      </c>
      <c r="AC339">
        <v>0</v>
      </c>
      <c r="AD339">
        <v>34.313432835820898</v>
      </c>
      <c r="AE339">
        <v>137</v>
      </c>
      <c r="AF339">
        <v>0</v>
      </c>
      <c r="AG339">
        <v>101.9507462686567</v>
      </c>
      <c r="AH339">
        <v>216.7</v>
      </c>
      <c r="AI339">
        <v>0</v>
      </c>
      <c r="AJ339">
        <v>89</v>
      </c>
      <c r="AK339">
        <v>145.9</v>
      </c>
      <c r="AL339">
        <v>1231</v>
      </c>
      <c r="AM339">
        <v>445</v>
      </c>
      <c r="AN339">
        <v>1676</v>
      </c>
      <c r="AO339">
        <v>62</v>
      </c>
      <c r="AP339">
        <v>285</v>
      </c>
    </row>
    <row r="340" spans="1:42" x14ac:dyDescent="0.3">
      <c r="A340" t="s">
        <v>1073</v>
      </c>
      <c r="B340" t="s">
        <v>73</v>
      </c>
      <c r="C340" t="s">
        <v>5</v>
      </c>
      <c r="D340" t="s">
        <v>116</v>
      </c>
      <c r="E340" t="s">
        <v>1016</v>
      </c>
      <c r="F340">
        <v>2018</v>
      </c>
      <c r="G340">
        <v>145.9</v>
      </c>
      <c r="H340">
        <v>5</v>
      </c>
      <c r="I340">
        <v>5</v>
      </c>
      <c r="J340">
        <v>61</v>
      </c>
      <c r="K340">
        <v>89</v>
      </c>
      <c r="L340" t="s">
        <v>979</v>
      </c>
      <c r="M340">
        <v>33.30238095238095</v>
      </c>
      <c r="N340">
        <v>264</v>
      </c>
      <c r="O340">
        <v>0</v>
      </c>
      <c r="P340">
        <v>32.821428571428569</v>
      </c>
      <c r="Q340">
        <v>89.621428571428581</v>
      </c>
      <c r="R340">
        <v>-0.48095238095238102</v>
      </c>
      <c r="S340">
        <v>113</v>
      </c>
      <c r="T340">
        <v>0</v>
      </c>
      <c r="U340">
        <v>38.228571428571428</v>
      </c>
      <c r="V340">
        <v>137</v>
      </c>
      <c r="W340">
        <v>0</v>
      </c>
      <c r="X340">
        <v>28.189024390243901</v>
      </c>
      <c r="Y340">
        <v>121</v>
      </c>
      <c r="Z340">
        <v>0</v>
      </c>
      <c r="AA340">
        <v>116.45060975609761</v>
      </c>
      <c r="AB340">
        <v>274.39999999999998</v>
      </c>
      <c r="AC340">
        <v>0</v>
      </c>
      <c r="AD340">
        <v>34.313432835820898</v>
      </c>
      <c r="AE340">
        <v>137</v>
      </c>
      <c r="AF340">
        <v>0</v>
      </c>
      <c r="AG340">
        <v>101.9507462686567</v>
      </c>
      <c r="AH340">
        <v>216.7</v>
      </c>
      <c r="AI340">
        <v>0</v>
      </c>
      <c r="AJ340">
        <v>11</v>
      </c>
      <c r="AK340">
        <v>157.1</v>
      </c>
      <c r="AL340">
        <v>1226</v>
      </c>
      <c r="AM340">
        <v>440</v>
      </c>
      <c r="AN340">
        <v>1666</v>
      </c>
      <c r="AO340">
        <v>52</v>
      </c>
      <c r="AP340">
        <v>275</v>
      </c>
    </row>
    <row r="341" spans="1:42" x14ac:dyDescent="0.3">
      <c r="A341" t="s">
        <v>1528</v>
      </c>
      <c r="B341" t="s">
        <v>115</v>
      </c>
      <c r="C341" t="s">
        <v>5</v>
      </c>
      <c r="D341" t="s">
        <v>116</v>
      </c>
      <c r="E341" t="s">
        <v>1016</v>
      </c>
      <c r="F341">
        <v>2018</v>
      </c>
      <c r="G341">
        <v>157.1</v>
      </c>
      <c r="H341">
        <v>1</v>
      </c>
      <c r="I341">
        <v>1</v>
      </c>
      <c r="J341">
        <v>7</v>
      </c>
      <c r="K341">
        <v>11</v>
      </c>
      <c r="L341" t="s">
        <v>1327</v>
      </c>
      <c r="M341">
        <v>33.355608591885442</v>
      </c>
      <c r="N341">
        <v>264</v>
      </c>
      <c r="O341">
        <v>0</v>
      </c>
      <c r="P341">
        <v>32.821428571428569</v>
      </c>
      <c r="Q341">
        <v>89.621428571428581</v>
      </c>
      <c r="R341">
        <v>-0.53418002045687274</v>
      </c>
      <c r="S341">
        <v>113</v>
      </c>
      <c r="T341">
        <v>0</v>
      </c>
      <c r="U341">
        <v>38.236842105263158</v>
      </c>
      <c r="V341">
        <v>264</v>
      </c>
      <c r="W341">
        <v>0</v>
      </c>
      <c r="X341">
        <v>28.189024390243901</v>
      </c>
      <c r="Y341">
        <v>121</v>
      </c>
      <c r="Z341">
        <v>0</v>
      </c>
      <c r="AA341">
        <v>116.45060975609761</v>
      </c>
      <c r="AB341">
        <v>274.39999999999998</v>
      </c>
      <c r="AC341">
        <v>0</v>
      </c>
      <c r="AD341">
        <v>34.313432835820898</v>
      </c>
      <c r="AE341">
        <v>137</v>
      </c>
      <c r="AF341">
        <v>0</v>
      </c>
      <c r="AG341">
        <v>101.9507462686567</v>
      </c>
      <c r="AH341">
        <v>216.7</v>
      </c>
      <c r="AI341">
        <v>0</v>
      </c>
      <c r="AJ341">
        <v>17</v>
      </c>
      <c r="AK341">
        <v>130.80000000000001</v>
      </c>
      <c r="AL341">
        <v>1225</v>
      </c>
      <c r="AM341">
        <v>439</v>
      </c>
      <c r="AN341">
        <v>1664</v>
      </c>
      <c r="AO341">
        <v>50</v>
      </c>
      <c r="AP341">
        <v>273</v>
      </c>
    </row>
    <row r="342" spans="1:42" x14ac:dyDescent="0.3">
      <c r="A342" t="s">
        <v>1450</v>
      </c>
      <c r="B342" t="s">
        <v>73</v>
      </c>
      <c r="C342" t="s">
        <v>5</v>
      </c>
      <c r="D342" t="s">
        <v>116</v>
      </c>
      <c r="E342" t="s">
        <v>1016</v>
      </c>
      <c r="F342">
        <v>2018</v>
      </c>
      <c r="G342">
        <v>130.80000000000001</v>
      </c>
      <c r="H342">
        <v>3</v>
      </c>
      <c r="I342">
        <v>0</v>
      </c>
      <c r="J342">
        <v>13</v>
      </c>
      <c r="K342">
        <v>17</v>
      </c>
      <c r="L342" t="s">
        <v>1327</v>
      </c>
      <c r="M342">
        <v>33.39473684210526</v>
      </c>
      <c r="N342">
        <v>264</v>
      </c>
      <c r="O342">
        <v>0</v>
      </c>
      <c r="P342">
        <v>32.821428571428569</v>
      </c>
      <c r="Q342">
        <v>89.621428571428581</v>
      </c>
      <c r="R342">
        <v>-0.57330827067669077</v>
      </c>
      <c r="S342">
        <v>113</v>
      </c>
      <c r="T342">
        <v>0</v>
      </c>
      <c r="U342">
        <v>38.228571428571428</v>
      </c>
      <c r="V342">
        <v>137</v>
      </c>
      <c r="W342">
        <v>0</v>
      </c>
      <c r="X342">
        <v>28.189024390243901</v>
      </c>
      <c r="Y342">
        <v>121</v>
      </c>
      <c r="Z342">
        <v>0</v>
      </c>
      <c r="AA342">
        <v>116.45060975609761</v>
      </c>
      <c r="AB342">
        <v>274.39999999999998</v>
      </c>
      <c r="AC342">
        <v>0</v>
      </c>
      <c r="AD342">
        <v>34.313432835820898</v>
      </c>
      <c r="AE342">
        <v>137</v>
      </c>
      <c r="AF342">
        <v>0</v>
      </c>
      <c r="AG342">
        <v>101.9507462686567</v>
      </c>
      <c r="AH342">
        <v>216.7</v>
      </c>
      <c r="AI342">
        <v>0</v>
      </c>
      <c r="AJ342">
        <v>0</v>
      </c>
      <c r="AK342">
        <v>0</v>
      </c>
      <c r="AL342">
        <v>1222</v>
      </c>
      <c r="AM342">
        <v>439</v>
      </c>
      <c r="AN342">
        <v>1661</v>
      </c>
      <c r="AO342">
        <v>47</v>
      </c>
      <c r="AP342">
        <v>270</v>
      </c>
    </row>
    <row r="343" spans="1:42" x14ac:dyDescent="0.3">
      <c r="A343" t="s">
        <v>1743</v>
      </c>
      <c r="B343" t="s">
        <v>115</v>
      </c>
      <c r="C343" t="s">
        <v>5</v>
      </c>
      <c r="D343" t="s">
        <v>116</v>
      </c>
      <c r="E343" t="s">
        <v>1016</v>
      </c>
      <c r="F343">
        <v>2018</v>
      </c>
      <c r="G343">
        <v>0</v>
      </c>
      <c r="H343">
        <v>0</v>
      </c>
      <c r="I343">
        <v>0</v>
      </c>
      <c r="J343">
        <v>4</v>
      </c>
      <c r="K343">
        <v>0</v>
      </c>
      <c r="L343" t="s">
        <v>1327</v>
      </c>
      <c r="M343">
        <v>33.474820143884891</v>
      </c>
      <c r="N343">
        <v>264</v>
      </c>
      <c r="O343">
        <v>0</v>
      </c>
      <c r="P343">
        <v>32.821428571428569</v>
      </c>
      <c r="Q343">
        <v>89.621428571428581</v>
      </c>
      <c r="R343">
        <v>-0.65339157245632151</v>
      </c>
      <c r="S343">
        <v>113</v>
      </c>
      <c r="T343">
        <v>0</v>
      </c>
      <c r="U343">
        <v>38.236842105263158</v>
      </c>
      <c r="V343">
        <v>264</v>
      </c>
      <c r="W343">
        <v>0</v>
      </c>
      <c r="X343">
        <v>28.189024390243901</v>
      </c>
      <c r="Y343">
        <v>121</v>
      </c>
      <c r="Z343">
        <v>0</v>
      </c>
      <c r="AA343">
        <v>116.45060975609761</v>
      </c>
      <c r="AB343">
        <v>274.39999999999998</v>
      </c>
      <c r="AC343">
        <v>0</v>
      </c>
      <c r="AD343">
        <v>34.313432835820898</v>
      </c>
      <c r="AE343">
        <v>137</v>
      </c>
      <c r="AF343">
        <v>0</v>
      </c>
      <c r="AG343">
        <v>101.9507462686567</v>
      </c>
      <c r="AH343">
        <v>216.7</v>
      </c>
      <c r="AI343">
        <v>0</v>
      </c>
      <c r="AL343">
        <v>1222</v>
      </c>
      <c r="AM343">
        <v>439</v>
      </c>
      <c r="AN343">
        <v>1661</v>
      </c>
      <c r="AO343">
        <v>47</v>
      </c>
      <c r="AP343">
        <v>270</v>
      </c>
    </row>
    <row r="344" spans="1:42" x14ac:dyDescent="0.3">
      <c r="A344" t="s">
        <v>1529</v>
      </c>
      <c r="B344" t="s">
        <v>24</v>
      </c>
      <c r="C344" t="s">
        <v>5</v>
      </c>
      <c r="D344" t="s">
        <v>176</v>
      </c>
      <c r="E344" t="s">
        <v>990</v>
      </c>
      <c r="F344">
        <v>2018</v>
      </c>
      <c r="G344">
        <v>137.5</v>
      </c>
      <c r="H344">
        <v>2</v>
      </c>
      <c r="I344">
        <v>0</v>
      </c>
      <c r="J344">
        <v>8</v>
      </c>
      <c r="K344">
        <v>11</v>
      </c>
      <c r="L344" t="s">
        <v>1327</v>
      </c>
      <c r="M344">
        <v>33.528846153846153</v>
      </c>
      <c r="N344">
        <v>264</v>
      </c>
      <c r="O344">
        <v>0</v>
      </c>
      <c r="P344">
        <v>28.285714285714281</v>
      </c>
      <c r="Q344">
        <v>82.242857142857147</v>
      </c>
      <c r="R344">
        <v>-5.2431318681318686</v>
      </c>
      <c r="S344">
        <v>55</v>
      </c>
      <c r="T344">
        <v>0</v>
      </c>
      <c r="U344">
        <v>37.163636363636357</v>
      </c>
      <c r="V344">
        <v>303</v>
      </c>
      <c r="W344">
        <v>0</v>
      </c>
      <c r="X344">
        <v>28.189024390243901</v>
      </c>
      <c r="Y344">
        <v>121</v>
      </c>
      <c r="Z344">
        <v>0</v>
      </c>
      <c r="AA344">
        <v>116.45060975609761</v>
      </c>
      <c r="AB344">
        <v>274.39999999999998</v>
      </c>
      <c r="AC344">
        <v>0</v>
      </c>
      <c r="AD344">
        <v>31.115942028985511</v>
      </c>
      <c r="AE344">
        <v>187</v>
      </c>
      <c r="AF344">
        <v>0</v>
      </c>
      <c r="AG344">
        <v>73.336956521739125</v>
      </c>
      <c r="AH344">
        <v>233.3</v>
      </c>
      <c r="AI344">
        <v>0</v>
      </c>
      <c r="AJ344">
        <v>0</v>
      </c>
      <c r="AK344">
        <v>0</v>
      </c>
      <c r="AL344">
        <v>1220</v>
      </c>
      <c r="AM344">
        <v>439</v>
      </c>
      <c r="AN344">
        <v>1659</v>
      </c>
      <c r="AO344">
        <v>14</v>
      </c>
      <c r="AP344">
        <v>268</v>
      </c>
    </row>
    <row r="345" spans="1:42" x14ac:dyDescent="0.3">
      <c r="A345" t="s">
        <v>1744</v>
      </c>
      <c r="B345" t="s">
        <v>24</v>
      </c>
      <c r="C345" t="s">
        <v>5</v>
      </c>
      <c r="D345" t="s">
        <v>180</v>
      </c>
      <c r="E345" t="s">
        <v>990</v>
      </c>
      <c r="F345">
        <v>2018</v>
      </c>
      <c r="G345">
        <v>0</v>
      </c>
      <c r="H345">
        <v>0</v>
      </c>
      <c r="I345">
        <v>0</v>
      </c>
      <c r="J345">
        <v>1</v>
      </c>
      <c r="K345">
        <v>0</v>
      </c>
      <c r="L345" t="s">
        <v>1327</v>
      </c>
      <c r="M345">
        <v>33.609638554216858</v>
      </c>
      <c r="N345">
        <v>264</v>
      </c>
      <c r="O345">
        <v>0</v>
      </c>
      <c r="P345">
        <v>16.899999999999999</v>
      </c>
      <c r="Q345">
        <v>68.815000000000012</v>
      </c>
      <c r="R345">
        <v>-16.70963855421687</v>
      </c>
      <c r="S345">
        <v>57</v>
      </c>
      <c r="T345">
        <v>0</v>
      </c>
      <c r="U345">
        <v>37.163636363636357</v>
      </c>
      <c r="V345">
        <v>303</v>
      </c>
      <c r="W345">
        <v>0</v>
      </c>
      <c r="X345">
        <v>28.189024390243901</v>
      </c>
      <c r="Y345">
        <v>121</v>
      </c>
      <c r="Z345">
        <v>0</v>
      </c>
      <c r="AA345">
        <v>116.45060975609761</v>
      </c>
      <c r="AB345">
        <v>274.39999999999998</v>
      </c>
      <c r="AC345">
        <v>0</v>
      </c>
      <c r="AD345">
        <v>31.115942028985511</v>
      </c>
      <c r="AE345">
        <v>187</v>
      </c>
      <c r="AF345">
        <v>0</v>
      </c>
      <c r="AG345">
        <v>73.336956521739125</v>
      </c>
      <c r="AH345">
        <v>233.3</v>
      </c>
      <c r="AI345">
        <v>0</v>
      </c>
      <c r="AJ345">
        <v>36</v>
      </c>
      <c r="AK345">
        <v>174.35</v>
      </c>
      <c r="AL345">
        <v>1220</v>
      </c>
      <c r="AM345">
        <v>439</v>
      </c>
      <c r="AN345">
        <v>1659</v>
      </c>
      <c r="AO345">
        <v>22</v>
      </c>
      <c r="AP345">
        <v>268</v>
      </c>
    </row>
    <row r="346" spans="1:42" x14ac:dyDescent="0.3">
      <c r="A346" t="s">
        <v>1404</v>
      </c>
      <c r="B346" t="s">
        <v>24</v>
      </c>
      <c r="C346" t="s">
        <v>5</v>
      </c>
      <c r="D346" t="s">
        <v>530</v>
      </c>
      <c r="E346" t="s">
        <v>990</v>
      </c>
      <c r="F346">
        <v>2018</v>
      </c>
      <c r="G346">
        <v>233.3</v>
      </c>
      <c r="H346">
        <v>2</v>
      </c>
      <c r="I346">
        <v>2</v>
      </c>
      <c r="J346">
        <v>9</v>
      </c>
      <c r="K346">
        <v>21</v>
      </c>
      <c r="L346" t="s">
        <v>1327</v>
      </c>
      <c r="M346">
        <v>33.640096618357489</v>
      </c>
      <c r="N346">
        <v>264</v>
      </c>
      <c r="O346">
        <v>0</v>
      </c>
      <c r="P346">
        <v>22.333333333333329</v>
      </c>
      <c r="Q346">
        <v>124.1333333333333</v>
      </c>
      <c r="R346">
        <v>-11.306763285024161</v>
      </c>
      <c r="S346">
        <v>42</v>
      </c>
      <c r="T346">
        <v>5</v>
      </c>
      <c r="U346">
        <v>37.163636363636357</v>
      </c>
      <c r="V346">
        <v>303</v>
      </c>
      <c r="W346">
        <v>0</v>
      </c>
      <c r="X346">
        <v>28.189024390243901</v>
      </c>
      <c r="Y346">
        <v>121</v>
      </c>
      <c r="Z346">
        <v>0</v>
      </c>
      <c r="AA346">
        <v>116.45060975609761</v>
      </c>
      <c r="AB346">
        <v>274.39999999999998</v>
      </c>
      <c r="AC346">
        <v>0</v>
      </c>
      <c r="AD346">
        <v>31.115942028985511</v>
      </c>
      <c r="AE346">
        <v>187</v>
      </c>
      <c r="AF346">
        <v>0</v>
      </c>
      <c r="AG346">
        <v>73.336956521739125</v>
      </c>
      <c r="AH346">
        <v>233.3</v>
      </c>
      <c r="AI346">
        <v>0</v>
      </c>
      <c r="AJ346">
        <v>130</v>
      </c>
      <c r="AK346">
        <v>103.35</v>
      </c>
      <c r="AL346">
        <v>1218</v>
      </c>
      <c r="AM346">
        <v>437</v>
      </c>
      <c r="AN346">
        <v>1655</v>
      </c>
      <c r="AO346">
        <v>22</v>
      </c>
      <c r="AP346">
        <v>264</v>
      </c>
    </row>
    <row r="347" spans="1:42" x14ac:dyDescent="0.3">
      <c r="A347" t="s">
        <v>1467</v>
      </c>
      <c r="B347" t="s">
        <v>24</v>
      </c>
      <c r="C347" t="s">
        <v>16</v>
      </c>
      <c r="D347" t="s">
        <v>180</v>
      </c>
      <c r="E347" t="s">
        <v>990</v>
      </c>
      <c r="F347">
        <v>2018</v>
      </c>
      <c r="G347">
        <v>115.4</v>
      </c>
      <c r="H347">
        <v>3</v>
      </c>
      <c r="I347">
        <v>0</v>
      </c>
      <c r="J347">
        <v>13</v>
      </c>
      <c r="K347">
        <v>15</v>
      </c>
      <c r="L347" t="s">
        <v>1327</v>
      </c>
      <c r="M347">
        <v>33.685230024213077</v>
      </c>
      <c r="N347">
        <v>264</v>
      </c>
      <c r="O347">
        <v>0</v>
      </c>
      <c r="P347">
        <v>16.899999999999999</v>
      </c>
      <c r="Q347">
        <v>68.815000000000012</v>
      </c>
      <c r="R347">
        <v>-16.785230024213082</v>
      </c>
      <c r="S347">
        <v>57</v>
      </c>
      <c r="T347">
        <v>0</v>
      </c>
      <c r="U347">
        <v>37.163636363636357</v>
      </c>
      <c r="V347">
        <v>303</v>
      </c>
      <c r="W347">
        <v>0</v>
      </c>
      <c r="X347">
        <v>42.251824817518248</v>
      </c>
      <c r="Y347">
        <v>264</v>
      </c>
      <c r="Z347">
        <v>0</v>
      </c>
      <c r="AA347">
        <v>77.646715328467153</v>
      </c>
      <c r="AB347">
        <v>200</v>
      </c>
      <c r="AC347">
        <v>0</v>
      </c>
      <c r="AD347">
        <v>31.115942028985511</v>
      </c>
      <c r="AE347">
        <v>187</v>
      </c>
      <c r="AF347">
        <v>0</v>
      </c>
      <c r="AG347">
        <v>73.336956521739125</v>
      </c>
      <c r="AH347">
        <v>233.3</v>
      </c>
      <c r="AI347">
        <v>0</v>
      </c>
      <c r="AJ347">
        <v>115</v>
      </c>
      <c r="AK347">
        <v>91.3</v>
      </c>
      <c r="AL347">
        <v>1215</v>
      </c>
      <c r="AM347">
        <v>437</v>
      </c>
      <c r="AN347">
        <v>1652</v>
      </c>
      <c r="AO347">
        <v>19</v>
      </c>
      <c r="AP347">
        <v>736</v>
      </c>
    </row>
    <row r="348" spans="1:42" x14ac:dyDescent="0.3">
      <c r="A348" t="s">
        <v>1033</v>
      </c>
      <c r="B348" t="s">
        <v>24</v>
      </c>
      <c r="C348" t="s">
        <v>16</v>
      </c>
      <c r="D348" t="s">
        <v>532</v>
      </c>
      <c r="E348" t="s">
        <v>990</v>
      </c>
      <c r="F348">
        <v>2018</v>
      </c>
      <c r="G348">
        <v>91.3</v>
      </c>
      <c r="H348">
        <v>11</v>
      </c>
      <c r="I348">
        <v>4</v>
      </c>
      <c r="J348">
        <v>126</v>
      </c>
      <c r="K348">
        <v>115</v>
      </c>
      <c r="L348" t="s">
        <v>979</v>
      </c>
      <c r="M348">
        <v>33.487864077669897</v>
      </c>
      <c r="N348">
        <v>264</v>
      </c>
      <c r="O348">
        <v>0</v>
      </c>
      <c r="P348">
        <v>51.333333333333343</v>
      </c>
      <c r="Q348">
        <v>75.600000000000009</v>
      </c>
      <c r="R348">
        <v>17.845469255663431</v>
      </c>
      <c r="S348">
        <v>115</v>
      </c>
      <c r="T348">
        <v>1</v>
      </c>
      <c r="U348">
        <v>37.163636363636357</v>
      </c>
      <c r="V348">
        <v>303</v>
      </c>
      <c r="W348">
        <v>0</v>
      </c>
      <c r="X348">
        <v>42.251824817518248</v>
      </c>
      <c r="Y348">
        <v>264</v>
      </c>
      <c r="Z348">
        <v>0</v>
      </c>
      <c r="AA348">
        <v>77.646715328467153</v>
      </c>
      <c r="AB348">
        <v>200</v>
      </c>
      <c r="AC348">
        <v>0</v>
      </c>
      <c r="AD348">
        <v>31.115942028985511</v>
      </c>
      <c r="AE348">
        <v>187</v>
      </c>
      <c r="AF348">
        <v>0</v>
      </c>
      <c r="AG348">
        <v>73.336956521739125</v>
      </c>
      <c r="AH348">
        <v>233.3</v>
      </c>
      <c r="AI348">
        <v>0</v>
      </c>
      <c r="AJ348">
        <v>5</v>
      </c>
      <c r="AK348">
        <v>38.5</v>
      </c>
      <c r="AL348">
        <v>1204</v>
      </c>
      <c r="AM348">
        <v>433</v>
      </c>
      <c r="AN348">
        <v>1637</v>
      </c>
      <c r="AO348">
        <v>4</v>
      </c>
      <c r="AP348">
        <v>721</v>
      </c>
    </row>
    <row r="349" spans="1:42" x14ac:dyDescent="0.3">
      <c r="A349" t="s">
        <v>1625</v>
      </c>
      <c r="B349" t="s">
        <v>24</v>
      </c>
      <c r="C349" t="s">
        <v>16</v>
      </c>
      <c r="D349" t="s">
        <v>530</v>
      </c>
      <c r="E349" t="s">
        <v>990</v>
      </c>
      <c r="F349">
        <v>2018</v>
      </c>
      <c r="G349">
        <v>38.5</v>
      </c>
      <c r="H349">
        <v>1</v>
      </c>
      <c r="I349">
        <v>0</v>
      </c>
      <c r="J349">
        <v>13</v>
      </c>
      <c r="K349">
        <v>5</v>
      </c>
      <c r="L349" t="s">
        <v>1327</v>
      </c>
      <c r="M349">
        <v>33.557177615571767</v>
      </c>
      <c r="N349">
        <v>264</v>
      </c>
      <c r="O349">
        <v>0</v>
      </c>
      <c r="P349">
        <v>22.333333333333329</v>
      </c>
      <c r="Q349">
        <v>124.1333333333333</v>
      </c>
      <c r="R349">
        <v>-11.22384428223844</v>
      </c>
      <c r="S349">
        <v>42</v>
      </c>
      <c r="T349">
        <v>5</v>
      </c>
      <c r="U349">
        <v>37.163636363636357</v>
      </c>
      <c r="V349">
        <v>303</v>
      </c>
      <c r="W349">
        <v>0</v>
      </c>
      <c r="X349">
        <v>42.251824817518248</v>
      </c>
      <c r="Y349">
        <v>264</v>
      </c>
      <c r="Z349">
        <v>0</v>
      </c>
      <c r="AA349">
        <v>77.646715328467153</v>
      </c>
      <c r="AB349">
        <v>200</v>
      </c>
      <c r="AC349">
        <v>0</v>
      </c>
      <c r="AD349">
        <v>31.115942028985511</v>
      </c>
      <c r="AE349">
        <v>187</v>
      </c>
      <c r="AF349">
        <v>0</v>
      </c>
      <c r="AG349">
        <v>73.336956521739125</v>
      </c>
      <c r="AH349">
        <v>233.3</v>
      </c>
      <c r="AI349">
        <v>0</v>
      </c>
      <c r="AJ349">
        <v>0</v>
      </c>
      <c r="AK349">
        <v>0</v>
      </c>
      <c r="AL349">
        <v>1203</v>
      </c>
      <c r="AM349">
        <v>433</v>
      </c>
      <c r="AN349">
        <v>1636</v>
      </c>
      <c r="AO349">
        <v>21</v>
      </c>
      <c r="AP349">
        <v>720</v>
      </c>
    </row>
    <row r="350" spans="1:42" x14ac:dyDescent="0.3">
      <c r="A350" t="s">
        <v>1745</v>
      </c>
      <c r="B350" t="s">
        <v>24</v>
      </c>
      <c r="C350" t="s">
        <v>16</v>
      </c>
      <c r="D350" t="s">
        <v>176</v>
      </c>
      <c r="E350" t="s">
        <v>990</v>
      </c>
      <c r="F350">
        <v>2018</v>
      </c>
      <c r="G350">
        <v>0</v>
      </c>
      <c r="H350">
        <v>0</v>
      </c>
      <c r="I350">
        <v>0</v>
      </c>
      <c r="J350">
        <v>6</v>
      </c>
      <c r="K350">
        <v>0</v>
      </c>
      <c r="L350" t="s">
        <v>1327</v>
      </c>
      <c r="M350">
        <v>33.639024390243897</v>
      </c>
      <c r="N350">
        <v>264</v>
      </c>
      <c r="O350">
        <v>0</v>
      </c>
      <c r="P350">
        <v>28.285714285714281</v>
      </c>
      <c r="Q350">
        <v>82.242857142857147</v>
      </c>
      <c r="R350">
        <v>-5.3533101045296192</v>
      </c>
      <c r="S350">
        <v>55</v>
      </c>
      <c r="T350">
        <v>0</v>
      </c>
      <c r="U350">
        <v>37.163636363636357</v>
      </c>
      <c r="V350">
        <v>303</v>
      </c>
      <c r="W350">
        <v>0</v>
      </c>
      <c r="X350">
        <v>42.251824817518248</v>
      </c>
      <c r="Y350">
        <v>264</v>
      </c>
      <c r="Z350">
        <v>0</v>
      </c>
      <c r="AA350">
        <v>77.646715328467153</v>
      </c>
      <c r="AB350">
        <v>200</v>
      </c>
      <c r="AC350">
        <v>0</v>
      </c>
      <c r="AD350">
        <v>31.115942028985511</v>
      </c>
      <c r="AE350">
        <v>187</v>
      </c>
      <c r="AF350">
        <v>0</v>
      </c>
      <c r="AG350">
        <v>73.336956521739125</v>
      </c>
      <c r="AH350">
        <v>233.3</v>
      </c>
      <c r="AI350">
        <v>0</v>
      </c>
      <c r="AJ350">
        <v>15</v>
      </c>
      <c r="AK350">
        <v>88.2</v>
      </c>
      <c r="AL350">
        <v>1203</v>
      </c>
      <c r="AM350">
        <v>433</v>
      </c>
      <c r="AN350">
        <v>1636</v>
      </c>
      <c r="AO350">
        <v>14</v>
      </c>
      <c r="AP350">
        <v>720</v>
      </c>
    </row>
    <row r="351" spans="1:42" x14ac:dyDescent="0.3">
      <c r="A351" t="s">
        <v>1468</v>
      </c>
      <c r="B351" t="s">
        <v>24</v>
      </c>
      <c r="C351" t="s">
        <v>16</v>
      </c>
      <c r="D351" t="s">
        <v>180</v>
      </c>
      <c r="E351" t="s">
        <v>990</v>
      </c>
      <c r="F351">
        <v>2018</v>
      </c>
      <c r="G351">
        <v>88.2</v>
      </c>
      <c r="H351">
        <v>2</v>
      </c>
      <c r="I351">
        <v>1</v>
      </c>
      <c r="J351">
        <v>17</v>
      </c>
      <c r="K351">
        <v>15</v>
      </c>
      <c r="L351" t="s">
        <v>1327</v>
      </c>
      <c r="M351">
        <v>33.684596577017118</v>
      </c>
      <c r="N351">
        <v>264</v>
      </c>
      <c r="O351">
        <v>0</v>
      </c>
      <c r="P351">
        <v>16.899999999999999</v>
      </c>
      <c r="Q351">
        <v>68.815000000000012</v>
      </c>
      <c r="R351">
        <v>-16.784596577017119</v>
      </c>
      <c r="S351">
        <v>57</v>
      </c>
      <c r="T351">
        <v>0</v>
      </c>
      <c r="U351">
        <v>37.163636363636357</v>
      </c>
      <c r="V351">
        <v>303</v>
      </c>
      <c r="W351">
        <v>0</v>
      </c>
      <c r="X351">
        <v>42.251824817518248</v>
      </c>
      <c r="Y351">
        <v>264</v>
      </c>
      <c r="Z351">
        <v>0</v>
      </c>
      <c r="AA351">
        <v>77.646715328467153</v>
      </c>
      <c r="AB351">
        <v>200</v>
      </c>
      <c r="AC351">
        <v>0</v>
      </c>
      <c r="AD351">
        <v>31.115942028985511</v>
      </c>
      <c r="AE351">
        <v>187</v>
      </c>
      <c r="AF351">
        <v>0</v>
      </c>
      <c r="AG351">
        <v>73.336956521739125</v>
      </c>
      <c r="AH351">
        <v>233.3</v>
      </c>
      <c r="AI351">
        <v>0</v>
      </c>
      <c r="AJ351">
        <v>20</v>
      </c>
      <c r="AK351">
        <v>66.7</v>
      </c>
      <c r="AL351">
        <v>1201</v>
      </c>
      <c r="AM351">
        <v>432</v>
      </c>
      <c r="AN351">
        <v>1633</v>
      </c>
      <c r="AO351">
        <v>16</v>
      </c>
      <c r="AP351">
        <v>717</v>
      </c>
    </row>
    <row r="352" spans="1:42" x14ac:dyDescent="0.3">
      <c r="A352" t="s">
        <v>1414</v>
      </c>
      <c r="B352" t="s">
        <v>24</v>
      </c>
      <c r="C352" t="s">
        <v>16</v>
      </c>
      <c r="D352" t="s">
        <v>535</v>
      </c>
      <c r="E352" t="s">
        <v>990</v>
      </c>
      <c r="F352">
        <v>2018</v>
      </c>
      <c r="G352">
        <v>66.7</v>
      </c>
      <c r="H352">
        <v>2</v>
      </c>
      <c r="I352">
        <v>1</v>
      </c>
      <c r="J352">
        <v>30</v>
      </c>
      <c r="K352">
        <v>20</v>
      </c>
      <c r="L352" t="s">
        <v>1327</v>
      </c>
      <c r="M352">
        <v>33.718137254901961</v>
      </c>
      <c r="N352">
        <v>264</v>
      </c>
      <c r="O352">
        <v>0</v>
      </c>
      <c r="P352">
        <v>21.3</v>
      </c>
      <c r="Q352">
        <v>91.61</v>
      </c>
      <c r="R352">
        <v>-12.418137254901961</v>
      </c>
      <c r="S352">
        <v>53</v>
      </c>
      <c r="T352">
        <v>3</v>
      </c>
      <c r="U352">
        <v>37.163636363636357</v>
      </c>
      <c r="V352">
        <v>303</v>
      </c>
      <c r="W352">
        <v>0</v>
      </c>
      <c r="X352">
        <v>42.251824817518248</v>
      </c>
      <c r="Y352">
        <v>264</v>
      </c>
      <c r="Z352">
        <v>0</v>
      </c>
      <c r="AA352">
        <v>77.646715328467153</v>
      </c>
      <c r="AB352">
        <v>200</v>
      </c>
      <c r="AC352">
        <v>0</v>
      </c>
      <c r="AD352">
        <v>31.115942028985511</v>
      </c>
      <c r="AE352">
        <v>187</v>
      </c>
      <c r="AF352">
        <v>0</v>
      </c>
      <c r="AG352">
        <v>73.336956521739125</v>
      </c>
      <c r="AH352">
        <v>233.3</v>
      </c>
      <c r="AI352">
        <v>0</v>
      </c>
      <c r="AL352">
        <v>1199</v>
      </c>
      <c r="AM352">
        <v>431</v>
      </c>
      <c r="AN352">
        <v>1630</v>
      </c>
      <c r="AO352">
        <v>25</v>
      </c>
      <c r="AP352">
        <v>714</v>
      </c>
    </row>
    <row r="353" spans="1:42" x14ac:dyDescent="0.3">
      <c r="A353" t="s">
        <v>1178</v>
      </c>
      <c r="B353" t="s">
        <v>24</v>
      </c>
      <c r="C353" t="s">
        <v>83</v>
      </c>
      <c r="D353" t="s">
        <v>180</v>
      </c>
      <c r="E353" t="s">
        <v>994</v>
      </c>
      <c r="F353">
        <v>2018</v>
      </c>
      <c r="G353">
        <v>50.249999999999993</v>
      </c>
      <c r="H353">
        <v>8</v>
      </c>
      <c r="I353">
        <v>1</v>
      </c>
      <c r="J353">
        <v>103</v>
      </c>
      <c r="K353">
        <v>57</v>
      </c>
      <c r="L353" t="s">
        <v>979</v>
      </c>
      <c r="M353">
        <v>33.660933660933658</v>
      </c>
      <c r="N353">
        <v>264</v>
      </c>
      <c r="O353">
        <v>0</v>
      </c>
      <c r="P353">
        <v>16.899999999999999</v>
      </c>
      <c r="Q353">
        <v>68.815000000000012</v>
      </c>
      <c r="R353">
        <v>-16.760933660933659</v>
      </c>
      <c r="S353">
        <v>57</v>
      </c>
      <c r="T353">
        <v>0</v>
      </c>
      <c r="U353">
        <v>37.163636363636357</v>
      </c>
      <c r="V353">
        <v>303</v>
      </c>
      <c r="W353">
        <v>0</v>
      </c>
      <c r="X353">
        <v>65.166666666666671</v>
      </c>
      <c r="Y353">
        <v>303</v>
      </c>
      <c r="Z353">
        <v>1</v>
      </c>
      <c r="AA353">
        <v>55.904545454545449</v>
      </c>
      <c r="AB353">
        <v>161.6</v>
      </c>
      <c r="AC353">
        <v>16.600000000000001</v>
      </c>
      <c r="AD353">
        <v>47.472727272727283</v>
      </c>
      <c r="AE353">
        <v>171</v>
      </c>
      <c r="AF353">
        <v>0</v>
      </c>
      <c r="AG353">
        <v>81.038181818181826</v>
      </c>
      <c r="AH353">
        <v>175.4</v>
      </c>
      <c r="AI353">
        <v>0</v>
      </c>
      <c r="AL353">
        <v>1191</v>
      </c>
      <c r="AM353">
        <v>430</v>
      </c>
      <c r="AN353">
        <v>1621</v>
      </c>
      <c r="AO353">
        <v>7</v>
      </c>
      <c r="AP353">
        <v>164</v>
      </c>
    </row>
    <row r="354" spans="1:42" x14ac:dyDescent="0.3">
      <c r="A354" t="s">
        <v>1405</v>
      </c>
      <c r="B354" t="s">
        <v>24</v>
      </c>
      <c r="C354" t="s">
        <v>83</v>
      </c>
      <c r="D354" t="s">
        <v>176</v>
      </c>
      <c r="E354" t="s">
        <v>994</v>
      </c>
      <c r="F354">
        <v>2018</v>
      </c>
      <c r="G354">
        <v>25.95</v>
      </c>
      <c r="H354">
        <v>1</v>
      </c>
      <c r="I354">
        <v>0</v>
      </c>
      <c r="J354">
        <v>38</v>
      </c>
      <c r="K354">
        <v>21</v>
      </c>
      <c r="L354" t="s">
        <v>1327</v>
      </c>
      <c r="M354">
        <v>33.692118226600982</v>
      </c>
      <c r="N354">
        <v>264</v>
      </c>
      <c r="O354">
        <v>0</v>
      </c>
      <c r="P354">
        <v>28.285714285714281</v>
      </c>
      <c r="Q354">
        <v>82.242857142857147</v>
      </c>
      <c r="R354">
        <v>-5.4064039408866984</v>
      </c>
      <c r="S354">
        <v>55</v>
      </c>
      <c r="T354">
        <v>0</v>
      </c>
      <c r="U354">
        <v>37.163636363636357</v>
      </c>
      <c r="V354">
        <v>303</v>
      </c>
      <c r="W354">
        <v>0</v>
      </c>
      <c r="X354">
        <v>65.166666666666671</v>
      </c>
      <c r="Y354">
        <v>303</v>
      </c>
      <c r="Z354">
        <v>1</v>
      </c>
      <c r="AA354">
        <v>55.904545454545449</v>
      </c>
      <c r="AB354">
        <v>161.6</v>
      </c>
      <c r="AC354">
        <v>16.600000000000001</v>
      </c>
      <c r="AD354">
        <v>47.472727272727283</v>
      </c>
      <c r="AE354">
        <v>171</v>
      </c>
      <c r="AF354">
        <v>0</v>
      </c>
      <c r="AG354">
        <v>81.038181818181826</v>
      </c>
      <c r="AH354">
        <v>175.4</v>
      </c>
      <c r="AI354">
        <v>0</v>
      </c>
      <c r="AL354">
        <v>1190</v>
      </c>
      <c r="AM354">
        <v>430</v>
      </c>
      <c r="AN354">
        <v>1620</v>
      </c>
      <c r="AO354">
        <v>13</v>
      </c>
      <c r="AP354">
        <v>163</v>
      </c>
    </row>
    <row r="355" spans="1:42" x14ac:dyDescent="0.3">
      <c r="A355" t="s">
        <v>1354</v>
      </c>
      <c r="B355" t="s">
        <v>115</v>
      </c>
      <c r="C355" t="s">
        <v>5</v>
      </c>
      <c r="D355" t="s">
        <v>12</v>
      </c>
      <c r="E355" t="s">
        <v>987</v>
      </c>
      <c r="F355">
        <v>2017</v>
      </c>
      <c r="G355">
        <v>135</v>
      </c>
      <c r="H355">
        <v>4</v>
      </c>
      <c r="I355">
        <v>1</v>
      </c>
      <c r="J355">
        <v>20</v>
      </c>
      <c r="K355">
        <v>27</v>
      </c>
      <c r="L355" t="s">
        <v>1327</v>
      </c>
      <c r="M355">
        <v>33.708641975308637</v>
      </c>
      <c r="N355">
        <v>264</v>
      </c>
      <c r="O355">
        <v>0</v>
      </c>
      <c r="P355">
        <v>31.203883495145629</v>
      </c>
      <c r="Q355">
        <v>120.5689320388349</v>
      </c>
      <c r="R355">
        <v>-2.5047584801630118</v>
      </c>
      <c r="S355">
        <v>162</v>
      </c>
      <c r="T355">
        <v>0</v>
      </c>
      <c r="U355">
        <v>38.236842105263158</v>
      </c>
      <c r="V355">
        <v>264</v>
      </c>
      <c r="W355">
        <v>0</v>
      </c>
      <c r="X355">
        <v>28.189024390243901</v>
      </c>
      <c r="Y355">
        <v>121</v>
      </c>
      <c r="Z355">
        <v>0</v>
      </c>
      <c r="AA355">
        <v>116.45060975609761</v>
      </c>
      <c r="AB355">
        <v>274.39999999999998</v>
      </c>
      <c r="AC355">
        <v>0</v>
      </c>
      <c r="AD355">
        <v>40.825000000000003</v>
      </c>
      <c r="AE355">
        <v>208</v>
      </c>
      <c r="AF355">
        <v>1</v>
      </c>
      <c r="AG355">
        <v>90.646250000000009</v>
      </c>
      <c r="AH355">
        <v>274.39999999999998</v>
      </c>
      <c r="AI355">
        <v>15.4</v>
      </c>
      <c r="AJ355">
        <v>135</v>
      </c>
      <c r="AK355">
        <v>202.6</v>
      </c>
      <c r="AL355">
        <v>1186</v>
      </c>
      <c r="AM355">
        <v>429</v>
      </c>
      <c r="AN355">
        <v>1615</v>
      </c>
      <c r="AO355">
        <v>207</v>
      </c>
      <c r="AP355">
        <v>259</v>
      </c>
    </row>
    <row r="356" spans="1:42" x14ac:dyDescent="0.3">
      <c r="A356" t="s">
        <v>1032</v>
      </c>
      <c r="B356" t="s">
        <v>115</v>
      </c>
      <c r="C356" t="s">
        <v>5</v>
      </c>
      <c r="D356" t="s">
        <v>17</v>
      </c>
      <c r="E356" t="s">
        <v>987</v>
      </c>
      <c r="F356">
        <v>2017</v>
      </c>
      <c r="G356">
        <v>274.39999999999998</v>
      </c>
      <c r="H356">
        <v>12</v>
      </c>
      <c r="I356">
        <v>10</v>
      </c>
      <c r="J356">
        <v>43</v>
      </c>
      <c r="K356">
        <v>118</v>
      </c>
      <c r="L356" t="s">
        <v>979</v>
      </c>
      <c r="M356">
        <v>33.5</v>
      </c>
      <c r="N356">
        <v>264</v>
      </c>
      <c r="O356">
        <v>0</v>
      </c>
      <c r="P356">
        <v>33.769230769230766</v>
      </c>
      <c r="Q356">
        <v>87.853846153846149</v>
      </c>
      <c r="R356">
        <v>0.2692307692307665</v>
      </c>
      <c r="S356">
        <v>118</v>
      </c>
      <c r="T356">
        <v>0</v>
      </c>
      <c r="U356">
        <v>38.236842105263158</v>
      </c>
      <c r="V356">
        <v>264</v>
      </c>
      <c r="W356">
        <v>0</v>
      </c>
      <c r="X356">
        <v>28.189024390243901</v>
      </c>
      <c r="Y356">
        <v>121</v>
      </c>
      <c r="Z356">
        <v>0</v>
      </c>
      <c r="AA356">
        <v>116.45060975609761</v>
      </c>
      <c r="AB356">
        <v>274.39999999999998</v>
      </c>
      <c r="AC356">
        <v>0</v>
      </c>
      <c r="AD356">
        <v>40.825000000000003</v>
      </c>
      <c r="AE356">
        <v>208</v>
      </c>
      <c r="AF356">
        <v>1</v>
      </c>
      <c r="AG356">
        <v>90.646250000000009</v>
      </c>
      <c r="AH356">
        <v>274.39999999999998</v>
      </c>
      <c r="AI356">
        <v>15.4</v>
      </c>
      <c r="AJ356">
        <v>24</v>
      </c>
      <c r="AK356">
        <v>90.4</v>
      </c>
      <c r="AL356">
        <v>1174</v>
      </c>
      <c r="AM356">
        <v>419</v>
      </c>
      <c r="AN356">
        <v>1593</v>
      </c>
      <c r="AO356">
        <v>18</v>
      </c>
      <c r="AP356">
        <v>237</v>
      </c>
    </row>
    <row r="357" spans="1:42" x14ac:dyDescent="0.3">
      <c r="A357" t="s">
        <v>1451</v>
      </c>
      <c r="B357" t="s">
        <v>115</v>
      </c>
      <c r="C357" t="s">
        <v>5</v>
      </c>
      <c r="D357" t="s">
        <v>78</v>
      </c>
      <c r="E357" t="s">
        <v>987</v>
      </c>
      <c r="F357">
        <v>2017</v>
      </c>
      <c r="G357">
        <v>130.80000000000001</v>
      </c>
      <c r="H357">
        <v>2</v>
      </c>
      <c r="I357">
        <v>0</v>
      </c>
      <c r="J357">
        <v>13</v>
      </c>
      <c r="K357">
        <v>17</v>
      </c>
      <c r="L357" t="s">
        <v>1327</v>
      </c>
      <c r="M357">
        <v>33.540942928039698</v>
      </c>
      <c r="N357">
        <v>264</v>
      </c>
      <c r="O357">
        <v>0</v>
      </c>
      <c r="P357">
        <v>44.222222222222221</v>
      </c>
      <c r="Q357">
        <v>102.3</v>
      </c>
      <c r="R357">
        <v>10.68127929418252</v>
      </c>
      <c r="S357">
        <v>119</v>
      </c>
      <c r="T357">
        <v>1</v>
      </c>
      <c r="U357">
        <v>38.236842105263158</v>
      </c>
      <c r="V357">
        <v>264</v>
      </c>
      <c r="W357">
        <v>0</v>
      </c>
      <c r="X357">
        <v>28.189024390243901</v>
      </c>
      <c r="Y357">
        <v>121</v>
      </c>
      <c r="Z357">
        <v>0</v>
      </c>
      <c r="AA357">
        <v>116.45060975609761</v>
      </c>
      <c r="AB357">
        <v>274.39999999999998</v>
      </c>
      <c r="AC357">
        <v>0</v>
      </c>
      <c r="AD357">
        <v>40.825000000000003</v>
      </c>
      <c r="AE357">
        <v>208</v>
      </c>
      <c r="AF357">
        <v>1</v>
      </c>
      <c r="AG357">
        <v>90.646250000000009</v>
      </c>
      <c r="AH357">
        <v>274.39999999999998</v>
      </c>
      <c r="AI357">
        <v>15.4</v>
      </c>
      <c r="AJ357">
        <v>7</v>
      </c>
      <c r="AK357">
        <v>50</v>
      </c>
      <c r="AL357">
        <v>1172</v>
      </c>
      <c r="AM357">
        <v>419</v>
      </c>
      <c r="AN357">
        <v>1591</v>
      </c>
      <c r="AO357">
        <v>19</v>
      </c>
      <c r="AP357">
        <v>235</v>
      </c>
    </row>
    <row r="358" spans="1:42" x14ac:dyDescent="0.3">
      <c r="A358" t="s">
        <v>1596</v>
      </c>
      <c r="B358" t="s">
        <v>115</v>
      </c>
      <c r="C358" t="s">
        <v>16</v>
      </c>
      <c r="D358" t="s">
        <v>25</v>
      </c>
      <c r="E358" t="s">
        <v>987</v>
      </c>
      <c r="F358">
        <v>2017</v>
      </c>
      <c r="G358">
        <v>50</v>
      </c>
      <c r="H358">
        <v>0</v>
      </c>
      <c r="I358">
        <v>1</v>
      </c>
      <c r="J358">
        <v>14</v>
      </c>
      <c r="K358">
        <v>7</v>
      </c>
      <c r="L358" t="s">
        <v>1327</v>
      </c>
      <c r="M358">
        <v>33.60696517412935</v>
      </c>
      <c r="N358">
        <v>264</v>
      </c>
      <c r="O358">
        <v>0</v>
      </c>
      <c r="P358">
        <v>56.375</v>
      </c>
      <c r="Q358">
        <v>92.453125</v>
      </c>
      <c r="R358">
        <v>22.76803482587065</v>
      </c>
      <c r="S358">
        <v>303</v>
      </c>
      <c r="T358">
        <v>4</v>
      </c>
      <c r="U358">
        <v>38.236842105263158</v>
      </c>
      <c r="V358">
        <v>264</v>
      </c>
      <c r="W358">
        <v>0</v>
      </c>
      <c r="X358">
        <v>42.251824817518248</v>
      </c>
      <c r="Y358">
        <v>264</v>
      </c>
      <c r="Z358">
        <v>0</v>
      </c>
      <c r="AA358">
        <v>77.646715328467153</v>
      </c>
      <c r="AB358">
        <v>200</v>
      </c>
      <c r="AC358">
        <v>0</v>
      </c>
      <c r="AD358">
        <v>40.825000000000003</v>
      </c>
      <c r="AE358">
        <v>208</v>
      </c>
      <c r="AF358">
        <v>1</v>
      </c>
      <c r="AG358">
        <v>90.646250000000009</v>
      </c>
      <c r="AH358">
        <v>274.39999999999998</v>
      </c>
      <c r="AI358">
        <v>15.4</v>
      </c>
      <c r="AJ358">
        <v>208</v>
      </c>
      <c r="AK358">
        <v>135.9</v>
      </c>
      <c r="AL358">
        <v>1172</v>
      </c>
      <c r="AM358">
        <v>418</v>
      </c>
      <c r="AN358">
        <v>1590</v>
      </c>
      <c r="AO358">
        <v>37</v>
      </c>
      <c r="AP358">
        <v>713</v>
      </c>
    </row>
    <row r="359" spans="1:42" x14ac:dyDescent="0.3">
      <c r="A359" t="s">
        <v>986</v>
      </c>
      <c r="B359" t="s">
        <v>115</v>
      </c>
      <c r="C359" t="s">
        <v>16</v>
      </c>
      <c r="D359" t="s">
        <v>173</v>
      </c>
      <c r="E359" t="s">
        <v>987</v>
      </c>
      <c r="F359">
        <v>2017</v>
      </c>
      <c r="G359">
        <v>135.9</v>
      </c>
      <c r="H359">
        <v>13</v>
      </c>
      <c r="I359">
        <v>12</v>
      </c>
      <c r="J359">
        <v>153</v>
      </c>
      <c r="K359">
        <v>208</v>
      </c>
      <c r="L359" t="s">
        <v>979</v>
      </c>
      <c r="M359">
        <v>33.172069825436409</v>
      </c>
      <c r="N359">
        <v>264</v>
      </c>
      <c r="O359">
        <v>0</v>
      </c>
      <c r="P359">
        <v>36.388888888888893</v>
      </c>
      <c r="Q359">
        <v>93.683333333333337</v>
      </c>
      <c r="R359">
        <v>3.2168190634524758</v>
      </c>
      <c r="S359">
        <v>208</v>
      </c>
      <c r="T359">
        <v>0</v>
      </c>
      <c r="U359">
        <v>38.236842105263158</v>
      </c>
      <c r="V359">
        <v>264</v>
      </c>
      <c r="W359">
        <v>0</v>
      </c>
      <c r="X359">
        <v>42.251824817518248</v>
      </c>
      <c r="Y359">
        <v>264</v>
      </c>
      <c r="Z359">
        <v>0</v>
      </c>
      <c r="AA359">
        <v>77.646715328467153</v>
      </c>
      <c r="AB359">
        <v>200</v>
      </c>
      <c r="AC359">
        <v>0</v>
      </c>
      <c r="AD359">
        <v>40.825000000000003</v>
      </c>
      <c r="AE359">
        <v>208</v>
      </c>
      <c r="AF359">
        <v>1</v>
      </c>
      <c r="AG359">
        <v>90.646250000000009</v>
      </c>
      <c r="AH359">
        <v>274.39999999999998</v>
      </c>
      <c r="AI359">
        <v>15.4</v>
      </c>
      <c r="AJ359">
        <v>2</v>
      </c>
      <c r="AK359">
        <v>15.4</v>
      </c>
      <c r="AL359">
        <v>1159</v>
      </c>
      <c r="AM359">
        <v>406</v>
      </c>
      <c r="AN359">
        <v>1565</v>
      </c>
      <c r="AO359">
        <v>35</v>
      </c>
      <c r="AP359">
        <v>688</v>
      </c>
    </row>
    <row r="360" spans="1:42" x14ac:dyDescent="0.3">
      <c r="A360" t="s">
        <v>1692</v>
      </c>
      <c r="B360" t="s">
        <v>115</v>
      </c>
      <c r="C360" t="s">
        <v>16</v>
      </c>
      <c r="D360" t="s">
        <v>154</v>
      </c>
      <c r="E360" t="s">
        <v>987</v>
      </c>
      <c r="F360">
        <v>2017</v>
      </c>
      <c r="G360">
        <v>15.4</v>
      </c>
      <c r="H360">
        <v>0</v>
      </c>
      <c r="I360">
        <v>0</v>
      </c>
      <c r="J360">
        <v>13</v>
      </c>
      <c r="K360">
        <v>2</v>
      </c>
      <c r="L360" t="s">
        <v>1327</v>
      </c>
      <c r="M360">
        <v>33.25</v>
      </c>
      <c r="N360">
        <v>264</v>
      </c>
      <c r="O360">
        <v>0</v>
      </c>
      <c r="P360">
        <v>37.4</v>
      </c>
      <c r="Q360">
        <v>83.72</v>
      </c>
      <c r="R360">
        <v>4.1499999999999986</v>
      </c>
      <c r="S360">
        <v>106</v>
      </c>
      <c r="T360">
        <v>1</v>
      </c>
      <c r="U360">
        <v>38.236842105263158</v>
      </c>
      <c r="V360">
        <v>264</v>
      </c>
      <c r="W360">
        <v>0</v>
      </c>
      <c r="X360">
        <v>42.251824817518248</v>
      </c>
      <c r="Y360">
        <v>264</v>
      </c>
      <c r="Z360">
        <v>0</v>
      </c>
      <c r="AA360">
        <v>77.646715328467153</v>
      </c>
      <c r="AB360">
        <v>200</v>
      </c>
      <c r="AC360">
        <v>0</v>
      </c>
      <c r="AD360">
        <v>40.825000000000003</v>
      </c>
      <c r="AE360">
        <v>208</v>
      </c>
      <c r="AF360">
        <v>1</v>
      </c>
      <c r="AG360">
        <v>90.646250000000009</v>
      </c>
      <c r="AH360">
        <v>274.39999999999998</v>
      </c>
      <c r="AI360">
        <v>15.4</v>
      </c>
      <c r="AL360">
        <v>1159</v>
      </c>
      <c r="AM360">
        <v>406</v>
      </c>
      <c r="AN360">
        <v>1565</v>
      </c>
      <c r="AO360">
        <v>32</v>
      </c>
      <c r="AP360">
        <v>688</v>
      </c>
    </row>
    <row r="361" spans="1:42" x14ac:dyDescent="0.3">
      <c r="A361" t="s">
        <v>1034</v>
      </c>
      <c r="B361" t="s">
        <v>115</v>
      </c>
      <c r="C361" t="s">
        <v>83</v>
      </c>
      <c r="D361" t="s">
        <v>9</v>
      </c>
      <c r="E361" t="s">
        <v>987</v>
      </c>
      <c r="F361">
        <v>2017</v>
      </c>
      <c r="G361">
        <v>82.85</v>
      </c>
      <c r="H361">
        <v>12</v>
      </c>
      <c r="I361">
        <v>2</v>
      </c>
      <c r="J361">
        <v>207</v>
      </c>
      <c r="K361">
        <v>115</v>
      </c>
      <c r="L361" t="s">
        <v>979</v>
      </c>
      <c r="M361">
        <v>33.045112781954877</v>
      </c>
      <c r="N361">
        <v>264</v>
      </c>
      <c r="O361">
        <v>0</v>
      </c>
      <c r="P361">
        <v>38.36</v>
      </c>
      <c r="Q361">
        <v>122.748</v>
      </c>
      <c r="R361">
        <v>5.314887218045115</v>
      </c>
      <c r="S361">
        <v>131</v>
      </c>
      <c r="T361">
        <v>1</v>
      </c>
      <c r="U361">
        <v>38.236842105263158</v>
      </c>
      <c r="V361">
        <v>264</v>
      </c>
      <c r="W361">
        <v>0</v>
      </c>
      <c r="X361">
        <v>65.166666666666671</v>
      </c>
      <c r="Y361">
        <v>303</v>
      </c>
      <c r="Z361">
        <v>1</v>
      </c>
      <c r="AA361">
        <v>55.904545454545449</v>
      </c>
      <c r="AB361">
        <v>161.6</v>
      </c>
      <c r="AC361">
        <v>16.600000000000001</v>
      </c>
      <c r="AD361">
        <v>40.825000000000003</v>
      </c>
      <c r="AE361">
        <v>208</v>
      </c>
      <c r="AF361">
        <v>1</v>
      </c>
      <c r="AG361">
        <v>90.646250000000009</v>
      </c>
      <c r="AH361">
        <v>274.39999999999998</v>
      </c>
      <c r="AI361">
        <v>15.4</v>
      </c>
      <c r="AL361">
        <v>1147</v>
      </c>
      <c r="AM361">
        <v>404</v>
      </c>
      <c r="AN361">
        <v>1551</v>
      </c>
      <c r="AO361">
        <v>45</v>
      </c>
      <c r="AP361">
        <v>149</v>
      </c>
    </row>
    <row r="362" spans="1:42" x14ac:dyDescent="0.3">
      <c r="A362" t="s">
        <v>1056</v>
      </c>
      <c r="B362" t="s">
        <v>115</v>
      </c>
      <c r="C362" t="s">
        <v>83</v>
      </c>
      <c r="D362" t="s">
        <v>80</v>
      </c>
      <c r="E362" t="s">
        <v>981</v>
      </c>
      <c r="F362">
        <v>2017</v>
      </c>
      <c r="G362">
        <v>63.7</v>
      </c>
      <c r="H362">
        <v>8</v>
      </c>
      <c r="I362">
        <v>1</v>
      </c>
      <c r="J362">
        <v>184</v>
      </c>
      <c r="K362">
        <v>102</v>
      </c>
      <c r="L362" t="s">
        <v>979</v>
      </c>
      <c r="M362">
        <v>32.871859296482413</v>
      </c>
      <c r="N362">
        <v>264</v>
      </c>
      <c r="O362">
        <v>0</v>
      </c>
      <c r="P362">
        <v>45.785714285714278</v>
      </c>
      <c r="Q362">
        <v>80.371428571428552</v>
      </c>
      <c r="R362">
        <v>12.91385498923187</v>
      </c>
      <c r="S362">
        <v>125</v>
      </c>
      <c r="T362">
        <v>0</v>
      </c>
      <c r="U362">
        <v>38.236842105263158</v>
      </c>
      <c r="V362">
        <v>264</v>
      </c>
      <c r="W362">
        <v>0</v>
      </c>
      <c r="X362">
        <v>65.166666666666671</v>
      </c>
      <c r="Y362">
        <v>303</v>
      </c>
      <c r="Z362">
        <v>1</v>
      </c>
      <c r="AA362">
        <v>55.904545454545449</v>
      </c>
      <c r="AB362">
        <v>161.6</v>
      </c>
      <c r="AC362">
        <v>16.600000000000001</v>
      </c>
      <c r="AD362">
        <v>47.122448979591837</v>
      </c>
      <c r="AE362">
        <v>264</v>
      </c>
      <c r="AF362">
        <v>0</v>
      </c>
      <c r="AG362">
        <v>105.5040816326531</v>
      </c>
      <c r="AH362">
        <v>200</v>
      </c>
      <c r="AI362">
        <v>0</v>
      </c>
      <c r="AL362">
        <v>1139</v>
      </c>
      <c r="AM362">
        <v>403</v>
      </c>
      <c r="AN362">
        <v>1542</v>
      </c>
      <c r="AO362">
        <v>45</v>
      </c>
      <c r="AP362">
        <v>140</v>
      </c>
    </row>
    <row r="363" spans="1:42" x14ac:dyDescent="0.3">
      <c r="A363" t="s">
        <v>1579</v>
      </c>
      <c r="B363" t="s">
        <v>15</v>
      </c>
      <c r="C363" t="s">
        <v>5</v>
      </c>
      <c r="D363" t="s">
        <v>254</v>
      </c>
      <c r="E363" t="s">
        <v>981</v>
      </c>
      <c r="F363">
        <v>2017</v>
      </c>
      <c r="G363">
        <v>88.9</v>
      </c>
      <c r="H363">
        <v>1</v>
      </c>
      <c r="I363">
        <v>0</v>
      </c>
      <c r="J363">
        <v>9</v>
      </c>
      <c r="K363">
        <v>8</v>
      </c>
      <c r="L363" t="s">
        <v>1327</v>
      </c>
      <c r="M363">
        <v>32.934508816120903</v>
      </c>
      <c r="N363">
        <v>264</v>
      </c>
      <c r="O363">
        <v>0</v>
      </c>
      <c r="P363">
        <v>25.6</v>
      </c>
      <c r="Q363">
        <v>74.08</v>
      </c>
      <c r="R363">
        <v>-7.334508816120902</v>
      </c>
      <c r="S363">
        <v>63</v>
      </c>
      <c r="T363">
        <v>0</v>
      </c>
      <c r="U363">
        <v>37.701754385964911</v>
      </c>
      <c r="V363">
        <v>147</v>
      </c>
      <c r="W363">
        <v>1</v>
      </c>
      <c r="X363">
        <v>28.189024390243901</v>
      </c>
      <c r="Y363">
        <v>121</v>
      </c>
      <c r="Z363">
        <v>0</v>
      </c>
      <c r="AA363">
        <v>116.45060975609761</v>
      </c>
      <c r="AB363">
        <v>274.39999999999998</v>
      </c>
      <c r="AC363">
        <v>0</v>
      </c>
      <c r="AD363">
        <v>47.122448979591837</v>
      </c>
      <c r="AE363">
        <v>264</v>
      </c>
      <c r="AF363">
        <v>0</v>
      </c>
      <c r="AG363">
        <v>105.5040816326531</v>
      </c>
      <c r="AH363">
        <v>200</v>
      </c>
      <c r="AI363">
        <v>0</v>
      </c>
      <c r="AJ363">
        <v>5</v>
      </c>
      <c r="AK363">
        <v>83.3</v>
      </c>
      <c r="AL363">
        <v>1138</v>
      </c>
      <c r="AM363">
        <v>403</v>
      </c>
      <c r="AN363">
        <v>1541</v>
      </c>
      <c r="AP363">
        <v>234</v>
      </c>
    </row>
    <row r="364" spans="1:42" x14ac:dyDescent="0.3">
      <c r="A364" t="s">
        <v>1626</v>
      </c>
      <c r="B364" t="s">
        <v>15</v>
      </c>
      <c r="C364" t="s">
        <v>5</v>
      </c>
      <c r="D364" t="s">
        <v>19</v>
      </c>
      <c r="E364" t="s">
        <v>981</v>
      </c>
      <c r="F364">
        <v>2017</v>
      </c>
      <c r="G364">
        <v>83.3</v>
      </c>
      <c r="H364">
        <v>1</v>
      </c>
      <c r="I364">
        <v>0</v>
      </c>
      <c r="J364">
        <v>6</v>
      </c>
      <c r="K364">
        <v>5</v>
      </c>
      <c r="L364" t="s">
        <v>1327</v>
      </c>
      <c r="M364">
        <v>33.005050505050512</v>
      </c>
      <c r="N364">
        <v>264</v>
      </c>
      <c r="O364">
        <v>0</v>
      </c>
      <c r="P364">
        <v>47.6</v>
      </c>
      <c r="Q364">
        <v>101.29</v>
      </c>
      <c r="R364">
        <v>14.5949494949495</v>
      </c>
      <c r="S364">
        <v>150</v>
      </c>
      <c r="T364">
        <v>5</v>
      </c>
      <c r="U364">
        <v>37.701754385964911</v>
      </c>
      <c r="V364">
        <v>147</v>
      </c>
      <c r="W364">
        <v>1</v>
      </c>
      <c r="X364">
        <v>28.189024390243901</v>
      </c>
      <c r="Y364">
        <v>121</v>
      </c>
      <c r="Z364">
        <v>0</v>
      </c>
      <c r="AA364">
        <v>116.45060975609761</v>
      </c>
      <c r="AB364">
        <v>274.39999999999998</v>
      </c>
      <c r="AC364">
        <v>0</v>
      </c>
      <c r="AD364">
        <v>47.122448979591837</v>
      </c>
      <c r="AE364">
        <v>264</v>
      </c>
      <c r="AF364">
        <v>0</v>
      </c>
      <c r="AG364">
        <v>105.5040816326531</v>
      </c>
      <c r="AH364">
        <v>200</v>
      </c>
      <c r="AI364">
        <v>0</v>
      </c>
      <c r="AJ364">
        <v>80</v>
      </c>
      <c r="AK364">
        <v>145.5</v>
      </c>
      <c r="AL364">
        <v>1137</v>
      </c>
      <c r="AM364">
        <v>403</v>
      </c>
      <c r="AN364">
        <v>1540</v>
      </c>
      <c r="AO364">
        <v>11</v>
      </c>
      <c r="AP364">
        <v>233</v>
      </c>
    </row>
    <row r="365" spans="1:42" x14ac:dyDescent="0.3">
      <c r="A365" t="s">
        <v>1090</v>
      </c>
      <c r="B365" t="s">
        <v>15</v>
      </c>
      <c r="C365" t="s">
        <v>5</v>
      </c>
      <c r="D365" t="s">
        <v>9</v>
      </c>
      <c r="E365" t="s">
        <v>981</v>
      </c>
      <c r="F365">
        <v>2017</v>
      </c>
      <c r="G365">
        <v>145.5</v>
      </c>
      <c r="H365">
        <v>6</v>
      </c>
      <c r="I365">
        <v>4</v>
      </c>
      <c r="J365">
        <v>55</v>
      </c>
      <c r="K365">
        <v>80</v>
      </c>
      <c r="L365" t="s">
        <v>979</v>
      </c>
      <c r="M365">
        <v>32.88607594936709</v>
      </c>
      <c r="N365">
        <v>264</v>
      </c>
      <c r="O365">
        <v>0</v>
      </c>
      <c r="P365">
        <v>38.36</v>
      </c>
      <c r="Q365">
        <v>122.748</v>
      </c>
      <c r="R365">
        <v>5.4739240506329097</v>
      </c>
      <c r="S365">
        <v>131</v>
      </c>
      <c r="T365">
        <v>1</v>
      </c>
      <c r="U365">
        <v>37.701754385964911</v>
      </c>
      <c r="V365">
        <v>147</v>
      </c>
      <c r="W365">
        <v>1</v>
      </c>
      <c r="X365">
        <v>28.189024390243901</v>
      </c>
      <c r="Y365">
        <v>121</v>
      </c>
      <c r="Z365">
        <v>0</v>
      </c>
      <c r="AA365">
        <v>116.45060975609761</v>
      </c>
      <c r="AB365">
        <v>274.39999999999998</v>
      </c>
      <c r="AC365">
        <v>0</v>
      </c>
      <c r="AD365">
        <v>47.122448979591837</v>
      </c>
      <c r="AE365">
        <v>264</v>
      </c>
      <c r="AF365">
        <v>0</v>
      </c>
      <c r="AG365">
        <v>105.5040816326531</v>
      </c>
      <c r="AH365">
        <v>200</v>
      </c>
      <c r="AI365">
        <v>0</v>
      </c>
      <c r="AJ365">
        <v>147</v>
      </c>
      <c r="AK365">
        <v>106.5</v>
      </c>
      <c r="AL365">
        <v>1131</v>
      </c>
      <c r="AM365">
        <v>399</v>
      </c>
      <c r="AN365">
        <v>1530</v>
      </c>
      <c r="AO365">
        <v>35</v>
      </c>
      <c r="AP365">
        <v>223</v>
      </c>
    </row>
    <row r="366" spans="1:42" x14ac:dyDescent="0.3">
      <c r="A366" t="s">
        <v>1004</v>
      </c>
      <c r="B366" t="s">
        <v>15</v>
      </c>
      <c r="C366" t="s">
        <v>16</v>
      </c>
      <c r="D366" t="s">
        <v>107</v>
      </c>
      <c r="E366" t="s">
        <v>977</v>
      </c>
      <c r="F366">
        <v>2017</v>
      </c>
      <c r="G366">
        <v>106.5</v>
      </c>
      <c r="H366">
        <v>18</v>
      </c>
      <c r="I366">
        <v>2</v>
      </c>
      <c r="J366">
        <v>138</v>
      </c>
      <c r="K366">
        <v>147</v>
      </c>
      <c r="L366" t="s">
        <v>979</v>
      </c>
      <c r="M366">
        <v>32.596446700507613</v>
      </c>
      <c r="N366">
        <v>264</v>
      </c>
      <c r="O366">
        <v>0</v>
      </c>
      <c r="P366">
        <v>70.428571428571431</v>
      </c>
      <c r="Q366">
        <v>102.42142857142861</v>
      </c>
      <c r="R366">
        <v>37.832124728063818</v>
      </c>
      <c r="S366">
        <v>150</v>
      </c>
      <c r="T366">
        <v>4</v>
      </c>
      <c r="U366">
        <v>37.701754385964911</v>
      </c>
      <c r="V366">
        <v>147</v>
      </c>
      <c r="W366">
        <v>1</v>
      </c>
      <c r="X366">
        <v>42.251824817518248</v>
      </c>
      <c r="Y366">
        <v>264</v>
      </c>
      <c r="Z366">
        <v>0</v>
      </c>
      <c r="AA366">
        <v>77.646715328467153</v>
      </c>
      <c r="AB366">
        <v>200</v>
      </c>
      <c r="AC366">
        <v>0</v>
      </c>
      <c r="AD366">
        <v>49.901639344262293</v>
      </c>
      <c r="AE366">
        <v>303</v>
      </c>
      <c r="AF366">
        <v>0</v>
      </c>
      <c r="AG366">
        <v>90.971311475409848</v>
      </c>
      <c r="AH366">
        <v>200</v>
      </c>
      <c r="AI366">
        <v>0</v>
      </c>
      <c r="AJ366">
        <v>7</v>
      </c>
      <c r="AK366">
        <v>36.799999999999997</v>
      </c>
      <c r="AL366">
        <v>1113</v>
      </c>
      <c r="AM366">
        <v>397</v>
      </c>
      <c r="AN366">
        <v>1510</v>
      </c>
      <c r="AO366">
        <v>40</v>
      </c>
      <c r="AP366">
        <v>668</v>
      </c>
    </row>
    <row r="367" spans="1:42" x14ac:dyDescent="0.3">
      <c r="A367" t="s">
        <v>1597</v>
      </c>
      <c r="B367" t="s">
        <v>15</v>
      </c>
      <c r="C367" t="s">
        <v>16</v>
      </c>
      <c r="D367" t="s">
        <v>100</v>
      </c>
      <c r="E367" t="s">
        <v>977</v>
      </c>
      <c r="F367">
        <v>2017</v>
      </c>
      <c r="G367">
        <v>36.799999999999997</v>
      </c>
      <c r="H367">
        <v>1</v>
      </c>
      <c r="I367">
        <v>0</v>
      </c>
      <c r="J367">
        <v>19</v>
      </c>
      <c r="K367">
        <v>7</v>
      </c>
      <c r="L367" t="s">
        <v>1327</v>
      </c>
      <c r="M367">
        <v>32.661577608142487</v>
      </c>
      <c r="N367">
        <v>264</v>
      </c>
      <c r="O367">
        <v>0</v>
      </c>
      <c r="P367">
        <v>25.444444444444439</v>
      </c>
      <c r="Q367">
        <v>86.627777777777794</v>
      </c>
      <c r="R367">
        <v>-7.2171331636980511</v>
      </c>
      <c r="S367">
        <v>85</v>
      </c>
      <c r="T367">
        <v>0</v>
      </c>
      <c r="U367">
        <v>37.701754385964911</v>
      </c>
      <c r="V367">
        <v>147</v>
      </c>
      <c r="W367">
        <v>1</v>
      </c>
      <c r="X367">
        <v>42.251824817518248</v>
      </c>
      <c r="Y367">
        <v>264</v>
      </c>
      <c r="Z367">
        <v>0</v>
      </c>
      <c r="AA367">
        <v>77.646715328467153</v>
      </c>
      <c r="AB367">
        <v>200</v>
      </c>
      <c r="AC367">
        <v>0</v>
      </c>
      <c r="AD367">
        <v>49.901639344262293</v>
      </c>
      <c r="AE367">
        <v>303</v>
      </c>
      <c r="AF367">
        <v>0</v>
      </c>
      <c r="AG367">
        <v>90.971311475409848</v>
      </c>
      <c r="AH367">
        <v>200</v>
      </c>
      <c r="AI367">
        <v>0</v>
      </c>
      <c r="AJ367">
        <v>20</v>
      </c>
      <c r="AK367">
        <v>111.1</v>
      </c>
      <c r="AL367">
        <v>1112</v>
      </c>
      <c r="AM367">
        <v>397</v>
      </c>
      <c r="AN367">
        <v>1509</v>
      </c>
      <c r="AO367">
        <v>20</v>
      </c>
      <c r="AP367">
        <v>667</v>
      </c>
    </row>
    <row r="368" spans="1:42" x14ac:dyDescent="0.3">
      <c r="A368" t="s">
        <v>1415</v>
      </c>
      <c r="B368" t="s">
        <v>15</v>
      </c>
      <c r="C368" t="s">
        <v>16</v>
      </c>
      <c r="D368" t="s">
        <v>12</v>
      </c>
      <c r="E368" t="s">
        <v>977</v>
      </c>
      <c r="F368">
        <v>2017</v>
      </c>
      <c r="G368">
        <v>111.1</v>
      </c>
      <c r="H368">
        <v>0</v>
      </c>
      <c r="I368">
        <v>2</v>
      </c>
      <c r="J368">
        <v>18</v>
      </c>
      <c r="K368">
        <v>20</v>
      </c>
      <c r="L368" t="s">
        <v>1327</v>
      </c>
      <c r="M368">
        <v>32.693877551020407</v>
      </c>
      <c r="N368">
        <v>264</v>
      </c>
      <c r="O368">
        <v>0</v>
      </c>
      <c r="P368">
        <v>31.203883495145629</v>
      </c>
      <c r="Q368">
        <v>120.5689320388349</v>
      </c>
      <c r="R368">
        <v>-1.489994055874774</v>
      </c>
      <c r="S368">
        <v>162</v>
      </c>
      <c r="T368">
        <v>0</v>
      </c>
      <c r="U368">
        <v>37.701754385964911</v>
      </c>
      <c r="V368">
        <v>147</v>
      </c>
      <c r="W368">
        <v>1</v>
      </c>
      <c r="X368">
        <v>42.251824817518248</v>
      </c>
      <c r="Y368">
        <v>264</v>
      </c>
      <c r="Z368">
        <v>0</v>
      </c>
      <c r="AA368">
        <v>77.646715328467153</v>
      </c>
      <c r="AB368">
        <v>200</v>
      </c>
      <c r="AC368">
        <v>0</v>
      </c>
      <c r="AD368">
        <v>49.901639344262293</v>
      </c>
      <c r="AE368">
        <v>303</v>
      </c>
      <c r="AF368">
        <v>0</v>
      </c>
      <c r="AG368">
        <v>90.971311475409848</v>
      </c>
      <c r="AH368">
        <v>200</v>
      </c>
      <c r="AI368">
        <v>0</v>
      </c>
      <c r="AL368">
        <v>1112</v>
      </c>
      <c r="AM368">
        <v>395</v>
      </c>
      <c r="AN368">
        <v>1507</v>
      </c>
      <c r="AO368">
        <v>205</v>
      </c>
      <c r="AP368">
        <v>665</v>
      </c>
    </row>
    <row r="369" spans="1:42" x14ac:dyDescent="0.3">
      <c r="A369" t="s">
        <v>1580</v>
      </c>
      <c r="B369" t="s">
        <v>32</v>
      </c>
      <c r="C369" t="s">
        <v>5</v>
      </c>
      <c r="D369" t="s">
        <v>6</v>
      </c>
      <c r="E369" t="s">
        <v>977</v>
      </c>
      <c r="F369">
        <v>2017</v>
      </c>
      <c r="G369">
        <v>200</v>
      </c>
      <c r="H369">
        <v>2</v>
      </c>
      <c r="I369">
        <v>0</v>
      </c>
      <c r="J369">
        <v>4</v>
      </c>
      <c r="K369">
        <v>8</v>
      </c>
      <c r="L369" t="s">
        <v>1327</v>
      </c>
      <c r="M369">
        <v>32.757033248081839</v>
      </c>
      <c r="N369">
        <v>264</v>
      </c>
      <c r="O369">
        <v>0</v>
      </c>
      <c r="P369">
        <v>58.2</v>
      </c>
      <c r="Q369">
        <v>130.66</v>
      </c>
      <c r="R369">
        <v>25.44296675191816</v>
      </c>
      <c r="S369">
        <v>152</v>
      </c>
      <c r="T369">
        <v>5</v>
      </c>
      <c r="U369">
        <v>44.710843373493979</v>
      </c>
      <c r="V369">
        <v>209</v>
      </c>
      <c r="W369">
        <v>0</v>
      </c>
      <c r="X369">
        <v>28.189024390243901</v>
      </c>
      <c r="Y369">
        <v>121</v>
      </c>
      <c r="Z369">
        <v>0</v>
      </c>
      <c r="AA369">
        <v>116.45060975609761</v>
      </c>
      <c r="AB369">
        <v>274.39999999999998</v>
      </c>
      <c r="AC369">
        <v>0</v>
      </c>
      <c r="AD369">
        <v>49.901639344262293</v>
      </c>
      <c r="AE369">
        <v>303</v>
      </c>
      <c r="AF369">
        <v>0</v>
      </c>
      <c r="AG369">
        <v>90.971311475409848</v>
      </c>
      <c r="AH369">
        <v>200</v>
      </c>
      <c r="AI369">
        <v>0</v>
      </c>
      <c r="AJ369">
        <v>11</v>
      </c>
      <c r="AK369">
        <v>157.1</v>
      </c>
      <c r="AL369">
        <v>1110</v>
      </c>
      <c r="AM369">
        <v>395</v>
      </c>
      <c r="AN369">
        <v>1505</v>
      </c>
      <c r="AP369">
        <v>221</v>
      </c>
    </row>
    <row r="370" spans="1:42" x14ac:dyDescent="0.3">
      <c r="A370" t="s">
        <v>1530</v>
      </c>
      <c r="B370" t="s">
        <v>32</v>
      </c>
      <c r="C370" t="s">
        <v>5</v>
      </c>
      <c r="D370" t="s">
        <v>29</v>
      </c>
      <c r="E370" t="s">
        <v>977</v>
      </c>
      <c r="F370">
        <v>2017</v>
      </c>
      <c r="G370">
        <v>157.1</v>
      </c>
      <c r="H370">
        <v>1</v>
      </c>
      <c r="I370">
        <v>1</v>
      </c>
      <c r="J370">
        <v>7</v>
      </c>
      <c r="K370">
        <v>11</v>
      </c>
      <c r="L370" t="s">
        <v>1327</v>
      </c>
      <c r="M370">
        <v>32.812820512820522</v>
      </c>
      <c r="N370">
        <v>264</v>
      </c>
      <c r="O370">
        <v>0</v>
      </c>
      <c r="P370">
        <v>47.8</v>
      </c>
      <c r="Q370">
        <v>97.134999999999991</v>
      </c>
      <c r="R370">
        <v>14.98717948717948</v>
      </c>
      <c r="S370">
        <v>212</v>
      </c>
      <c r="T370">
        <v>9</v>
      </c>
      <c r="U370">
        <v>44.710843373493979</v>
      </c>
      <c r="V370">
        <v>209</v>
      </c>
      <c r="W370">
        <v>0</v>
      </c>
      <c r="X370">
        <v>28.189024390243901</v>
      </c>
      <c r="Y370">
        <v>121</v>
      </c>
      <c r="Z370">
        <v>0</v>
      </c>
      <c r="AA370">
        <v>116.45060975609761</v>
      </c>
      <c r="AB370">
        <v>274.39999999999998</v>
      </c>
      <c r="AC370">
        <v>0</v>
      </c>
      <c r="AD370">
        <v>49.901639344262293</v>
      </c>
      <c r="AE370">
        <v>303</v>
      </c>
      <c r="AF370">
        <v>0</v>
      </c>
      <c r="AG370">
        <v>90.971311475409848</v>
      </c>
      <c r="AH370">
        <v>200</v>
      </c>
      <c r="AI370">
        <v>0</v>
      </c>
      <c r="AL370">
        <v>1109</v>
      </c>
      <c r="AM370">
        <v>394</v>
      </c>
      <c r="AN370">
        <v>1503</v>
      </c>
      <c r="AO370">
        <v>8</v>
      </c>
      <c r="AP370">
        <v>219</v>
      </c>
    </row>
    <row r="371" spans="1:42" x14ac:dyDescent="0.3">
      <c r="A371" t="s">
        <v>1019</v>
      </c>
      <c r="B371" t="s">
        <v>32</v>
      </c>
      <c r="C371" t="s">
        <v>16</v>
      </c>
      <c r="D371" t="s">
        <v>80</v>
      </c>
      <c r="E371" t="s">
        <v>977</v>
      </c>
      <c r="F371">
        <v>2017</v>
      </c>
      <c r="G371">
        <v>114.7</v>
      </c>
      <c r="H371">
        <v>11</v>
      </c>
      <c r="I371">
        <v>5</v>
      </c>
      <c r="J371">
        <v>109</v>
      </c>
      <c r="K371">
        <v>125</v>
      </c>
      <c r="L371" t="s">
        <v>979</v>
      </c>
      <c r="M371">
        <v>32.575835475578408</v>
      </c>
      <c r="N371">
        <v>264</v>
      </c>
      <c r="O371">
        <v>0</v>
      </c>
      <c r="P371">
        <v>45.785714285714278</v>
      </c>
      <c r="Q371">
        <v>80.371428571428552</v>
      </c>
      <c r="R371">
        <v>13.20987881013588</v>
      </c>
      <c r="S371">
        <v>125</v>
      </c>
      <c r="T371">
        <v>0</v>
      </c>
      <c r="U371">
        <v>44.710843373493979</v>
      </c>
      <c r="V371">
        <v>209</v>
      </c>
      <c r="W371">
        <v>0</v>
      </c>
      <c r="X371">
        <v>42.251824817518248</v>
      </c>
      <c r="Y371">
        <v>264</v>
      </c>
      <c r="Z371">
        <v>0</v>
      </c>
      <c r="AA371">
        <v>77.646715328467153</v>
      </c>
      <c r="AB371">
        <v>200</v>
      </c>
      <c r="AC371">
        <v>0</v>
      </c>
      <c r="AD371">
        <v>49.901639344262293</v>
      </c>
      <c r="AE371">
        <v>303</v>
      </c>
      <c r="AF371">
        <v>0</v>
      </c>
      <c r="AG371">
        <v>90.971311475409848</v>
      </c>
      <c r="AH371">
        <v>200</v>
      </c>
      <c r="AI371">
        <v>0</v>
      </c>
      <c r="AJ371">
        <v>65</v>
      </c>
      <c r="AK371">
        <v>118.2</v>
      </c>
      <c r="AL371">
        <v>1098</v>
      </c>
      <c r="AM371">
        <v>389</v>
      </c>
      <c r="AN371">
        <v>1487</v>
      </c>
      <c r="AO371">
        <v>29</v>
      </c>
      <c r="AP371">
        <v>649</v>
      </c>
    </row>
    <row r="372" spans="1:42" x14ac:dyDescent="0.3">
      <c r="A372" t="s">
        <v>1139</v>
      </c>
      <c r="B372" t="s">
        <v>32</v>
      </c>
      <c r="C372" t="s">
        <v>16</v>
      </c>
      <c r="D372" t="s">
        <v>103</v>
      </c>
      <c r="E372" t="s">
        <v>1009</v>
      </c>
      <c r="F372">
        <v>2017</v>
      </c>
      <c r="G372">
        <v>118.2</v>
      </c>
      <c r="H372">
        <v>1</v>
      </c>
      <c r="I372">
        <v>5</v>
      </c>
      <c r="J372">
        <v>55</v>
      </c>
      <c r="K372">
        <v>65</v>
      </c>
      <c r="L372" t="s">
        <v>979</v>
      </c>
      <c r="M372">
        <v>32.492268041237111</v>
      </c>
      <c r="N372">
        <v>264</v>
      </c>
      <c r="O372">
        <v>0</v>
      </c>
      <c r="P372">
        <v>43.391304347826093</v>
      </c>
      <c r="Q372">
        <v>100.17391304347829</v>
      </c>
      <c r="R372">
        <v>10.899036306588981</v>
      </c>
      <c r="S372">
        <v>209</v>
      </c>
      <c r="T372">
        <v>0</v>
      </c>
      <c r="U372">
        <v>44.710843373493979</v>
      </c>
      <c r="V372">
        <v>209</v>
      </c>
      <c r="W372">
        <v>0</v>
      </c>
      <c r="X372">
        <v>42.251824817518248</v>
      </c>
      <c r="Y372">
        <v>264</v>
      </c>
      <c r="Z372">
        <v>0</v>
      </c>
      <c r="AA372">
        <v>77.646715328467153</v>
      </c>
      <c r="AB372">
        <v>200</v>
      </c>
      <c r="AC372">
        <v>0</v>
      </c>
      <c r="AD372">
        <v>38.25</v>
      </c>
      <c r="AE372">
        <v>138</v>
      </c>
      <c r="AF372">
        <v>0</v>
      </c>
      <c r="AG372">
        <v>106.2954545454546</v>
      </c>
      <c r="AH372">
        <v>230</v>
      </c>
      <c r="AI372">
        <v>0</v>
      </c>
      <c r="AJ372">
        <v>71</v>
      </c>
      <c r="AK372">
        <v>114.5</v>
      </c>
      <c r="AL372">
        <v>1097</v>
      </c>
      <c r="AM372">
        <v>384</v>
      </c>
      <c r="AN372">
        <v>1481</v>
      </c>
      <c r="AO372">
        <v>58</v>
      </c>
      <c r="AP372">
        <v>643</v>
      </c>
    </row>
    <row r="373" spans="1:42" x14ac:dyDescent="0.3">
      <c r="A373" t="s">
        <v>1119</v>
      </c>
      <c r="B373" t="s">
        <v>32</v>
      </c>
      <c r="C373" t="s">
        <v>16</v>
      </c>
      <c r="D373" t="s">
        <v>17</v>
      </c>
      <c r="E373" t="s">
        <v>1009</v>
      </c>
      <c r="F373">
        <v>2017</v>
      </c>
      <c r="G373">
        <v>114.5</v>
      </c>
      <c r="H373">
        <v>6</v>
      </c>
      <c r="I373">
        <v>4</v>
      </c>
      <c r="J373">
        <v>62</v>
      </c>
      <c r="K373">
        <v>71</v>
      </c>
      <c r="L373" t="s">
        <v>979</v>
      </c>
      <c r="M373">
        <v>32.39276485788114</v>
      </c>
      <c r="N373">
        <v>264</v>
      </c>
      <c r="O373">
        <v>0</v>
      </c>
      <c r="P373">
        <v>33.769230769230766</v>
      </c>
      <c r="Q373">
        <v>87.853846153846149</v>
      </c>
      <c r="R373">
        <v>1.376465911349626</v>
      </c>
      <c r="S373">
        <v>118</v>
      </c>
      <c r="T373">
        <v>0</v>
      </c>
      <c r="U373">
        <v>44.710843373493979</v>
      </c>
      <c r="V373">
        <v>209</v>
      </c>
      <c r="W373">
        <v>0</v>
      </c>
      <c r="X373">
        <v>42.251824817518248</v>
      </c>
      <c r="Y373">
        <v>264</v>
      </c>
      <c r="Z373">
        <v>0</v>
      </c>
      <c r="AA373">
        <v>77.646715328467153</v>
      </c>
      <c r="AB373">
        <v>200</v>
      </c>
      <c r="AC373">
        <v>0</v>
      </c>
      <c r="AD373">
        <v>38.25</v>
      </c>
      <c r="AE373">
        <v>138</v>
      </c>
      <c r="AF373">
        <v>0</v>
      </c>
      <c r="AG373">
        <v>106.2954545454546</v>
      </c>
      <c r="AH373">
        <v>230</v>
      </c>
      <c r="AI373">
        <v>0</v>
      </c>
      <c r="AJ373">
        <v>7</v>
      </c>
      <c r="AK373">
        <v>50</v>
      </c>
      <c r="AL373">
        <v>1091</v>
      </c>
      <c r="AM373">
        <v>380</v>
      </c>
      <c r="AN373">
        <v>1471</v>
      </c>
      <c r="AO373">
        <v>8</v>
      </c>
      <c r="AP373">
        <v>633</v>
      </c>
    </row>
    <row r="374" spans="1:42" x14ac:dyDescent="0.3">
      <c r="A374" t="s">
        <v>1598</v>
      </c>
      <c r="B374" t="s">
        <v>32</v>
      </c>
      <c r="C374" t="s">
        <v>16</v>
      </c>
      <c r="D374" t="s">
        <v>139</v>
      </c>
      <c r="E374" t="s">
        <v>1009</v>
      </c>
      <c r="F374">
        <v>2017</v>
      </c>
      <c r="G374">
        <v>50</v>
      </c>
      <c r="H374">
        <v>1</v>
      </c>
      <c r="I374">
        <v>0</v>
      </c>
      <c r="J374">
        <v>14</v>
      </c>
      <c r="K374">
        <v>7</v>
      </c>
      <c r="L374" t="s">
        <v>1327</v>
      </c>
      <c r="M374">
        <v>32.458549222797927</v>
      </c>
      <c r="N374">
        <v>264</v>
      </c>
      <c r="O374">
        <v>0</v>
      </c>
      <c r="P374">
        <v>45.666666666666657</v>
      </c>
      <c r="Q374">
        <v>104.1166666666667</v>
      </c>
      <c r="R374">
        <v>13.208117443868741</v>
      </c>
      <c r="S374">
        <v>264</v>
      </c>
      <c r="T374">
        <v>0</v>
      </c>
      <c r="U374">
        <v>44.710843373493979</v>
      </c>
      <c r="V374">
        <v>209</v>
      </c>
      <c r="W374">
        <v>0</v>
      </c>
      <c r="X374">
        <v>42.251824817518248</v>
      </c>
      <c r="Y374">
        <v>264</v>
      </c>
      <c r="Z374">
        <v>0</v>
      </c>
      <c r="AA374">
        <v>77.646715328467153</v>
      </c>
      <c r="AB374">
        <v>200</v>
      </c>
      <c r="AC374">
        <v>0</v>
      </c>
      <c r="AD374">
        <v>38.25</v>
      </c>
      <c r="AE374">
        <v>138</v>
      </c>
      <c r="AF374">
        <v>0</v>
      </c>
      <c r="AG374">
        <v>106.2954545454546</v>
      </c>
      <c r="AH374">
        <v>230</v>
      </c>
      <c r="AI374">
        <v>0</v>
      </c>
      <c r="AJ374">
        <v>28</v>
      </c>
      <c r="AK374">
        <v>63.6</v>
      </c>
      <c r="AL374">
        <v>1090</v>
      </c>
      <c r="AM374">
        <v>380</v>
      </c>
      <c r="AN374">
        <v>1470</v>
      </c>
      <c r="AO374">
        <v>141</v>
      </c>
      <c r="AP374">
        <v>632</v>
      </c>
    </row>
    <row r="375" spans="1:42" x14ac:dyDescent="0.3">
      <c r="A375" t="s">
        <v>1349</v>
      </c>
      <c r="B375" t="s">
        <v>32</v>
      </c>
      <c r="C375" t="s">
        <v>16</v>
      </c>
      <c r="D375" t="s">
        <v>64</v>
      </c>
      <c r="E375" t="s">
        <v>1009</v>
      </c>
      <c r="F375">
        <v>2017</v>
      </c>
      <c r="G375">
        <v>63.6</v>
      </c>
      <c r="H375">
        <v>3</v>
      </c>
      <c r="I375">
        <v>0</v>
      </c>
      <c r="J375">
        <v>44</v>
      </c>
      <c r="K375">
        <v>28</v>
      </c>
      <c r="L375" t="s">
        <v>1327</v>
      </c>
      <c r="M375">
        <v>32.470129870129867</v>
      </c>
      <c r="N375">
        <v>264</v>
      </c>
      <c r="O375">
        <v>0</v>
      </c>
      <c r="P375">
        <v>26</v>
      </c>
      <c r="Q375">
        <v>94.26964285714287</v>
      </c>
      <c r="R375">
        <v>-6.4701298701298668</v>
      </c>
      <c r="S375">
        <v>187</v>
      </c>
      <c r="T375">
        <v>0</v>
      </c>
      <c r="U375">
        <v>44.710843373493979</v>
      </c>
      <c r="V375">
        <v>209</v>
      </c>
      <c r="W375">
        <v>0</v>
      </c>
      <c r="X375">
        <v>42.251824817518248</v>
      </c>
      <c r="Y375">
        <v>264</v>
      </c>
      <c r="Z375">
        <v>0</v>
      </c>
      <c r="AA375">
        <v>77.646715328467153</v>
      </c>
      <c r="AB375">
        <v>200</v>
      </c>
      <c r="AC375">
        <v>0</v>
      </c>
      <c r="AD375">
        <v>38.25</v>
      </c>
      <c r="AE375">
        <v>138</v>
      </c>
      <c r="AF375">
        <v>0</v>
      </c>
      <c r="AG375">
        <v>106.2954545454546</v>
      </c>
      <c r="AH375">
        <v>230</v>
      </c>
      <c r="AI375">
        <v>0</v>
      </c>
      <c r="AL375">
        <v>1087</v>
      </c>
      <c r="AM375">
        <v>380</v>
      </c>
      <c r="AN375">
        <v>1467</v>
      </c>
      <c r="AO375">
        <v>13</v>
      </c>
      <c r="AP375">
        <v>629</v>
      </c>
    </row>
    <row r="376" spans="1:42" x14ac:dyDescent="0.3">
      <c r="A376" t="s">
        <v>1558</v>
      </c>
      <c r="B376" t="s">
        <v>115</v>
      </c>
      <c r="C376" t="s">
        <v>5</v>
      </c>
      <c r="D376" t="s">
        <v>116</v>
      </c>
      <c r="E376" t="s">
        <v>1009</v>
      </c>
      <c r="F376">
        <v>2017</v>
      </c>
      <c r="G376">
        <v>112.5</v>
      </c>
      <c r="H376">
        <v>1</v>
      </c>
      <c r="I376">
        <v>0</v>
      </c>
      <c r="J376">
        <v>8</v>
      </c>
      <c r="K376">
        <v>9</v>
      </c>
      <c r="L376" t="s">
        <v>1327</v>
      </c>
      <c r="M376">
        <v>32.53125</v>
      </c>
      <c r="N376">
        <v>264</v>
      </c>
      <c r="O376">
        <v>0</v>
      </c>
      <c r="P376">
        <v>32.821428571428569</v>
      </c>
      <c r="Q376">
        <v>89.621428571428581</v>
      </c>
      <c r="R376">
        <v>0.2901785714285694</v>
      </c>
      <c r="S376">
        <v>113</v>
      </c>
      <c r="T376">
        <v>0</v>
      </c>
      <c r="U376">
        <v>38.236842105263158</v>
      </c>
      <c r="V376">
        <v>264</v>
      </c>
      <c r="W376">
        <v>0</v>
      </c>
      <c r="X376">
        <v>28.189024390243901</v>
      </c>
      <c r="Y376">
        <v>121</v>
      </c>
      <c r="Z376">
        <v>0</v>
      </c>
      <c r="AA376">
        <v>116.45060975609761</v>
      </c>
      <c r="AB376">
        <v>274.39999999999998</v>
      </c>
      <c r="AC376">
        <v>0</v>
      </c>
      <c r="AD376">
        <v>38.25</v>
      </c>
      <c r="AE376">
        <v>138</v>
      </c>
      <c r="AF376">
        <v>0</v>
      </c>
      <c r="AG376">
        <v>106.2954545454546</v>
      </c>
      <c r="AH376">
        <v>230</v>
      </c>
      <c r="AI376">
        <v>0</v>
      </c>
      <c r="AJ376">
        <v>16</v>
      </c>
      <c r="AK376">
        <v>80</v>
      </c>
      <c r="AL376">
        <v>1086</v>
      </c>
      <c r="AM376">
        <v>380</v>
      </c>
      <c r="AN376">
        <v>1466</v>
      </c>
      <c r="AO376">
        <v>46</v>
      </c>
      <c r="AP376">
        <v>218</v>
      </c>
    </row>
    <row r="377" spans="1:42" x14ac:dyDescent="0.3">
      <c r="A377" t="s">
        <v>1454</v>
      </c>
      <c r="B377" t="s">
        <v>115</v>
      </c>
      <c r="C377" t="s">
        <v>16</v>
      </c>
      <c r="D377" t="s">
        <v>116</v>
      </c>
      <c r="E377" t="s">
        <v>1009</v>
      </c>
      <c r="F377">
        <v>2017</v>
      </c>
      <c r="G377">
        <v>80</v>
      </c>
      <c r="H377">
        <v>1</v>
      </c>
      <c r="I377">
        <v>0</v>
      </c>
      <c r="J377">
        <v>20</v>
      </c>
      <c r="K377">
        <v>16</v>
      </c>
      <c r="L377" t="s">
        <v>1327</v>
      </c>
      <c r="M377">
        <v>32.574412532637083</v>
      </c>
      <c r="N377">
        <v>264</v>
      </c>
      <c r="O377">
        <v>0</v>
      </c>
      <c r="P377">
        <v>32.821428571428569</v>
      </c>
      <c r="Q377">
        <v>89.621428571428581</v>
      </c>
      <c r="R377">
        <v>0.247016038791493</v>
      </c>
      <c r="S377">
        <v>113</v>
      </c>
      <c r="T377">
        <v>0</v>
      </c>
      <c r="U377">
        <v>38.236842105263158</v>
      </c>
      <c r="V377">
        <v>264</v>
      </c>
      <c r="W377">
        <v>0</v>
      </c>
      <c r="X377">
        <v>42.251824817518248</v>
      </c>
      <c r="Y377">
        <v>264</v>
      </c>
      <c r="Z377">
        <v>0</v>
      </c>
      <c r="AA377">
        <v>77.646715328467153</v>
      </c>
      <c r="AB377">
        <v>200</v>
      </c>
      <c r="AC377">
        <v>0</v>
      </c>
      <c r="AD377">
        <v>38.25</v>
      </c>
      <c r="AE377">
        <v>138</v>
      </c>
      <c r="AF377">
        <v>0</v>
      </c>
      <c r="AG377">
        <v>106.2954545454546</v>
      </c>
      <c r="AH377">
        <v>230</v>
      </c>
      <c r="AI377">
        <v>0</v>
      </c>
      <c r="AJ377">
        <v>104</v>
      </c>
      <c r="AK377">
        <v>118.2</v>
      </c>
      <c r="AL377">
        <v>1085</v>
      </c>
      <c r="AM377">
        <v>380</v>
      </c>
      <c r="AN377">
        <v>1465</v>
      </c>
      <c r="AO377">
        <v>45</v>
      </c>
      <c r="AP377">
        <v>628</v>
      </c>
    </row>
    <row r="378" spans="1:42" x14ac:dyDescent="0.3">
      <c r="A378" t="s">
        <v>1050</v>
      </c>
      <c r="B378" t="s">
        <v>115</v>
      </c>
      <c r="C378" t="s">
        <v>16</v>
      </c>
      <c r="D378" t="s">
        <v>116</v>
      </c>
      <c r="E378" t="s">
        <v>1021</v>
      </c>
      <c r="F378">
        <v>2017</v>
      </c>
      <c r="G378">
        <v>118.2</v>
      </c>
      <c r="H378">
        <v>11</v>
      </c>
      <c r="I378">
        <v>3</v>
      </c>
      <c r="J378">
        <v>88</v>
      </c>
      <c r="K378">
        <v>104</v>
      </c>
      <c r="L378" t="s">
        <v>979</v>
      </c>
      <c r="M378">
        <v>32.387434554973822</v>
      </c>
      <c r="N378">
        <v>264</v>
      </c>
      <c r="O378">
        <v>0</v>
      </c>
      <c r="P378">
        <v>32.821428571428569</v>
      </c>
      <c r="Q378">
        <v>89.621428571428581</v>
      </c>
      <c r="R378">
        <v>0.43399401645474711</v>
      </c>
      <c r="S378">
        <v>113</v>
      </c>
      <c r="T378">
        <v>0</v>
      </c>
      <c r="U378">
        <v>38.236842105263158</v>
      </c>
      <c r="V378">
        <v>264</v>
      </c>
      <c r="W378">
        <v>0</v>
      </c>
      <c r="X378">
        <v>42.251824817518248</v>
      </c>
      <c r="Y378">
        <v>264</v>
      </c>
      <c r="Z378">
        <v>0</v>
      </c>
      <c r="AA378">
        <v>77.646715328467153</v>
      </c>
      <c r="AB378">
        <v>200</v>
      </c>
      <c r="AC378">
        <v>0</v>
      </c>
      <c r="AD378">
        <v>37</v>
      </c>
      <c r="AE378">
        <v>124</v>
      </c>
      <c r="AF378">
        <v>0</v>
      </c>
      <c r="AG378">
        <v>84.736842105263165</v>
      </c>
      <c r="AH378">
        <v>221.4</v>
      </c>
      <c r="AI378">
        <v>0</v>
      </c>
      <c r="AJ378">
        <v>124</v>
      </c>
      <c r="AK378">
        <v>85.5</v>
      </c>
      <c r="AL378">
        <v>1074</v>
      </c>
      <c r="AM378">
        <v>377</v>
      </c>
      <c r="AN378">
        <v>1451</v>
      </c>
      <c r="AO378">
        <v>31</v>
      </c>
      <c r="AP378">
        <v>614</v>
      </c>
    </row>
    <row r="379" spans="1:42" x14ac:dyDescent="0.3">
      <c r="A379" t="s">
        <v>1020</v>
      </c>
      <c r="B379" t="s">
        <v>115</v>
      </c>
      <c r="C379" t="s">
        <v>16</v>
      </c>
      <c r="D379" t="s">
        <v>204</v>
      </c>
      <c r="E379" t="s">
        <v>1021</v>
      </c>
      <c r="F379">
        <v>2017</v>
      </c>
      <c r="G379">
        <v>85.5</v>
      </c>
      <c r="H379">
        <v>16</v>
      </c>
      <c r="I379">
        <v>2</v>
      </c>
      <c r="J379">
        <v>145</v>
      </c>
      <c r="K379">
        <v>124</v>
      </c>
      <c r="L379" t="s">
        <v>979</v>
      </c>
      <c r="M379">
        <v>32.14698162729659</v>
      </c>
      <c r="N379">
        <v>264</v>
      </c>
      <c r="O379">
        <v>0</v>
      </c>
      <c r="P379">
        <v>53.4</v>
      </c>
      <c r="Q379">
        <v>85.059999999999988</v>
      </c>
      <c r="R379">
        <v>21.253018372703409</v>
      </c>
      <c r="S379">
        <v>124</v>
      </c>
      <c r="T379">
        <v>4</v>
      </c>
      <c r="U379">
        <v>38.236842105263158</v>
      </c>
      <c r="V379">
        <v>264</v>
      </c>
      <c r="W379">
        <v>0</v>
      </c>
      <c r="X379">
        <v>42.251824817518248</v>
      </c>
      <c r="Y379">
        <v>264</v>
      </c>
      <c r="Z379">
        <v>0</v>
      </c>
      <c r="AA379">
        <v>77.646715328467153</v>
      </c>
      <c r="AB379">
        <v>200</v>
      </c>
      <c r="AC379">
        <v>0</v>
      </c>
      <c r="AD379">
        <v>37</v>
      </c>
      <c r="AE379">
        <v>124</v>
      </c>
      <c r="AF379">
        <v>0</v>
      </c>
      <c r="AG379">
        <v>84.736842105263165</v>
      </c>
      <c r="AH379">
        <v>221.4</v>
      </c>
      <c r="AI379">
        <v>0</v>
      </c>
      <c r="AJ379">
        <v>54</v>
      </c>
      <c r="AK379">
        <v>120</v>
      </c>
      <c r="AL379">
        <v>1058</v>
      </c>
      <c r="AM379">
        <v>375</v>
      </c>
      <c r="AN379">
        <v>1433</v>
      </c>
      <c r="AO379">
        <v>9</v>
      </c>
      <c r="AP379">
        <v>596</v>
      </c>
    </row>
    <row r="380" spans="1:42" x14ac:dyDescent="0.3">
      <c r="A380" t="s">
        <v>1198</v>
      </c>
      <c r="B380" t="s">
        <v>115</v>
      </c>
      <c r="C380" t="s">
        <v>16</v>
      </c>
      <c r="D380" t="s">
        <v>204</v>
      </c>
      <c r="E380" t="s">
        <v>1021</v>
      </c>
      <c r="F380">
        <v>2017</v>
      </c>
      <c r="G380">
        <v>120</v>
      </c>
      <c r="H380">
        <v>5</v>
      </c>
      <c r="I380">
        <v>3</v>
      </c>
      <c r="J380">
        <v>45</v>
      </c>
      <c r="K380">
        <v>54</v>
      </c>
      <c r="L380" t="s">
        <v>979</v>
      </c>
      <c r="M380">
        <v>32.089473684210517</v>
      </c>
      <c r="N380">
        <v>264</v>
      </c>
      <c r="O380">
        <v>0</v>
      </c>
      <c r="P380">
        <v>53.4</v>
      </c>
      <c r="Q380">
        <v>85.059999999999988</v>
      </c>
      <c r="R380">
        <v>21.31052631578947</v>
      </c>
      <c r="S380">
        <v>124</v>
      </c>
      <c r="T380">
        <v>4</v>
      </c>
      <c r="U380">
        <v>38.236842105263158</v>
      </c>
      <c r="V380">
        <v>264</v>
      </c>
      <c r="W380">
        <v>0</v>
      </c>
      <c r="X380">
        <v>42.251824817518248</v>
      </c>
      <c r="Y380">
        <v>264</v>
      </c>
      <c r="Z380">
        <v>0</v>
      </c>
      <c r="AA380">
        <v>77.646715328467153</v>
      </c>
      <c r="AB380">
        <v>200</v>
      </c>
      <c r="AC380">
        <v>0</v>
      </c>
      <c r="AD380">
        <v>37</v>
      </c>
      <c r="AE380">
        <v>124</v>
      </c>
      <c r="AF380">
        <v>0</v>
      </c>
      <c r="AG380">
        <v>84.736842105263165</v>
      </c>
      <c r="AH380">
        <v>221.4</v>
      </c>
      <c r="AI380">
        <v>0</v>
      </c>
      <c r="AJ380">
        <v>4</v>
      </c>
      <c r="AK380">
        <v>30.8</v>
      </c>
      <c r="AL380">
        <v>1053</v>
      </c>
      <c r="AM380">
        <v>372</v>
      </c>
      <c r="AN380">
        <v>1425</v>
      </c>
      <c r="AO380">
        <v>1</v>
      </c>
      <c r="AP380">
        <v>588</v>
      </c>
    </row>
    <row r="381" spans="1:42" x14ac:dyDescent="0.3">
      <c r="A381" t="s">
        <v>1652</v>
      </c>
      <c r="B381" t="s">
        <v>115</v>
      </c>
      <c r="C381" t="s">
        <v>16</v>
      </c>
      <c r="D381" t="s">
        <v>568</v>
      </c>
      <c r="E381" t="s">
        <v>1021</v>
      </c>
      <c r="F381">
        <v>2017</v>
      </c>
      <c r="G381">
        <v>30.8</v>
      </c>
      <c r="H381">
        <v>0</v>
      </c>
      <c r="I381">
        <v>0</v>
      </c>
      <c r="J381">
        <v>13</v>
      </c>
      <c r="K381">
        <v>4</v>
      </c>
      <c r="L381" t="s">
        <v>1327</v>
      </c>
      <c r="M381">
        <v>32.163588390501317</v>
      </c>
      <c r="N381">
        <v>264</v>
      </c>
      <c r="O381">
        <v>0</v>
      </c>
      <c r="P381">
        <v>16.666666666666671</v>
      </c>
      <c r="Q381">
        <v>48.733333333333327</v>
      </c>
      <c r="R381">
        <v>-15.496921723834649</v>
      </c>
      <c r="S381">
        <v>69</v>
      </c>
      <c r="T381">
        <v>0</v>
      </c>
      <c r="U381">
        <v>38.236842105263158</v>
      </c>
      <c r="V381">
        <v>264</v>
      </c>
      <c r="W381">
        <v>0</v>
      </c>
      <c r="X381">
        <v>42.251824817518248</v>
      </c>
      <c r="Y381">
        <v>264</v>
      </c>
      <c r="Z381">
        <v>0</v>
      </c>
      <c r="AA381">
        <v>77.646715328467153</v>
      </c>
      <c r="AB381">
        <v>200</v>
      </c>
      <c r="AC381">
        <v>0</v>
      </c>
      <c r="AD381">
        <v>37</v>
      </c>
      <c r="AE381">
        <v>124</v>
      </c>
      <c r="AF381">
        <v>0</v>
      </c>
      <c r="AG381">
        <v>84.736842105263165</v>
      </c>
      <c r="AH381">
        <v>221.4</v>
      </c>
      <c r="AI381">
        <v>0</v>
      </c>
      <c r="AL381">
        <v>1053</v>
      </c>
      <c r="AM381">
        <v>372</v>
      </c>
      <c r="AN381">
        <v>1425</v>
      </c>
      <c r="AO381">
        <v>19</v>
      </c>
      <c r="AP381">
        <v>588</v>
      </c>
    </row>
    <row r="382" spans="1:42" x14ac:dyDescent="0.3">
      <c r="A382" t="s">
        <v>1746</v>
      </c>
      <c r="B382" t="s">
        <v>71</v>
      </c>
      <c r="C382" t="s">
        <v>16</v>
      </c>
      <c r="D382" t="s">
        <v>218</v>
      </c>
      <c r="E382" t="s">
        <v>1007</v>
      </c>
      <c r="F382">
        <v>2017</v>
      </c>
      <c r="G382">
        <v>0</v>
      </c>
      <c r="H382">
        <v>0</v>
      </c>
      <c r="I382">
        <v>0</v>
      </c>
      <c r="J382">
        <v>3</v>
      </c>
      <c r="K382">
        <v>0</v>
      </c>
      <c r="L382" t="s">
        <v>1327</v>
      </c>
      <c r="M382">
        <v>32.248677248677247</v>
      </c>
      <c r="N382">
        <v>264</v>
      </c>
      <c r="O382">
        <v>0</v>
      </c>
      <c r="P382">
        <v>46.46153846153846</v>
      </c>
      <c r="Q382">
        <v>74.492307692307705</v>
      </c>
      <c r="R382">
        <v>14.21286121286121</v>
      </c>
      <c r="S382">
        <v>138</v>
      </c>
      <c r="T382">
        <v>0</v>
      </c>
      <c r="U382">
        <v>33.333333333333343</v>
      </c>
      <c r="V382">
        <v>140</v>
      </c>
      <c r="W382">
        <v>0</v>
      </c>
      <c r="X382">
        <v>42.251824817518248</v>
      </c>
      <c r="Y382">
        <v>264</v>
      </c>
      <c r="Z382">
        <v>0</v>
      </c>
      <c r="AA382">
        <v>77.646715328467153</v>
      </c>
      <c r="AB382">
        <v>200</v>
      </c>
      <c r="AC382">
        <v>0</v>
      </c>
      <c r="AD382">
        <v>37.180327868852459</v>
      </c>
      <c r="AE382">
        <v>140</v>
      </c>
      <c r="AF382">
        <v>0</v>
      </c>
      <c r="AG382">
        <v>82.911475409836058</v>
      </c>
      <c r="AH382">
        <v>224.4</v>
      </c>
      <c r="AI382">
        <v>0</v>
      </c>
      <c r="AJ382">
        <v>123</v>
      </c>
      <c r="AK382">
        <v>95.3</v>
      </c>
      <c r="AL382">
        <v>1053</v>
      </c>
      <c r="AM382">
        <v>372</v>
      </c>
      <c r="AN382">
        <v>1425</v>
      </c>
      <c r="AO382">
        <v>20</v>
      </c>
      <c r="AP382">
        <v>588</v>
      </c>
    </row>
    <row r="383" spans="1:42" x14ac:dyDescent="0.3">
      <c r="A383" t="s">
        <v>1023</v>
      </c>
      <c r="B383" t="s">
        <v>73</v>
      </c>
      <c r="C383" t="s">
        <v>16</v>
      </c>
      <c r="D383" t="s">
        <v>292</v>
      </c>
      <c r="E383" t="s">
        <v>1007</v>
      </c>
      <c r="F383">
        <v>2017</v>
      </c>
      <c r="G383">
        <v>95.3</v>
      </c>
      <c r="H383">
        <v>15</v>
      </c>
      <c r="I383">
        <v>1</v>
      </c>
      <c r="J383">
        <v>129</v>
      </c>
      <c r="K383">
        <v>123</v>
      </c>
      <c r="L383" t="s">
        <v>979</v>
      </c>
      <c r="M383">
        <v>32.007957559681699</v>
      </c>
      <c r="N383">
        <v>264</v>
      </c>
      <c r="O383">
        <v>0</v>
      </c>
      <c r="P383">
        <v>68.285714285714292</v>
      </c>
      <c r="Q383">
        <v>93.428571428571431</v>
      </c>
      <c r="R383">
        <v>36.277756726032592</v>
      </c>
      <c r="S383">
        <v>123</v>
      </c>
      <c r="T383">
        <v>9</v>
      </c>
      <c r="U383">
        <v>38.228571428571428</v>
      </c>
      <c r="V383">
        <v>137</v>
      </c>
      <c r="W383">
        <v>0</v>
      </c>
      <c r="X383">
        <v>42.251824817518248</v>
      </c>
      <c r="Y383">
        <v>264</v>
      </c>
      <c r="Z383">
        <v>0</v>
      </c>
      <c r="AA383">
        <v>77.646715328467153</v>
      </c>
      <c r="AB383">
        <v>200</v>
      </c>
      <c r="AC383">
        <v>0</v>
      </c>
      <c r="AD383">
        <v>37.180327868852459</v>
      </c>
      <c r="AE383">
        <v>140</v>
      </c>
      <c r="AF383">
        <v>0</v>
      </c>
      <c r="AG383">
        <v>82.911475409836058</v>
      </c>
      <c r="AH383">
        <v>224.4</v>
      </c>
      <c r="AI383">
        <v>0</v>
      </c>
      <c r="AJ383">
        <v>12</v>
      </c>
      <c r="AK383">
        <v>60</v>
      </c>
      <c r="AL383">
        <v>1038</v>
      </c>
      <c r="AM383">
        <v>371</v>
      </c>
      <c r="AN383">
        <v>1409</v>
      </c>
      <c r="AO383">
        <v>12</v>
      </c>
      <c r="AP383">
        <v>572</v>
      </c>
    </row>
    <row r="384" spans="1:42" x14ac:dyDescent="0.3">
      <c r="A384" t="s">
        <v>1509</v>
      </c>
      <c r="B384" t="s">
        <v>24</v>
      </c>
      <c r="C384" t="s">
        <v>16</v>
      </c>
      <c r="D384" t="s">
        <v>218</v>
      </c>
      <c r="E384" t="s">
        <v>1007</v>
      </c>
      <c r="F384">
        <v>2017</v>
      </c>
      <c r="G384">
        <v>60</v>
      </c>
      <c r="H384">
        <v>1</v>
      </c>
      <c r="I384">
        <v>1</v>
      </c>
      <c r="J384">
        <v>20</v>
      </c>
      <c r="K384">
        <v>12</v>
      </c>
      <c r="L384" t="s">
        <v>1327</v>
      </c>
      <c r="M384">
        <v>32.061170212765958</v>
      </c>
      <c r="N384">
        <v>264</v>
      </c>
      <c r="O384">
        <v>0</v>
      </c>
      <c r="P384">
        <v>46.46153846153846</v>
      </c>
      <c r="Q384">
        <v>74.492307692307705</v>
      </c>
      <c r="R384">
        <v>14.4003682487725</v>
      </c>
      <c r="S384">
        <v>138</v>
      </c>
      <c r="T384">
        <v>0</v>
      </c>
      <c r="U384">
        <v>37.163636363636357</v>
      </c>
      <c r="V384">
        <v>303</v>
      </c>
      <c r="W384">
        <v>0</v>
      </c>
      <c r="X384">
        <v>42.251824817518248</v>
      </c>
      <c r="Y384">
        <v>264</v>
      </c>
      <c r="Z384">
        <v>0</v>
      </c>
      <c r="AA384">
        <v>77.646715328467153</v>
      </c>
      <c r="AB384">
        <v>200</v>
      </c>
      <c r="AC384">
        <v>0</v>
      </c>
      <c r="AD384">
        <v>37.180327868852459</v>
      </c>
      <c r="AE384">
        <v>140</v>
      </c>
      <c r="AF384">
        <v>0</v>
      </c>
      <c r="AG384">
        <v>82.911475409836058</v>
      </c>
      <c r="AH384">
        <v>224.4</v>
      </c>
      <c r="AI384">
        <v>0</v>
      </c>
      <c r="AJ384">
        <v>78</v>
      </c>
      <c r="AK384">
        <v>98.7</v>
      </c>
      <c r="AL384">
        <v>1037</v>
      </c>
      <c r="AM384">
        <v>370</v>
      </c>
      <c r="AN384">
        <v>1407</v>
      </c>
      <c r="AO384">
        <v>18</v>
      </c>
      <c r="AP384">
        <v>570</v>
      </c>
    </row>
    <row r="385" spans="1:42" x14ac:dyDescent="0.3">
      <c r="A385" t="s">
        <v>1099</v>
      </c>
      <c r="B385" t="s">
        <v>115</v>
      </c>
      <c r="C385" t="s">
        <v>16</v>
      </c>
      <c r="D385" t="s">
        <v>218</v>
      </c>
      <c r="E385" t="s">
        <v>1007</v>
      </c>
      <c r="F385">
        <v>2017</v>
      </c>
      <c r="G385">
        <v>98.7</v>
      </c>
      <c r="H385">
        <v>6</v>
      </c>
      <c r="I385">
        <v>3</v>
      </c>
      <c r="J385">
        <v>79</v>
      </c>
      <c r="K385">
        <v>78</v>
      </c>
      <c r="L385" t="s">
        <v>979</v>
      </c>
      <c r="M385">
        <v>31.93866666666667</v>
      </c>
      <c r="N385">
        <v>264</v>
      </c>
      <c r="O385">
        <v>0</v>
      </c>
      <c r="P385">
        <v>46.46153846153846</v>
      </c>
      <c r="Q385">
        <v>74.492307692307705</v>
      </c>
      <c r="R385">
        <v>14.52287179487179</v>
      </c>
      <c r="S385">
        <v>138</v>
      </c>
      <c r="T385">
        <v>0</v>
      </c>
      <c r="U385">
        <v>38.236842105263158</v>
      </c>
      <c r="V385">
        <v>264</v>
      </c>
      <c r="W385">
        <v>0</v>
      </c>
      <c r="X385">
        <v>42.251824817518248</v>
      </c>
      <c r="Y385">
        <v>264</v>
      </c>
      <c r="Z385">
        <v>0</v>
      </c>
      <c r="AA385">
        <v>77.646715328467153</v>
      </c>
      <c r="AB385">
        <v>200</v>
      </c>
      <c r="AC385">
        <v>0</v>
      </c>
      <c r="AD385">
        <v>37.180327868852459</v>
      </c>
      <c r="AE385">
        <v>140</v>
      </c>
      <c r="AF385">
        <v>0</v>
      </c>
      <c r="AG385">
        <v>82.911475409836058</v>
      </c>
      <c r="AH385">
        <v>224.4</v>
      </c>
      <c r="AI385">
        <v>0</v>
      </c>
      <c r="AJ385">
        <v>91</v>
      </c>
      <c r="AK385">
        <v>76.5</v>
      </c>
      <c r="AL385">
        <v>1031</v>
      </c>
      <c r="AM385">
        <v>367</v>
      </c>
      <c r="AN385">
        <v>1398</v>
      </c>
      <c r="AO385">
        <v>9</v>
      </c>
      <c r="AP385">
        <v>561</v>
      </c>
    </row>
    <row r="386" spans="1:42" x14ac:dyDescent="0.3">
      <c r="A386" t="s">
        <v>1070</v>
      </c>
      <c r="B386" t="s">
        <v>71</v>
      </c>
      <c r="C386" t="s">
        <v>16</v>
      </c>
      <c r="D386" t="s">
        <v>292</v>
      </c>
      <c r="E386" t="s">
        <v>1007</v>
      </c>
      <c r="F386">
        <v>2017</v>
      </c>
      <c r="G386">
        <v>76.5</v>
      </c>
      <c r="H386">
        <v>7</v>
      </c>
      <c r="I386">
        <v>2</v>
      </c>
      <c r="J386">
        <v>119</v>
      </c>
      <c r="K386">
        <v>91</v>
      </c>
      <c r="L386" t="s">
        <v>979</v>
      </c>
      <c r="M386">
        <v>31.780748663101601</v>
      </c>
      <c r="N386">
        <v>264</v>
      </c>
      <c r="O386">
        <v>0</v>
      </c>
      <c r="P386">
        <v>68.285714285714292</v>
      </c>
      <c r="Q386">
        <v>93.428571428571431</v>
      </c>
      <c r="R386">
        <v>36.504965622612687</v>
      </c>
      <c r="S386">
        <v>123</v>
      </c>
      <c r="T386">
        <v>9</v>
      </c>
      <c r="U386">
        <v>33.333333333333343</v>
      </c>
      <c r="V386">
        <v>140</v>
      </c>
      <c r="W386">
        <v>0</v>
      </c>
      <c r="X386">
        <v>42.251824817518248</v>
      </c>
      <c r="Y386">
        <v>264</v>
      </c>
      <c r="Z386">
        <v>0</v>
      </c>
      <c r="AA386">
        <v>77.646715328467153</v>
      </c>
      <c r="AB386">
        <v>200</v>
      </c>
      <c r="AC386">
        <v>0</v>
      </c>
      <c r="AD386">
        <v>37.180327868852459</v>
      </c>
      <c r="AE386">
        <v>140</v>
      </c>
      <c r="AF386">
        <v>0</v>
      </c>
      <c r="AG386">
        <v>82.911475409836058</v>
      </c>
      <c r="AH386">
        <v>224.4</v>
      </c>
      <c r="AI386">
        <v>0</v>
      </c>
      <c r="AL386">
        <v>1024</v>
      </c>
      <c r="AM386">
        <v>365</v>
      </c>
      <c r="AN386">
        <v>1389</v>
      </c>
      <c r="AO386">
        <v>3</v>
      </c>
      <c r="AP386">
        <v>552</v>
      </c>
    </row>
    <row r="387" spans="1:42" x14ac:dyDescent="0.3">
      <c r="A387" t="s">
        <v>1382</v>
      </c>
      <c r="B387" t="s">
        <v>576</v>
      </c>
      <c r="C387" t="s">
        <v>1043</v>
      </c>
      <c r="D387" t="s">
        <v>54</v>
      </c>
      <c r="E387" t="s">
        <v>1036</v>
      </c>
      <c r="F387">
        <v>2017</v>
      </c>
      <c r="G387">
        <v>109.1</v>
      </c>
      <c r="H387">
        <v>4</v>
      </c>
      <c r="I387">
        <v>0</v>
      </c>
      <c r="J387">
        <v>22</v>
      </c>
      <c r="K387">
        <v>24</v>
      </c>
      <c r="L387" t="s">
        <v>1327</v>
      </c>
      <c r="M387">
        <v>31.801608579088469</v>
      </c>
      <c r="N387">
        <v>264</v>
      </c>
      <c r="O387">
        <v>0</v>
      </c>
      <c r="P387">
        <v>30</v>
      </c>
      <c r="Q387">
        <v>129.072</v>
      </c>
      <c r="R387">
        <v>-1.801608579088473</v>
      </c>
      <c r="S387">
        <v>76</v>
      </c>
      <c r="T387">
        <v>1</v>
      </c>
      <c r="U387">
        <v>30.8</v>
      </c>
      <c r="V387">
        <v>85</v>
      </c>
      <c r="W387">
        <v>1</v>
      </c>
      <c r="X387">
        <v>26.556862745098041</v>
      </c>
      <c r="Y387">
        <v>109</v>
      </c>
      <c r="Z387">
        <v>0</v>
      </c>
      <c r="AA387">
        <v>114.6301960784314</v>
      </c>
      <c r="AB387">
        <v>350</v>
      </c>
      <c r="AC387">
        <v>0</v>
      </c>
      <c r="AD387">
        <v>26.732758620689651</v>
      </c>
      <c r="AE387">
        <v>114</v>
      </c>
      <c r="AF387">
        <v>0</v>
      </c>
      <c r="AG387">
        <v>115.31896551724139</v>
      </c>
      <c r="AH387">
        <v>350</v>
      </c>
      <c r="AI387">
        <v>0</v>
      </c>
      <c r="AJ387">
        <v>27</v>
      </c>
      <c r="AK387">
        <v>79.150000000000006</v>
      </c>
      <c r="AL387">
        <v>1020</v>
      </c>
      <c r="AM387">
        <v>365</v>
      </c>
      <c r="AN387">
        <v>1385</v>
      </c>
      <c r="AO387">
        <v>56</v>
      </c>
      <c r="AP387">
        <v>475</v>
      </c>
    </row>
    <row r="388" spans="1:42" x14ac:dyDescent="0.3">
      <c r="A388" t="s">
        <v>1364</v>
      </c>
      <c r="B388" t="s">
        <v>11</v>
      </c>
      <c r="C388" t="s">
        <v>1043</v>
      </c>
      <c r="D388" t="s">
        <v>103</v>
      </c>
      <c r="E388" t="s">
        <v>1036</v>
      </c>
      <c r="F388">
        <v>2017</v>
      </c>
      <c r="G388">
        <v>108.3</v>
      </c>
      <c r="H388">
        <v>1</v>
      </c>
      <c r="I388">
        <v>1</v>
      </c>
      <c r="J388">
        <v>24</v>
      </c>
      <c r="K388">
        <v>26</v>
      </c>
      <c r="L388" t="s">
        <v>1327</v>
      </c>
      <c r="M388">
        <v>31.817204301075272</v>
      </c>
      <c r="N388">
        <v>264</v>
      </c>
      <c r="O388">
        <v>0</v>
      </c>
      <c r="P388">
        <v>43.391304347826093</v>
      </c>
      <c r="Q388">
        <v>100.17391304347829</v>
      </c>
      <c r="R388">
        <v>11.57410004675082</v>
      </c>
      <c r="S388">
        <v>209</v>
      </c>
      <c r="T388">
        <v>0</v>
      </c>
      <c r="U388">
        <v>31.852941176470591</v>
      </c>
      <c r="V388">
        <v>109</v>
      </c>
      <c r="W388">
        <v>0</v>
      </c>
      <c r="X388">
        <v>26.556862745098041</v>
      </c>
      <c r="Y388">
        <v>109</v>
      </c>
      <c r="Z388">
        <v>0</v>
      </c>
      <c r="AA388">
        <v>114.6301960784314</v>
      </c>
      <c r="AB388">
        <v>350</v>
      </c>
      <c r="AC388">
        <v>0</v>
      </c>
      <c r="AD388">
        <v>26.732758620689651</v>
      </c>
      <c r="AE388">
        <v>114</v>
      </c>
      <c r="AF388">
        <v>0</v>
      </c>
      <c r="AG388">
        <v>115.31896551724139</v>
      </c>
      <c r="AH388">
        <v>350</v>
      </c>
      <c r="AI388">
        <v>0</v>
      </c>
      <c r="AJ388">
        <v>1</v>
      </c>
      <c r="AK388">
        <v>50</v>
      </c>
      <c r="AL388">
        <v>1019</v>
      </c>
      <c r="AM388">
        <v>364</v>
      </c>
      <c r="AN388">
        <v>1383</v>
      </c>
      <c r="AO388">
        <v>56</v>
      </c>
      <c r="AP388">
        <v>473</v>
      </c>
    </row>
    <row r="389" spans="1:42" x14ac:dyDescent="0.3">
      <c r="A389" t="s">
        <v>1709</v>
      </c>
      <c r="B389" t="s">
        <v>576</v>
      </c>
      <c r="C389" t="s">
        <v>1043</v>
      </c>
      <c r="D389" t="s">
        <v>12</v>
      </c>
      <c r="E389" t="s">
        <v>1036</v>
      </c>
      <c r="F389">
        <v>2017</v>
      </c>
      <c r="G389">
        <v>50</v>
      </c>
      <c r="H389">
        <v>0</v>
      </c>
      <c r="I389">
        <v>0</v>
      </c>
      <c r="J389">
        <v>2</v>
      </c>
      <c r="K389">
        <v>1</v>
      </c>
      <c r="L389" t="s">
        <v>1327</v>
      </c>
      <c r="M389">
        <v>31.900269541778979</v>
      </c>
      <c r="N389">
        <v>264</v>
      </c>
      <c r="O389">
        <v>0</v>
      </c>
      <c r="P389">
        <v>31.203883495145629</v>
      </c>
      <c r="Q389">
        <v>120.5689320388349</v>
      </c>
      <c r="R389">
        <v>-0.69638604663334291</v>
      </c>
      <c r="S389">
        <v>162</v>
      </c>
      <c r="T389">
        <v>0</v>
      </c>
      <c r="U389">
        <v>30.8</v>
      </c>
      <c r="V389">
        <v>85</v>
      </c>
      <c r="W389">
        <v>1</v>
      </c>
      <c r="X389">
        <v>26.556862745098041</v>
      </c>
      <c r="Y389">
        <v>109</v>
      </c>
      <c r="Z389">
        <v>0</v>
      </c>
      <c r="AA389">
        <v>114.6301960784314</v>
      </c>
      <c r="AB389">
        <v>350</v>
      </c>
      <c r="AC389">
        <v>0</v>
      </c>
      <c r="AD389">
        <v>26.732758620689651</v>
      </c>
      <c r="AE389">
        <v>114</v>
      </c>
      <c r="AF389">
        <v>0</v>
      </c>
      <c r="AG389">
        <v>115.31896551724139</v>
      </c>
      <c r="AH389">
        <v>350</v>
      </c>
      <c r="AI389">
        <v>0</v>
      </c>
      <c r="AJ389">
        <v>32</v>
      </c>
      <c r="AK389">
        <v>100</v>
      </c>
      <c r="AL389">
        <v>1019</v>
      </c>
      <c r="AM389">
        <v>364</v>
      </c>
      <c r="AN389">
        <v>1383</v>
      </c>
      <c r="AO389">
        <v>205</v>
      </c>
      <c r="AP389">
        <v>473</v>
      </c>
    </row>
    <row r="390" spans="1:42" x14ac:dyDescent="0.3">
      <c r="A390" t="s">
        <v>1355</v>
      </c>
      <c r="B390" t="s">
        <v>11</v>
      </c>
      <c r="C390" t="s">
        <v>1043</v>
      </c>
      <c r="D390" t="s">
        <v>139</v>
      </c>
      <c r="E390" t="s">
        <v>1036</v>
      </c>
      <c r="F390">
        <v>2017</v>
      </c>
      <c r="G390">
        <v>128.6</v>
      </c>
      <c r="H390">
        <v>4</v>
      </c>
      <c r="I390">
        <v>1</v>
      </c>
      <c r="J390">
        <v>21</v>
      </c>
      <c r="K390">
        <v>27</v>
      </c>
      <c r="L390" t="s">
        <v>1327</v>
      </c>
      <c r="M390">
        <v>31.913513513513511</v>
      </c>
      <c r="N390">
        <v>264</v>
      </c>
      <c r="O390">
        <v>0</v>
      </c>
      <c r="P390">
        <v>45.666666666666657</v>
      </c>
      <c r="Q390">
        <v>104.1166666666667</v>
      </c>
      <c r="R390">
        <v>13.75315315315315</v>
      </c>
      <c r="S390">
        <v>264</v>
      </c>
      <c r="T390">
        <v>0</v>
      </c>
      <c r="U390">
        <v>31.852941176470591</v>
      </c>
      <c r="V390">
        <v>109</v>
      </c>
      <c r="W390">
        <v>0</v>
      </c>
      <c r="X390">
        <v>26.556862745098041</v>
      </c>
      <c r="Y390">
        <v>109</v>
      </c>
      <c r="Z390">
        <v>0</v>
      </c>
      <c r="AA390">
        <v>114.6301960784314</v>
      </c>
      <c r="AB390">
        <v>350</v>
      </c>
      <c r="AC390">
        <v>0</v>
      </c>
      <c r="AD390">
        <v>26.732758620689651</v>
      </c>
      <c r="AE390">
        <v>114</v>
      </c>
      <c r="AF390">
        <v>0</v>
      </c>
      <c r="AG390">
        <v>115.31896551724139</v>
      </c>
      <c r="AH390">
        <v>350</v>
      </c>
      <c r="AI390">
        <v>0</v>
      </c>
      <c r="AJ390">
        <v>72</v>
      </c>
      <c r="AK390">
        <v>110.15</v>
      </c>
      <c r="AL390">
        <v>1015</v>
      </c>
      <c r="AM390">
        <v>363</v>
      </c>
      <c r="AN390">
        <v>1378</v>
      </c>
      <c r="AO390">
        <v>136</v>
      </c>
      <c r="AP390">
        <v>468</v>
      </c>
    </row>
    <row r="391" spans="1:42" x14ac:dyDescent="0.3">
      <c r="A391" t="s">
        <v>1627</v>
      </c>
      <c r="B391" t="s">
        <v>40</v>
      </c>
      <c r="C391" t="s">
        <v>1043</v>
      </c>
      <c r="D391" t="s">
        <v>12</v>
      </c>
      <c r="E391" t="s">
        <v>1036</v>
      </c>
      <c r="F391">
        <v>2017</v>
      </c>
      <c r="G391">
        <v>71.400000000000006</v>
      </c>
      <c r="H391">
        <v>0</v>
      </c>
      <c r="I391">
        <v>0</v>
      </c>
      <c r="J391">
        <v>7</v>
      </c>
      <c r="K391">
        <v>5</v>
      </c>
      <c r="L391" t="s">
        <v>1327</v>
      </c>
      <c r="M391">
        <v>31.986449864498649</v>
      </c>
      <c r="N391">
        <v>264</v>
      </c>
      <c r="O391">
        <v>0</v>
      </c>
      <c r="P391">
        <v>31.203883495145629</v>
      </c>
      <c r="Q391">
        <v>120.5689320388349</v>
      </c>
      <c r="R391">
        <v>-0.78256636935301316</v>
      </c>
      <c r="S391">
        <v>162</v>
      </c>
      <c r="T391">
        <v>0</v>
      </c>
      <c r="U391">
        <v>28.12903225806452</v>
      </c>
      <c r="V391">
        <v>79</v>
      </c>
      <c r="W391">
        <v>0</v>
      </c>
      <c r="X391">
        <v>26.556862745098041</v>
      </c>
      <c r="Y391">
        <v>109</v>
      </c>
      <c r="Z391">
        <v>0</v>
      </c>
      <c r="AA391">
        <v>114.6301960784314</v>
      </c>
      <c r="AB391">
        <v>350</v>
      </c>
      <c r="AC391">
        <v>0</v>
      </c>
      <c r="AD391">
        <v>26.732758620689651</v>
      </c>
      <c r="AE391">
        <v>114</v>
      </c>
      <c r="AF391">
        <v>0</v>
      </c>
      <c r="AG391">
        <v>115.31896551724139</v>
      </c>
      <c r="AH391">
        <v>350</v>
      </c>
      <c r="AI391">
        <v>0</v>
      </c>
      <c r="AJ391">
        <v>77</v>
      </c>
      <c r="AK391">
        <v>157.80000000000001</v>
      </c>
      <c r="AL391">
        <v>1015</v>
      </c>
      <c r="AM391">
        <v>363</v>
      </c>
      <c r="AN391">
        <v>1378</v>
      </c>
      <c r="AO391">
        <v>205</v>
      </c>
      <c r="AP391">
        <v>468</v>
      </c>
    </row>
    <row r="392" spans="1:42" x14ac:dyDescent="0.3">
      <c r="A392" t="s">
        <v>1134</v>
      </c>
      <c r="B392" t="s">
        <v>53</v>
      </c>
      <c r="C392" t="s">
        <v>1043</v>
      </c>
      <c r="D392" t="s">
        <v>54</v>
      </c>
      <c r="E392" t="s">
        <v>1036</v>
      </c>
      <c r="F392">
        <v>2017</v>
      </c>
      <c r="G392">
        <v>148.9</v>
      </c>
      <c r="H392">
        <v>6</v>
      </c>
      <c r="I392">
        <v>2</v>
      </c>
      <c r="J392">
        <v>45</v>
      </c>
      <c r="K392">
        <v>67</v>
      </c>
      <c r="L392" t="s">
        <v>979</v>
      </c>
      <c r="M392">
        <v>31.89130434782609</v>
      </c>
      <c r="N392">
        <v>264</v>
      </c>
      <c r="O392">
        <v>0</v>
      </c>
      <c r="P392">
        <v>30</v>
      </c>
      <c r="Q392">
        <v>129.072</v>
      </c>
      <c r="R392">
        <v>-1.891304347826086</v>
      </c>
      <c r="S392">
        <v>76</v>
      </c>
      <c r="T392">
        <v>1</v>
      </c>
      <c r="U392">
        <v>19.375</v>
      </c>
      <c r="V392">
        <v>70</v>
      </c>
      <c r="W392">
        <v>1</v>
      </c>
      <c r="X392">
        <v>26.556862745098041</v>
      </c>
      <c r="Y392">
        <v>109</v>
      </c>
      <c r="Z392">
        <v>0</v>
      </c>
      <c r="AA392">
        <v>114.6301960784314</v>
      </c>
      <c r="AB392">
        <v>350</v>
      </c>
      <c r="AC392">
        <v>0</v>
      </c>
      <c r="AD392">
        <v>26.732758620689651</v>
      </c>
      <c r="AE392">
        <v>114</v>
      </c>
      <c r="AF392">
        <v>0</v>
      </c>
      <c r="AG392">
        <v>115.31896551724139</v>
      </c>
      <c r="AH392">
        <v>350</v>
      </c>
      <c r="AI392">
        <v>0</v>
      </c>
      <c r="AJ392">
        <v>10</v>
      </c>
      <c r="AK392">
        <v>166.7</v>
      </c>
      <c r="AL392">
        <v>1009</v>
      </c>
      <c r="AM392">
        <v>361</v>
      </c>
      <c r="AN392">
        <v>1370</v>
      </c>
      <c r="AO392">
        <v>48</v>
      </c>
      <c r="AP392">
        <v>460</v>
      </c>
    </row>
    <row r="393" spans="1:42" x14ac:dyDescent="0.3">
      <c r="A393" t="s">
        <v>1545</v>
      </c>
      <c r="B393" t="s">
        <v>8</v>
      </c>
      <c r="C393" t="s">
        <v>1043</v>
      </c>
      <c r="D393" t="s">
        <v>9</v>
      </c>
      <c r="E393" t="s">
        <v>1036</v>
      </c>
      <c r="F393">
        <v>2017</v>
      </c>
      <c r="G393">
        <v>166.7</v>
      </c>
      <c r="H393">
        <v>1</v>
      </c>
      <c r="I393">
        <v>0</v>
      </c>
      <c r="J393">
        <v>6</v>
      </c>
      <c r="K393">
        <v>10</v>
      </c>
      <c r="L393" t="s">
        <v>1327</v>
      </c>
      <c r="M393">
        <v>31.950953678474111</v>
      </c>
      <c r="N393">
        <v>264</v>
      </c>
      <c r="O393">
        <v>0</v>
      </c>
      <c r="P393">
        <v>38.36</v>
      </c>
      <c r="Q393">
        <v>122.748</v>
      </c>
      <c r="R393">
        <v>6.409046321525885</v>
      </c>
      <c r="S393">
        <v>131</v>
      </c>
      <c r="T393">
        <v>1</v>
      </c>
      <c r="U393">
        <v>28.567567567567568</v>
      </c>
      <c r="V393">
        <v>74</v>
      </c>
      <c r="W393">
        <v>0</v>
      </c>
      <c r="X393">
        <v>26.556862745098041</v>
      </c>
      <c r="Y393">
        <v>109</v>
      </c>
      <c r="Z393">
        <v>0</v>
      </c>
      <c r="AA393">
        <v>114.6301960784314</v>
      </c>
      <c r="AB393">
        <v>350</v>
      </c>
      <c r="AC393">
        <v>0</v>
      </c>
      <c r="AD393">
        <v>26.732758620689651</v>
      </c>
      <c r="AE393">
        <v>114</v>
      </c>
      <c r="AF393">
        <v>0</v>
      </c>
      <c r="AG393">
        <v>115.31896551724139</v>
      </c>
      <c r="AH393">
        <v>350</v>
      </c>
      <c r="AI393">
        <v>0</v>
      </c>
      <c r="AJ393">
        <v>56</v>
      </c>
      <c r="AK393">
        <v>151.4</v>
      </c>
      <c r="AL393">
        <v>1008</v>
      </c>
      <c r="AM393">
        <v>361</v>
      </c>
      <c r="AN393">
        <v>1369</v>
      </c>
      <c r="AO393">
        <v>34</v>
      </c>
      <c r="AP393">
        <v>459</v>
      </c>
    </row>
    <row r="394" spans="1:42" x14ac:dyDescent="0.3">
      <c r="A394" t="s">
        <v>1189</v>
      </c>
      <c r="B394" t="s">
        <v>60</v>
      </c>
      <c r="C394" t="s">
        <v>1043</v>
      </c>
      <c r="D394" t="s">
        <v>12</v>
      </c>
      <c r="E394" t="s">
        <v>1036</v>
      </c>
      <c r="F394">
        <v>2017</v>
      </c>
      <c r="G394">
        <v>151.4</v>
      </c>
      <c r="H394">
        <v>6</v>
      </c>
      <c r="I394">
        <v>1</v>
      </c>
      <c r="J394">
        <v>37</v>
      </c>
      <c r="K394">
        <v>56</v>
      </c>
      <c r="L394" t="s">
        <v>979</v>
      </c>
      <c r="M394">
        <v>31.88524590163934</v>
      </c>
      <c r="N394">
        <v>264</v>
      </c>
      <c r="O394">
        <v>0</v>
      </c>
      <c r="P394">
        <v>31.203883495145629</v>
      </c>
      <c r="Q394">
        <v>120.5689320388349</v>
      </c>
      <c r="R394">
        <v>-0.6813624064937116</v>
      </c>
      <c r="S394">
        <v>162</v>
      </c>
      <c r="T394">
        <v>0</v>
      </c>
      <c r="U394">
        <v>25.96875</v>
      </c>
      <c r="V394">
        <v>94</v>
      </c>
      <c r="W394">
        <v>0</v>
      </c>
      <c r="X394">
        <v>26.556862745098041</v>
      </c>
      <c r="Y394">
        <v>109</v>
      </c>
      <c r="Z394">
        <v>0</v>
      </c>
      <c r="AA394">
        <v>114.6301960784314</v>
      </c>
      <c r="AB394">
        <v>350</v>
      </c>
      <c r="AC394">
        <v>0</v>
      </c>
      <c r="AD394">
        <v>26.732758620689651</v>
      </c>
      <c r="AE394">
        <v>114</v>
      </c>
      <c r="AF394">
        <v>0</v>
      </c>
      <c r="AG394">
        <v>115.31896551724139</v>
      </c>
      <c r="AH394">
        <v>350</v>
      </c>
      <c r="AI394">
        <v>0</v>
      </c>
      <c r="AJ394">
        <v>5</v>
      </c>
      <c r="AK394">
        <v>38.5</v>
      </c>
      <c r="AL394">
        <v>1002</v>
      </c>
      <c r="AM394">
        <v>360</v>
      </c>
      <c r="AN394">
        <v>1362</v>
      </c>
      <c r="AO394">
        <v>198</v>
      </c>
      <c r="AP394">
        <v>452</v>
      </c>
    </row>
    <row r="395" spans="1:42" x14ac:dyDescent="0.3">
      <c r="A395" t="s">
        <v>1628</v>
      </c>
      <c r="B395" t="s">
        <v>581</v>
      </c>
      <c r="C395" t="s">
        <v>5</v>
      </c>
      <c r="D395" t="s">
        <v>19</v>
      </c>
      <c r="E395" t="s">
        <v>1047</v>
      </c>
      <c r="F395">
        <v>2017</v>
      </c>
      <c r="G395">
        <v>38.5</v>
      </c>
      <c r="H395">
        <v>0</v>
      </c>
      <c r="I395">
        <v>0</v>
      </c>
      <c r="J395">
        <v>13</v>
      </c>
      <c r="K395">
        <v>5</v>
      </c>
      <c r="L395" t="s">
        <v>1327</v>
      </c>
      <c r="M395">
        <v>31.958904109589039</v>
      </c>
      <c r="N395">
        <v>264</v>
      </c>
      <c r="O395">
        <v>0</v>
      </c>
      <c r="P395">
        <v>47.6</v>
      </c>
      <c r="Q395">
        <v>101.29</v>
      </c>
      <c r="R395">
        <v>15.641095890410959</v>
      </c>
      <c r="S395">
        <v>150</v>
      </c>
      <c r="T395">
        <v>5</v>
      </c>
      <c r="U395">
        <v>25.666666666666671</v>
      </c>
      <c r="V395">
        <v>40</v>
      </c>
      <c r="W395">
        <v>5</v>
      </c>
      <c r="X395">
        <v>28.189024390243901</v>
      </c>
      <c r="Y395">
        <v>121</v>
      </c>
      <c r="Z395">
        <v>0</v>
      </c>
      <c r="AA395">
        <v>116.45060975609761</v>
      </c>
      <c r="AB395">
        <v>274.39999999999998</v>
      </c>
      <c r="AC395">
        <v>0</v>
      </c>
      <c r="AD395">
        <v>27.9758064516129</v>
      </c>
      <c r="AE395">
        <v>105</v>
      </c>
      <c r="AF395">
        <v>0</v>
      </c>
      <c r="AG395">
        <v>110.46935483870971</v>
      </c>
      <c r="AH395">
        <v>280</v>
      </c>
      <c r="AI395">
        <v>0</v>
      </c>
      <c r="AJ395">
        <v>58</v>
      </c>
      <c r="AK395">
        <v>148.69999999999999</v>
      </c>
      <c r="AL395">
        <v>1002</v>
      </c>
      <c r="AM395">
        <v>360</v>
      </c>
      <c r="AN395">
        <v>1362</v>
      </c>
      <c r="AO395">
        <v>11</v>
      </c>
      <c r="AP395">
        <v>218</v>
      </c>
    </row>
    <row r="396" spans="1:42" x14ac:dyDescent="0.3">
      <c r="A396" t="s">
        <v>1170</v>
      </c>
      <c r="B396" t="s">
        <v>576</v>
      </c>
      <c r="C396" t="s">
        <v>1043</v>
      </c>
      <c r="D396" t="s">
        <v>12</v>
      </c>
      <c r="E396" t="s">
        <v>1047</v>
      </c>
      <c r="F396">
        <v>2017</v>
      </c>
      <c r="G396">
        <v>148.69999999999999</v>
      </c>
      <c r="H396">
        <v>6</v>
      </c>
      <c r="I396">
        <v>3</v>
      </c>
      <c r="J396">
        <v>39</v>
      </c>
      <c r="K396">
        <v>58</v>
      </c>
      <c r="L396" t="s">
        <v>979</v>
      </c>
      <c r="M396">
        <v>31.887362637362639</v>
      </c>
      <c r="N396">
        <v>264</v>
      </c>
      <c r="O396">
        <v>0</v>
      </c>
      <c r="P396">
        <v>31.203883495145629</v>
      </c>
      <c r="Q396">
        <v>120.5689320388349</v>
      </c>
      <c r="R396">
        <v>-0.68347914221700634</v>
      </c>
      <c r="S396">
        <v>162</v>
      </c>
      <c r="T396">
        <v>0</v>
      </c>
      <c r="U396">
        <v>30.8</v>
      </c>
      <c r="V396">
        <v>85</v>
      </c>
      <c r="W396">
        <v>1</v>
      </c>
      <c r="X396">
        <v>26.556862745098041</v>
      </c>
      <c r="Y396">
        <v>109</v>
      </c>
      <c r="Z396">
        <v>0</v>
      </c>
      <c r="AA396">
        <v>114.6301960784314</v>
      </c>
      <c r="AB396">
        <v>350</v>
      </c>
      <c r="AC396">
        <v>0</v>
      </c>
      <c r="AD396">
        <v>27.9758064516129</v>
      </c>
      <c r="AE396">
        <v>105</v>
      </c>
      <c r="AF396">
        <v>0</v>
      </c>
      <c r="AG396">
        <v>110.46935483870971</v>
      </c>
      <c r="AH396">
        <v>280</v>
      </c>
      <c r="AI396">
        <v>0</v>
      </c>
      <c r="AJ396">
        <v>5</v>
      </c>
      <c r="AK396">
        <v>55.6</v>
      </c>
      <c r="AL396">
        <v>996</v>
      </c>
      <c r="AM396">
        <v>357</v>
      </c>
      <c r="AN396">
        <v>1353</v>
      </c>
      <c r="AO396">
        <v>189</v>
      </c>
      <c r="AP396">
        <v>443</v>
      </c>
    </row>
    <row r="397" spans="1:42" x14ac:dyDescent="0.3">
      <c r="A397" t="s">
        <v>1629</v>
      </c>
      <c r="B397" t="s">
        <v>8</v>
      </c>
      <c r="C397" t="s">
        <v>1043</v>
      </c>
      <c r="D397" t="s">
        <v>12</v>
      </c>
      <c r="E397" t="s">
        <v>1047</v>
      </c>
      <c r="F397">
        <v>2017</v>
      </c>
      <c r="G397">
        <v>55.6</v>
      </c>
      <c r="H397">
        <v>0</v>
      </c>
      <c r="I397">
        <v>0</v>
      </c>
      <c r="J397">
        <v>9</v>
      </c>
      <c r="K397">
        <v>5</v>
      </c>
      <c r="L397" t="s">
        <v>1327</v>
      </c>
      <c r="M397">
        <v>31.96143250688705</v>
      </c>
      <c r="N397">
        <v>264</v>
      </c>
      <c r="O397">
        <v>0</v>
      </c>
      <c r="P397">
        <v>31.203883495145629</v>
      </c>
      <c r="Q397">
        <v>120.5689320388349</v>
      </c>
      <c r="R397">
        <v>-0.7575490117414212</v>
      </c>
      <c r="S397">
        <v>162</v>
      </c>
      <c r="T397">
        <v>0</v>
      </c>
      <c r="U397">
        <v>28.567567567567568</v>
      </c>
      <c r="V397">
        <v>74</v>
      </c>
      <c r="W397">
        <v>0</v>
      </c>
      <c r="X397">
        <v>26.556862745098041</v>
      </c>
      <c r="Y397">
        <v>109</v>
      </c>
      <c r="Z397">
        <v>0</v>
      </c>
      <c r="AA397">
        <v>114.6301960784314</v>
      </c>
      <c r="AB397">
        <v>350</v>
      </c>
      <c r="AC397">
        <v>0</v>
      </c>
      <c r="AD397">
        <v>27.9758064516129</v>
      </c>
      <c r="AE397">
        <v>105</v>
      </c>
      <c r="AF397">
        <v>0</v>
      </c>
      <c r="AG397">
        <v>110.46935483870971</v>
      </c>
      <c r="AH397">
        <v>280</v>
      </c>
      <c r="AI397">
        <v>0</v>
      </c>
      <c r="AL397">
        <v>996</v>
      </c>
      <c r="AM397">
        <v>357</v>
      </c>
      <c r="AN397">
        <v>1353</v>
      </c>
      <c r="AO397">
        <v>189</v>
      </c>
      <c r="AP397">
        <v>443</v>
      </c>
    </row>
    <row r="398" spans="1:42" x14ac:dyDescent="0.3">
      <c r="A398" t="s">
        <v>1274</v>
      </c>
      <c r="B398" t="s">
        <v>581</v>
      </c>
      <c r="C398" t="s">
        <v>5</v>
      </c>
      <c r="D398" t="s">
        <v>12</v>
      </c>
      <c r="E398" t="s">
        <v>1047</v>
      </c>
      <c r="F398">
        <v>2017</v>
      </c>
      <c r="G398">
        <v>137.9</v>
      </c>
      <c r="H398">
        <v>3</v>
      </c>
      <c r="I398">
        <v>1</v>
      </c>
      <c r="J398">
        <v>29</v>
      </c>
      <c r="K398">
        <v>40</v>
      </c>
      <c r="L398" t="s">
        <v>979</v>
      </c>
      <c r="M398">
        <v>31.939226519337019</v>
      </c>
      <c r="N398">
        <v>264</v>
      </c>
      <c r="O398">
        <v>0</v>
      </c>
      <c r="P398">
        <v>31.203883495145629</v>
      </c>
      <c r="Q398">
        <v>120.5689320388349</v>
      </c>
      <c r="R398">
        <v>-0.73534302419138342</v>
      </c>
      <c r="S398">
        <v>162</v>
      </c>
      <c r="T398">
        <v>0</v>
      </c>
      <c r="U398">
        <v>25.666666666666671</v>
      </c>
      <c r="V398">
        <v>40</v>
      </c>
      <c r="W398">
        <v>5</v>
      </c>
      <c r="X398">
        <v>28.189024390243901</v>
      </c>
      <c r="Y398">
        <v>121</v>
      </c>
      <c r="Z398">
        <v>0</v>
      </c>
      <c r="AA398">
        <v>116.45060975609761</v>
      </c>
      <c r="AB398">
        <v>274.39999999999998</v>
      </c>
      <c r="AC398">
        <v>0</v>
      </c>
      <c r="AD398">
        <v>27.9758064516129</v>
      </c>
      <c r="AE398">
        <v>105</v>
      </c>
      <c r="AF398">
        <v>0</v>
      </c>
      <c r="AG398">
        <v>110.46935483870971</v>
      </c>
      <c r="AH398">
        <v>280</v>
      </c>
      <c r="AI398">
        <v>0</v>
      </c>
      <c r="AJ398">
        <v>4</v>
      </c>
      <c r="AK398">
        <v>50</v>
      </c>
      <c r="AL398">
        <v>993</v>
      </c>
      <c r="AM398">
        <v>356</v>
      </c>
      <c r="AN398">
        <v>1349</v>
      </c>
      <c r="AO398">
        <v>185</v>
      </c>
      <c r="AP398">
        <v>214</v>
      </c>
    </row>
    <row r="399" spans="1:42" x14ac:dyDescent="0.3">
      <c r="A399" t="s">
        <v>1747</v>
      </c>
      <c r="B399" t="s">
        <v>60</v>
      </c>
      <c r="C399" t="s">
        <v>1043</v>
      </c>
      <c r="D399" t="s">
        <v>103</v>
      </c>
      <c r="E399" t="s">
        <v>1047</v>
      </c>
      <c r="F399">
        <v>2017</v>
      </c>
      <c r="G399">
        <v>0</v>
      </c>
      <c r="H399">
        <v>0</v>
      </c>
      <c r="I399">
        <v>0</v>
      </c>
      <c r="J399">
        <v>2</v>
      </c>
      <c r="K399">
        <v>0</v>
      </c>
      <c r="L399" t="s">
        <v>1327</v>
      </c>
      <c r="M399">
        <v>32.02770083102493</v>
      </c>
      <c r="N399">
        <v>264</v>
      </c>
      <c r="O399">
        <v>0</v>
      </c>
      <c r="P399">
        <v>43.391304347826093</v>
      </c>
      <c r="Q399">
        <v>100.17391304347829</v>
      </c>
      <c r="R399">
        <v>11.36360351680116</v>
      </c>
      <c r="S399">
        <v>209</v>
      </c>
      <c r="T399">
        <v>0</v>
      </c>
      <c r="U399">
        <v>25.96875</v>
      </c>
      <c r="V399">
        <v>94</v>
      </c>
      <c r="W399">
        <v>0</v>
      </c>
      <c r="X399">
        <v>26.556862745098041</v>
      </c>
      <c r="Y399">
        <v>109</v>
      </c>
      <c r="Z399">
        <v>0</v>
      </c>
      <c r="AA399">
        <v>114.6301960784314</v>
      </c>
      <c r="AB399">
        <v>350</v>
      </c>
      <c r="AC399">
        <v>0</v>
      </c>
      <c r="AD399">
        <v>27.9758064516129</v>
      </c>
      <c r="AE399">
        <v>105</v>
      </c>
      <c r="AF399">
        <v>0</v>
      </c>
      <c r="AG399">
        <v>110.46935483870971</v>
      </c>
      <c r="AH399">
        <v>280</v>
      </c>
      <c r="AI399">
        <v>0</v>
      </c>
      <c r="AJ399">
        <v>6</v>
      </c>
      <c r="AK399">
        <v>66.650000000000006</v>
      </c>
      <c r="AL399">
        <v>993</v>
      </c>
      <c r="AM399">
        <v>356</v>
      </c>
      <c r="AN399">
        <v>1349</v>
      </c>
      <c r="AO399">
        <v>56</v>
      </c>
      <c r="AP399">
        <v>443</v>
      </c>
    </row>
    <row r="400" spans="1:42" x14ac:dyDescent="0.3">
      <c r="A400" t="s">
        <v>1653</v>
      </c>
      <c r="B400" t="s">
        <v>53</v>
      </c>
      <c r="C400" t="s">
        <v>1043</v>
      </c>
      <c r="D400" t="s">
        <v>12</v>
      </c>
      <c r="E400" t="s">
        <v>1047</v>
      </c>
      <c r="F400">
        <v>2017</v>
      </c>
      <c r="G400">
        <v>100</v>
      </c>
      <c r="H400">
        <v>0</v>
      </c>
      <c r="I400">
        <v>0</v>
      </c>
      <c r="J400">
        <v>4</v>
      </c>
      <c r="K400">
        <v>4</v>
      </c>
      <c r="L400" t="s">
        <v>1327</v>
      </c>
      <c r="M400">
        <v>32.105555555555547</v>
      </c>
      <c r="N400">
        <v>264</v>
      </c>
      <c r="O400">
        <v>0</v>
      </c>
      <c r="P400">
        <v>31.203883495145629</v>
      </c>
      <c r="Q400">
        <v>120.5689320388349</v>
      </c>
      <c r="R400">
        <v>-0.90167206040992198</v>
      </c>
      <c r="S400">
        <v>162</v>
      </c>
      <c r="T400">
        <v>0</v>
      </c>
      <c r="U400">
        <v>19.375</v>
      </c>
      <c r="V400">
        <v>70</v>
      </c>
      <c r="W400">
        <v>1</v>
      </c>
      <c r="X400">
        <v>26.556862745098041</v>
      </c>
      <c r="Y400">
        <v>109</v>
      </c>
      <c r="Z400">
        <v>0</v>
      </c>
      <c r="AA400">
        <v>114.6301960784314</v>
      </c>
      <c r="AB400">
        <v>350</v>
      </c>
      <c r="AC400">
        <v>0</v>
      </c>
      <c r="AD400">
        <v>27.9758064516129</v>
      </c>
      <c r="AE400">
        <v>105</v>
      </c>
      <c r="AF400">
        <v>0</v>
      </c>
      <c r="AG400">
        <v>110.46935483870971</v>
      </c>
      <c r="AH400">
        <v>280</v>
      </c>
      <c r="AI400">
        <v>0</v>
      </c>
      <c r="AJ400">
        <v>2</v>
      </c>
      <c r="AK400">
        <v>33.299999999999997</v>
      </c>
      <c r="AL400">
        <v>993</v>
      </c>
      <c r="AM400">
        <v>356</v>
      </c>
      <c r="AN400">
        <v>1349</v>
      </c>
      <c r="AO400">
        <v>185</v>
      </c>
      <c r="AP400">
        <v>443</v>
      </c>
    </row>
    <row r="401" spans="1:42" x14ac:dyDescent="0.3">
      <c r="A401" t="s">
        <v>1693</v>
      </c>
      <c r="B401" t="s">
        <v>11</v>
      </c>
      <c r="C401" t="s">
        <v>1043</v>
      </c>
      <c r="D401" t="s">
        <v>12</v>
      </c>
      <c r="E401" t="s">
        <v>1047</v>
      </c>
      <c r="F401">
        <v>2017</v>
      </c>
      <c r="G401">
        <v>33.299999999999997</v>
      </c>
      <c r="H401">
        <v>0</v>
      </c>
      <c r="I401">
        <v>0</v>
      </c>
      <c r="J401">
        <v>6</v>
      </c>
      <c r="K401">
        <v>2</v>
      </c>
      <c r="L401" t="s">
        <v>1327</v>
      </c>
      <c r="M401">
        <v>32.18941504178273</v>
      </c>
      <c r="N401">
        <v>264</v>
      </c>
      <c r="O401">
        <v>0</v>
      </c>
      <c r="P401">
        <v>31.203883495145629</v>
      </c>
      <c r="Q401">
        <v>120.5689320388349</v>
      </c>
      <c r="R401">
        <v>-0.98553154663709819</v>
      </c>
      <c r="S401">
        <v>162</v>
      </c>
      <c r="T401">
        <v>0</v>
      </c>
      <c r="U401">
        <v>31.852941176470591</v>
      </c>
      <c r="V401">
        <v>109</v>
      </c>
      <c r="W401">
        <v>0</v>
      </c>
      <c r="X401">
        <v>26.556862745098041</v>
      </c>
      <c r="Y401">
        <v>109</v>
      </c>
      <c r="Z401">
        <v>0</v>
      </c>
      <c r="AA401">
        <v>114.6301960784314</v>
      </c>
      <c r="AB401">
        <v>350</v>
      </c>
      <c r="AC401">
        <v>0</v>
      </c>
      <c r="AD401">
        <v>27.9758064516129</v>
      </c>
      <c r="AE401">
        <v>105</v>
      </c>
      <c r="AF401">
        <v>0</v>
      </c>
      <c r="AG401">
        <v>110.46935483870971</v>
      </c>
      <c r="AH401">
        <v>280</v>
      </c>
      <c r="AI401">
        <v>0</v>
      </c>
      <c r="AJ401">
        <v>3</v>
      </c>
      <c r="AK401">
        <v>42.9</v>
      </c>
      <c r="AL401">
        <v>993</v>
      </c>
      <c r="AM401">
        <v>356</v>
      </c>
      <c r="AN401">
        <v>1349</v>
      </c>
      <c r="AO401">
        <v>185</v>
      </c>
      <c r="AP401">
        <v>443</v>
      </c>
    </row>
    <row r="402" spans="1:42" x14ac:dyDescent="0.3">
      <c r="A402" t="s">
        <v>1672</v>
      </c>
      <c r="B402" t="s">
        <v>576</v>
      </c>
      <c r="C402" t="s">
        <v>1043</v>
      </c>
      <c r="D402" t="s">
        <v>100</v>
      </c>
      <c r="E402" t="s">
        <v>1047</v>
      </c>
      <c r="F402">
        <v>2017</v>
      </c>
      <c r="G402">
        <v>42.9</v>
      </c>
      <c r="H402">
        <v>0</v>
      </c>
      <c r="I402">
        <v>0</v>
      </c>
      <c r="J402">
        <v>7</v>
      </c>
      <c r="K402">
        <v>3</v>
      </c>
      <c r="L402" t="s">
        <v>1327</v>
      </c>
      <c r="M402">
        <v>32.270949720670387</v>
      </c>
      <c r="N402">
        <v>264</v>
      </c>
      <c r="O402">
        <v>0</v>
      </c>
      <c r="P402">
        <v>25.444444444444439</v>
      </c>
      <c r="Q402">
        <v>86.627777777777794</v>
      </c>
      <c r="R402">
        <v>-6.8265052762259506</v>
      </c>
      <c r="S402">
        <v>85</v>
      </c>
      <c r="T402">
        <v>0</v>
      </c>
      <c r="U402">
        <v>30.8</v>
      </c>
      <c r="V402">
        <v>85</v>
      </c>
      <c r="W402">
        <v>1</v>
      </c>
      <c r="X402">
        <v>26.556862745098041</v>
      </c>
      <c r="Y402">
        <v>109</v>
      </c>
      <c r="Z402">
        <v>0</v>
      </c>
      <c r="AA402">
        <v>114.6301960784314</v>
      </c>
      <c r="AB402">
        <v>350</v>
      </c>
      <c r="AC402">
        <v>0</v>
      </c>
      <c r="AD402">
        <v>27.9758064516129</v>
      </c>
      <c r="AE402">
        <v>105</v>
      </c>
      <c r="AF402">
        <v>0</v>
      </c>
      <c r="AG402">
        <v>110.46935483870971</v>
      </c>
      <c r="AH402">
        <v>280</v>
      </c>
      <c r="AI402">
        <v>0</v>
      </c>
      <c r="AL402">
        <v>993</v>
      </c>
      <c r="AM402">
        <v>356</v>
      </c>
      <c r="AN402">
        <v>1349</v>
      </c>
      <c r="AO402">
        <v>20</v>
      </c>
      <c r="AP402">
        <v>443</v>
      </c>
    </row>
    <row r="403" spans="1:42" x14ac:dyDescent="0.3">
      <c r="A403" t="s">
        <v>1122</v>
      </c>
      <c r="B403" t="s">
        <v>15</v>
      </c>
      <c r="C403" t="s">
        <v>16</v>
      </c>
      <c r="D403" t="s">
        <v>25</v>
      </c>
      <c r="E403" t="s">
        <v>977</v>
      </c>
      <c r="F403">
        <v>2016</v>
      </c>
      <c r="G403">
        <v>107.7</v>
      </c>
      <c r="H403">
        <v>5</v>
      </c>
      <c r="I403">
        <v>3</v>
      </c>
      <c r="J403">
        <v>65</v>
      </c>
      <c r="K403">
        <v>70</v>
      </c>
      <c r="L403" t="s">
        <v>979</v>
      </c>
      <c r="M403">
        <v>32.16526610644258</v>
      </c>
      <c r="N403">
        <v>264</v>
      </c>
      <c r="O403">
        <v>0</v>
      </c>
      <c r="P403">
        <v>56.375</v>
      </c>
      <c r="Q403">
        <v>92.453125</v>
      </c>
      <c r="R403">
        <v>24.20973389355742</v>
      </c>
      <c r="S403">
        <v>303</v>
      </c>
      <c r="T403">
        <v>4</v>
      </c>
      <c r="U403">
        <v>37.701754385964911</v>
      </c>
      <c r="V403">
        <v>147</v>
      </c>
      <c r="W403">
        <v>1</v>
      </c>
      <c r="X403">
        <v>42.251824817518248</v>
      </c>
      <c r="Y403">
        <v>264</v>
      </c>
      <c r="Z403">
        <v>0</v>
      </c>
      <c r="AA403">
        <v>77.646715328467153</v>
      </c>
      <c r="AB403">
        <v>200</v>
      </c>
      <c r="AC403">
        <v>0</v>
      </c>
      <c r="AD403">
        <v>49.901639344262293</v>
      </c>
      <c r="AE403">
        <v>303</v>
      </c>
      <c r="AF403">
        <v>0</v>
      </c>
      <c r="AG403">
        <v>90.971311475409848</v>
      </c>
      <c r="AH403">
        <v>200</v>
      </c>
      <c r="AI403">
        <v>0</v>
      </c>
      <c r="AJ403">
        <v>11</v>
      </c>
      <c r="AK403">
        <v>57.9</v>
      </c>
      <c r="AL403">
        <v>988</v>
      </c>
      <c r="AM403">
        <v>353</v>
      </c>
      <c r="AN403">
        <v>1341</v>
      </c>
      <c r="AO403">
        <v>29</v>
      </c>
      <c r="AP403">
        <v>544</v>
      </c>
    </row>
    <row r="404" spans="1:42" x14ac:dyDescent="0.3">
      <c r="A404" t="s">
        <v>1531</v>
      </c>
      <c r="B404" t="s">
        <v>15</v>
      </c>
      <c r="C404" t="s">
        <v>16</v>
      </c>
      <c r="D404" t="s">
        <v>29</v>
      </c>
      <c r="E404" t="s">
        <v>977</v>
      </c>
      <c r="F404">
        <v>2016</v>
      </c>
      <c r="G404">
        <v>57.9</v>
      </c>
      <c r="H404">
        <v>2</v>
      </c>
      <c r="I404">
        <v>0</v>
      </c>
      <c r="J404">
        <v>19</v>
      </c>
      <c r="K404">
        <v>11</v>
      </c>
      <c r="L404" t="s">
        <v>1327</v>
      </c>
      <c r="M404">
        <v>32.224719101123597</v>
      </c>
      <c r="N404">
        <v>264</v>
      </c>
      <c r="O404">
        <v>0</v>
      </c>
      <c r="P404">
        <v>47.8</v>
      </c>
      <c r="Q404">
        <v>97.134999999999991</v>
      </c>
      <c r="R404">
        <v>15.5752808988764</v>
      </c>
      <c r="S404">
        <v>212</v>
      </c>
      <c r="T404">
        <v>9</v>
      </c>
      <c r="U404">
        <v>37.701754385964911</v>
      </c>
      <c r="V404">
        <v>147</v>
      </c>
      <c r="W404">
        <v>1</v>
      </c>
      <c r="X404">
        <v>42.251824817518248</v>
      </c>
      <c r="Y404">
        <v>264</v>
      </c>
      <c r="Z404">
        <v>0</v>
      </c>
      <c r="AA404">
        <v>77.646715328467153</v>
      </c>
      <c r="AB404">
        <v>200</v>
      </c>
      <c r="AC404">
        <v>0</v>
      </c>
      <c r="AD404">
        <v>49.901639344262293</v>
      </c>
      <c r="AE404">
        <v>303</v>
      </c>
      <c r="AF404">
        <v>0</v>
      </c>
      <c r="AG404">
        <v>90.971311475409848</v>
      </c>
      <c r="AH404">
        <v>200</v>
      </c>
      <c r="AI404">
        <v>0</v>
      </c>
      <c r="AJ404">
        <v>13</v>
      </c>
      <c r="AK404">
        <v>61.9</v>
      </c>
      <c r="AL404">
        <v>986</v>
      </c>
      <c r="AM404">
        <v>353</v>
      </c>
      <c r="AN404">
        <v>1339</v>
      </c>
      <c r="AO404">
        <v>6</v>
      </c>
      <c r="AP404">
        <v>542</v>
      </c>
    </row>
    <row r="405" spans="1:42" x14ac:dyDescent="0.3">
      <c r="A405" t="s">
        <v>1493</v>
      </c>
      <c r="B405" t="s">
        <v>15</v>
      </c>
      <c r="C405" t="s">
        <v>16</v>
      </c>
      <c r="D405" t="s">
        <v>173</v>
      </c>
      <c r="E405" t="s">
        <v>977</v>
      </c>
      <c r="F405">
        <v>2016</v>
      </c>
      <c r="G405">
        <v>61.9</v>
      </c>
      <c r="H405">
        <v>2</v>
      </c>
      <c r="I405">
        <v>0</v>
      </c>
      <c r="J405">
        <v>21</v>
      </c>
      <c r="K405">
        <v>13</v>
      </c>
      <c r="L405" t="s">
        <v>1327</v>
      </c>
      <c r="M405">
        <v>32.278873239436621</v>
      </c>
      <c r="N405">
        <v>264</v>
      </c>
      <c r="O405">
        <v>0</v>
      </c>
      <c r="P405">
        <v>36.388888888888893</v>
      </c>
      <c r="Q405">
        <v>93.683333333333337</v>
      </c>
      <c r="R405">
        <v>4.1100156494522651</v>
      </c>
      <c r="S405">
        <v>208</v>
      </c>
      <c r="T405">
        <v>0</v>
      </c>
      <c r="U405">
        <v>37.701754385964911</v>
      </c>
      <c r="V405">
        <v>147</v>
      </c>
      <c r="W405">
        <v>1</v>
      </c>
      <c r="X405">
        <v>42.251824817518248</v>
      </c>
      <c r="Y405">
        <v>264</v>
      </c>
      <c r="Z405">
        <v>0</v>
      </c>
      <c r="AA405">
        <v>77.646715328467153</v>
      </c>
      <c r="AB405">
        <v>200</v>
      </c>
      <c r="AC405">
        <v>0</v>
      </c>
      <c r="AD405">
        <v>49.901639344262293</v>
      </c>
      <c r="AE405">
        <v>303</v>
      </c>
      <c r="AF405">
        <v>0</v>
      </c>
      <c r="AG405">
        <v>90.971311475409848</v>
      </c>
      <c r="AH405">
        <v>200</v>
      </c>
      <c r="AI405">
        <v>0</v>
      </c>
      <c r="AJ405">
        <v>15</v>
      </c>
      <c r="AK405">
        <v>55.6</v>
      </c>
      <c r="AL405">
        <v>984</v>
      </c>
      <c r="AM405">
        <v>353</v>
      </c>
      <c r="AN405">
        <v>1337</v>
      </c>
      <c r="AO405">
        <v>33</v>
      </c>
      <c r="AP405">
        <v>540</v>
      </c>
    </row>
    <row r="406" spans="1:42" x14ac:dyDescent="0.3">
      <c r="A406" t="s">
        <v>1469</v>
      </c>
      <c r="B406" t="s">
        <v>15</v>
      </c>
      <c r="C406" t="s">
        <v>16</v>
      </c>
      <c r="D406" t="s">
        <v>9</v>
      </c>
      <c r="E406" t="s">
        <v>977</v>
      </c>
      <c r="F406">
        <v>2016</v>
      </c>
      <c r="G406">
        <v>55.6</v>
      </c>
      <c r="H406">
        <v>1</v>
      </c>
      <c r="I406">
        <v>1</v>
      </c>
      <c r="J406">
        <v>27</v>
      </c>
      <c r="K406">
        <v>15</v>
      </c>
      <c r="L406" t="s">
        <v>1327</v>
      </c>
      <c r="M406">
        <v>32.327683615819211</v>
      </c>
      <c r="N406">
        <v>264</v>
      </c>
      <c r="O406">
        <v>0</v>
      </c>
      <c r="P406">
        <v>38.36</v>
      </c>
      <c r="Q406">
        <v>122.748</v>
      </c>
      <c r="R406">
        <v>6.0323163841807883</v>
      </c>
      <c r="S406">
        <v>131</v>
      </c>
      <c r="T406">
        <v>1</v>
      </c>
      <c r="U406">
        <v>37.701754385964911</v>
      </c>
      <c r="V406">
        <v>147</v>
      </c>
      <c r="W406">
        <v>1</v>
      </c>
      <c r="X406">
        <v>42.251824817518248</v>
      </c>
      <c r="Y406">
        <v>264</v>
      </c>
      <c r="Z406">
        <v>0</v>
      </c>
      <c r="AA406">
        <v>77.646715328467153</v>
      </c>
      <c r="AB406">
        <v>200</v>
      </c>
      <c r="AC406">
        <v>0</v>
      </c>
      <c r="AD406">
        <v>49.901639344262293</v>
      </c>
      <c r="AE406">
        <v>303</v>
      </c>
      <c r="AF406">
        <v>0</v>
      </c>
      <c r="AG406">
        <v>90.971311475409848</v>
      </c>
      <c r="AH406">
        <v>200</v>
      </c>
      <c r="AI406">
        <v>0</v>
      </c>
      <c r="AJ406">
        <v>14</v>
      </c>
      <c r="AK406">
        <v>53.8</v>
      </c>
      <c r="AL406">
        <v>983</v>
      </c>
      <c r="AM406">
        <v>352</v>
      </c>
      <c r="AN406">
        <v>1335</v>
      </c>
      <c r="AO406">
        <v>32</v>
      </c>
      <c r="AP406">
        <v>538</v>
      </c>
    </row>
    <row r="407" spans="1:42" x14ac:dyDescent="0.3">
      <c r="A407" t="s">
        <v>1482</v>
      </c>
      <c r="B407" t="s">
        <v>15</v>
      </c>
      <c r="C407" t="s">
        <v>16</v>
      </c>
      <c r="D407" t="s">
        <v>154</v>
      </c>
      <c r="E407" t="s">
        <v>977</v>
      </c>
      <c r="F407">
        <v>2016</v>
      </c>
      <c r="G407">
        <v>53.8</v>
      </c>
      <c r="H407">
        <v>1</v>
      </c>
      <c r="I407">
        <v>1</v>
      </c>
      <c r="J407">
        <v>26</v>
      </c>
      <c r="K407">
        <v>14</v>
      </c>
      <c r="L407" t="s">
        <v>1327</v>
      </c>
      <c r="M407">
        <v>32.379603399433428</v>
      </c>
      <c r="N407">
        <v>264</v>
      </c>
      <c r="O407">
        <v>0</v>
      </c>
      <c r="P407">
        <v>37.4</v>
      </c>
      <c r="Q407">
        <v>83.72</v>
      </c>
      <c r="R407">
        <v>5.0203966005665714</v>
      </c>
      <c r="S407">
        <v>106</v>
      </c>
      <c r="T407">
        <v>1</v>
      </c>
      <c r="U407">
        <v>37.701754385964911</v>
      </c>
      <c r="V407">
        <v>147</v>
      </c>
      <c r="W407">
        <v>1</v>
      </c>
      <c r="X407">
        <v>42.251824817518248</v>
      </c>
      <c r="Y407">
        <v>264</v>
      </c>
      <c r="Z407">
        <v>0</v>
      </c>
      <c r="AA407">
        <v>77.646715328467153</v>
      </c>
      <c r="AB407">
        <v>200</v>
      </c>
      <c r="AC407">
        <v>0</v>
      </c>
      <c r="AD407">
        <v>49.901639344262293</v>
      </c>
      <c r="AE407">
        <v>303</v>
      </c>
      <c r="AF407">
        <v>0</v>
      </c>
      <c r="AG407">
        <v>90.971311475409848</v>
      </c>
      <c r="AH407">
        <v>200</v>
      </c>
      <c r="AI407">
        <v>0</v>
      </c>
      <c r="AL407">
        <v>982</v>
      </c>
      <c r="AM407">
        <v>351</v>
      </c>
      <c r="AN407">
        <v>1333</v>
      </c>
      <c r="AO407">
        <v>30</v>
      </c>
      <c r="AP407">
        <v>536</v>
      </c>
    </row>
    <row r="408" spans="1:42" x14ac:dyDescent="0.3">
      <c r="A408" t="s">
        <v>1216</v>
      </c>
      <c r="B408" t="s">
        <v>15</v>
      </c>
      <c r="C408" t="s">
        <v>83</v>
      </c>
      <c r="D408" t="s">
        <v>17</v>
      </c>
      <c r="E408" t="s">
        <v>977</v>
      </c>
      <c r="F408">
        <v>2016</v>
      </c>
      <c r="G408">
        <v>80.900000000000006</v>
      </c>
      <c r="H408">
        <v>3</v>
      </c>
      <c r="I408">
        <v>2</v>
      </c>
      <c r="J408">
        <v>92</v>
      </c>
      <c r="K408">
        <v>51</v>
      </c>
      <c r="L408" t="s">
        <v>979</v>
      </c>
      <c r="M408">
        <v>32.326704545454547</v>
      </c>
      <c r="N408">
        <v>264</v>
      </c>
      <c r="O408">
        <v>0</v>
      </c>
      <c r="P408">
        <v>33.769230769230766</v>
      </c>
      <c r="Q408">
        <v>87.853846153846149</v>
      </c>
      <c r="R408">
        <v>1.44252622377622</v>
      </c>
      <c r="S408">
        <v>118</v>
      </c>
      <c r="T408">
        <v>0</v>
      </c>
      <c r="U408">
        <v>37.701754385964911</v>
      </c>
      <c r="V408">
        <v>147</v>
      </c>
      <c r="W408">
        <v>1</v>
      </c>
      <c r="X408">
        <v>65.166666666666671</v>
      </c>
      <c r="Y408">
        <v>303</v>
      </c>
      <c r="Z408">
        <v>1</v>
      </c>
      <c r="AA408">
        <v>55.904545454545449</v>
      </c>
      <c r="AB408">
        <v>161.6</v>
      </c>
      <c r="AC408">
        <v>16.600000000000001</v>
      </c>
      <c r="AD408">
        <v>49.901639344262293</v>
      </c>
      <c r="AE408">
        <v>303</v>
      </c>
      <c r="AF408">
        <v>0</v>
      </c>
      <c r="AG408">
        <v>90.971311475409848</v>
      </c>
      <c r="AH408">
        <v>200</v>
      </c>
      <c r="AI408">
        <v>0</v>
      </c>
      <c r="AL408">
        <v>979</v>
      </c>
      <c r="AM408">
        <v>349</v>
      </c>
      <c r="AN408">
        <v>1328</v>
      </c>
      <c r="AO408">
        <v>3</v>
      </c>
      <c r="AP408">
        <v>135</v>
      </c>
    </row>
    <row r="409" spans="1:42" x14ac:dyDescent="0.3">
      <c r="A409" t="s">
        <v>1081</v>
      </c>
      <c r="B409" t="s">
        <v>15</v>
      </c>
      <c r="C409" t="s">
        <v>83</v>
      </c>
      <c r="D409" t="s">
        <v>139</v>
      </c>
      <c r="E409" t="s">
        <v>1009</v>
      </c>
      <c r="F409">
        <v>2016</v>
      </c>
      <c r="G409">
        <v>39.35</v>
      </c>
      <c r="H409">
        <v>9</v>
      </c>
      <c r="I409">
        <v>2</v>
      </c>
      <c r="J409">
        <v>151</v>
      </c>
      <c r="K409">
        <v>84</v>
      </c>
      <c r="L409" t="s">
        <v>979</v>
      </c>
      <c r="M409">
        <v>32.179487179487182</v>
      </c>
      <c r="N409">
        <v>264</v>
      </c>
      <c r="O409">
        <v>0</v>
      </c>
      <c r="P409">
        <v>45.666666666666657</v>
      </c>
      <c r="Q409">
        <v>104.1166666666667</v>
      </c>
      <c r="R409">
        <v>13.48717948717948</v>
      </c>
      <c r="S409">
        <v>264</v>
      </c>
      <c r="T409">
        <v>0</v>
      </c>
      <c r="U409">
        <v>37.701754385964911</v>
      </c>
      <c r="V409">
        <v>147</v>
      </c>
      <c r="W409">
        <v>1</v>
      </c>
      <c r="X409">
        <v>65.166666666666671</v>
      </c>
      <c r="Y409">
        <v>303</v>
      </c>
      <c r="Z409">
        <v>1</v>
      </c>
      <c r="AA409">
        <v>55.904545454545449</v>
      </c>
      <c r="AB409">
        <v>161.6</v>
      </c>
      <c r="AC409">
        <v>16.600000000000001</v>
      </c>
      <c r="AD409">
        <v>38.25</v>
      </c>
      <c r="AE409">
        <v>138</v>
      </c>
      <c r="AF409">
        <v>0</v>
      </c>
      <c r="AG409">
        <v>106.2954545454546</v>
      </c>
      <c r="AH409">
        <v>230</v>
      </c>
      <c r="AI409">
        <v>0</v>
      </c>
      <c r="AL409">
        <v>970</v>
      </c>
      <c r="AM409">
        <v>347</v>
      </c>
      <c r="AN409">
        <v>1317</v>
      </c>
      <c r="AO409">
        <v>125</v>
      </c>
      <c r="AP409">
        <v>124</v>
      </c>
    </row>
    <row r="410" spans="1:42" x14ac:dyDescent="0.3">
      <c r="A410" t="s">
        <v>1054</v>
      </c>
      <c r="B410" t="s">
        <v>15</v>
      </c>
      <c r="C410" t="s">
        <v>83</v>
      </c>
      <c r="D410" t="s">
        <v>107</v>
      </c>
      <c r="E410" t="s">
        <v>1009</v>
      </c>
      <c r="F410">
        <v>2016</v>
      </c>
      <c r="G410">
        <v>62.649999999999991</v>
      </c>
      <c r="H410">
        <v>11</v>
      </c>
      <c r="I410">
        <v>1</v>
      </c>
      <c r="J410">
        <v>185</v>
      </c>
      <c r="K410">
        <v>103</v>
      </c>
      <c r="L410" t="s">
        <v>979</v>
      </c>
      <c r="M410">
        <v>31.977142857142859</v>
      </c>
      <c r="N410">
        <v>264</v>
      </c>
      <c r="O410">
        <v>0</v>
      </c>
      <c r="P410">
        <v>70.428571428571431</v>
      </c>
      <c r="Q410">
        <v>102.42142857142861</v>
      </c>
      <c r="R410">
        <v>38.451428571428572</v>
      </c>
      <c r="S410">
        <v>150</v>
      </c>
      <c r="T410">
        <v>4</v>
      </c>
      <c r="U410">
        <v>37.701754385964911</v>
      </c>
      <c r="V410">
        <v>147</v>
      </c>
      <c r="W410">
        <v>1</v>
      </c>
      <c r="X410">
        <v>65.166666666666671</v>
      </c>
      <c r="Y410">
        <v>303</v>
      </c>
      <c r="Z410">
        <v>1</v>
      </c>
      <c r="AA410">
        <v>55.904545454545449</v>
      </c>
      <c r="AB410">
        <v>161.6</v>
      </c>
      <c r="AC410">
        <v>16.600000000000001</v>
      </c>
      <c r="AD410">
        <v>38.25</v>
      </c>
      <c r="AE410">
        <v>138</v>
      </c>
      <c r="AF410">
        <v>0</v>
      </c>
      <c r="AG410">
        <v>106.2954545454546</v>
      </c>
      <c r="AH410">
        <v>230</v>
      </c>
      <c r="AI410">
        <v>0</v>
      </c>
      <c r="AL410">
        <v>959</v>
      </c>
      <c r="AM410">
        <v>346</v>
      </c>
      <c r="AN410">
        <v>1305</v>
      </c>
      <c r="AO410">
        <v>28</v>
      </c>
      <c r="AP410">
        <v>112</v>
      </c>
    </row>
    <row r="411" spans="1:42" x14ac:dyDescent="0.3">
      <c r="A411" t="s">
        <v>1546</v>
      </c>
      <c r="B411" t="s">
        <v>208</v>
      </c>
      <c r="C411" t="s">
        <v>5</v>
      </c>
      <c r="D411" t="s">
        <v>281</v>
      </c>
      <c r="E411" t="s">
        <v>1021</v>
      </c>
      <c r="F411">
        <v>2016</v>
      </c>
      <c r="G411">
        <v>125</v>
      </c>
      <c r="H411">
        <v>0</v>
      </c>
      <c r="I411">
        <v>1</v>
      </c>
      <c r="J411">
        <v>8</v>
      </c>
      <c r="K411">
        <v>10</v>
      </c>
      <c r="L411" t="s">
        <v>1327</v>
      </c>
      <c r="M411">
        <v>32.040114613180513</v>
      </c>
      <c r="N411">
        <v>264</v>
      </c>
      <c r="O411">
        <v>0</v>
      </c>
      <c r="P411">
        <v>39.200000000000003</v>
      </c>
      <c r="Q411">
        <v>156.02000000000001</v>
      </c>
      <c r="R411">
        <v>7.1598853868194894</v>
      </c>
      <c r="S411">
        <v>67</v>
      </c>
      <c r="T411">
        <v>10</v>
      </c>
      <c r="U411">
        <v>47.081967213114751</v>
      </c>
      <c r="V411">
        <v>177</v>
      </c>
      <c r="W411">
        <v>0</v>
      </c>
      <c r="X411">
        <v>28.189024390243901</v>
      </c>
      <c r="Y411">
        <v>121</v>
      </c>
      <c r="Z411">
        <v>0</v>
      </c>
      <c r="AA411">
        <v>116.45060975609761</v>
      </c>
      <c r="AB411">
        <v>274.39999999999998</v>
      </c>
      <c r="AC411">
        <v>0</v>
      </c>
      <c r="AD411">
        <v>37</v>
      </c>
      <c r="AE411">
        <v>124</v>
      </c>
      <c r="AF411">
        <v>0</v>
      </c>
      <c r="AG411">
        <v>84.736842105263165</v>
      </c>
      <c r="AH411">
        <v>221.4</v>
      </c>
      <c r="AI411">
        <v>0</v>
      </c>
      <c r="AJ411">
        <v>62</v>
      </c>
      <c r="AK411">
        <v>221.4</v>
      </c>
      <c r="AL411">
        <v>959</v>
      </c>
      <c r="AM411">
        <v>345</v>
      </c>
      <c r="AN411">
        <v>1304</v>
      </c>
      <c r="AO411">
        <v>8</v>
      </c>
      <c r="AP411">
        <v>213</v>
      </c>
    </row>
    <row r="412" spans="1:42" x14ac:dyDescent="0.3">
      <c r="A412" t="s">
        <v>1156</v>
      </c>
      <c r="B412" t="s">
        <v>208</v>
      </c>
      <c r="C412" t="s">
        <v>5</v>
      </c>
      <c r="D412" t="s">
        <v>281</v>
      </c>
      <c r="E412" t="s">
        <v>1021</v>
      </c>
      <c r="F412">
        <v>2016</v>
      </c>
      <c r="G412">
        <v>221.4</v>
      </c>
      <c r="H412">
        <v>4</v>
      </c>
      <c r="I412">
        <v>4</v>
      </c>
      <c r="J412">
        <v>28</v>
      </c>
      <c r="K412">
        <v>62</v>
      </c>
      <c r="L412" t="s">
        <v>979</v>
      </c>
      <c r="M412">
        <v>31.954022988505749</v>
      </c>
      <c r="N412">
        <v>264</v>
      </c>
      <c r="O412">
        <v>0</v>
      </c>
      <c r="P412">
        <v>39.200000000000003</v>
      </c>
      <c r="Q412">
        <v>156.02000000000001</v>
      </c>
      <c r="R412">
        <v>7.2459770114942543</v>
      </c>
      <c r="S412">
        <v>67</v>
      </c>
      <c r="T412">
        <v>10</v>
      </c>
      <c r="U412">
        <v>47.081967213114751</v>
      </c>
      <c r="V412">
        <v>177</v>
      </c>
      <c r="W412">
        <v>0</v>
      </c>
      <c r="X412">
        <v>28.189024390243901</v>
      </c>
      <c r="Y412">
        <v>121</v>
      </c>
      <c r="Z412">
        <v>0</v>
      </c>
      <c r="AA412">
        <v>116.45060975609761</v>
      </c>
      <c r="AB412">
        <v>274.39999999999998</v>
      </c>
      <c r="AC412">
        <v>0</v>
      </c>
      <c r="AD412">
        <v>37</v>
      </c>
      <c r="AE412">
        <v>124</v>
      </c>
      <c r="AF412">
        <v>0</v>
      </c>
      <c r="AG412">
        <v>84.736842105263165</v>
      </c>
      <c r="AH412">
        <v>221.4</v>
      </c>
      <c r="AI412">
        <v>0</v>
      </c>
      <c r="AL412">
        <v>955</v>
      </c>
      <c r="AM412">
        <v>341</v>
      </c>
      <c r="AN412">
        <v>1296</v>
      </c>
      <c r="AP412">
        <v>205</v>
      </c>
    </row>
    <row r="413" spans="1:42" x14ac:dyDescent="0.3">
      <c r="A413" t="s">
        <v>1220</v>
      </c>
      <c r="B413" t="s">
        <v>208</v>
      </c>
      <c r="C413" t="s">
        <v>83</v>
      </c>
      <c r="D413" t="s">
        <v>126</v>
      </c>
      <c r="E413" t="s">
        <v>1021</v>
      </c>
      <c r="F413">
        <v>2016</v>
      </c>
      <c r="G413">
        <v>54.25</v>
      </c>
      <c r="H413">
        <v>3</v>
      </c>
      <c r="I413">
        <v>3</v>
      </c>
      <c r="J413">
        <v>90</v>
      </c>
      <c r="K413">
        <v>50</v>
      </c>
      <c r="L413" t="s">
        <v>979</v>
      </c>
      <c r="M413">
        <v>31.902017291066279</v>
      </c>
      <c r="N413">
        <v>264</v>
      </c>
      <c r="O413">
        <v>0</v>
      </c>
      <c r="P413">
        <v>51</v>
      </c>
      <c r="Q413">
        <v>133.6166666666667</v>
      </c>
      <c r="R413">
        <v>19.097982708933721</v>
      </c>
      <c r="S413">
        <v>92</v>
      </c>
      <c r="T413">
        <v>11</v>
      </c>
      <c r="U413">
        <v>47.081967213114751</v>
      </c>
      <c r="V413">
        <v>177</v>
      </c>
      <c r="W413">
        <v>0</v>
      </c>
      <c r="X413">
        <v>65.166666666666671</v>
      </c>
      <c r="Y413">
        <v>303</v>
      </c>
      <c r="Z413">
        <v>1</v>
      </c>
      <c r="AA413">
        <v>55.904545454545449</v>
      </c>
      <c r="AB413">
        <v>161.6</v>
      </c>
      <c r="AC413">
        <v>16.600000000000001</v>
      </c>
      <c r="AD413">
        <v>37</v>
      </c>
      <c r="AE413">
        <v>124</v>
      </c>
      <c r="AF413">
        <v>0</v>
      </c>
      <c r="AG413">
        <v>84.736842105263165</v>
      </c>
      <c r="AH413">
        <v>221.4</v>
      </c>
      <c r="AI413">
        <v>0</v>
      </c>
      <c r="AL413">
        <v>952</v>
      </c>
      <c r="AM413">
        <v>338</v>
      </c>
      <c r="AN413">
        <v>1290</v>
      </c>
      <c r="AO413">
        <v>0</v>
      </c>
      <c r="AP413">
        <v>106</v>
      </c>
    </row>
    <row r="414" spans="1:42" x14ac:dyDescent="0.3">
      <c r="A414" t="s">
        <v>1330</v>
      </c>
      <c r="B414" t="s">
        <v>581</v>
      </c>
      <c r="C414" t="s">
        <v>5</v>
      </c>
      <c r="D414" t="s">
        <v>107</v>
      </c>
      <c r="E414" t="s">
        <v>1036</v>
      </c>
      <c r="F414">
        <v>2016</v>
      </c>
      <c r="G414">
        <v>176.5</v>
      </c>
      <c r="H414">
        <v>4</v>
      </c>
      <c r="I414">
        <v>2</v>
      </c>
      <c r="J414">
        <v>17</v>
      </c>
      <c r="K414">
        <v>30</v>
      </c>
      <c r="L414" t="s">
        <v>1327</v>
      </c>
      <c r="M414">
        <v>31.907514450867051</v>
      </c>
      <c r="N414">
        <v>264</v>
      </c>
      <c r="O414">
        <v>0</v>
      </c>
      <c r="P414">
        <v>70.428571428571431</v>
      </c>
      <c r="Q414">
        <v>102.42142857142861</v>
      </c>
      <c r="R414">
        <v>38.521056977704383</v>
      </c>
      <c r="S414">
        <v>150</v>
      </c>
      <c r="T414">
        <v>4</v>
      </c>
      <c r="U414">
        <v>25.666666666666671</v>
      </c>
      <c r="V414">
        <v>40</v>
      </c>
      <c r="W414">
        <v>5</v>
      </c>
      <c r="X414">
        <v>28.189024390243901</v>
      </c>
      <c r="Y414">
        <v>121</v>
      </c>
      <c r="Z414">
        <v>0</v>
      </c>
      <c r="AA414">
        <v>116.45060975609761</v>
      </c>
      <c r="AB414">
        <v>274.39999999999998</v>
      </c>
      <c r="AC414">
        <v>0</v>
      </c>
      <c r="AD414">
        <v>26.732758620689651</v>
      </c>
      <c r="AE414">
        <v>114</v>
      </c>
      <c r="AF414">
        <v>0</v>
      </c>
      <c r="AG414">
        <v>115.31896551724139</v>
      </c>
      <c r="AH414">
        <v>350</v>
      </c>
      <c r="AI414">
        <v>0</v>
      </c>
      <c r="AL414">
        <v>948</v>
      </c>
      <c r="AM414">
        <v>336</v>
      </c>
      <c r="AN414">
        <v>1284</v>
      </c>
      <c r="AO414">
        <v>22</v>
      </c>
      <c r="AP414">
        <v>199</v>
      </c>
    </row>
    <row r="415" spans="1:42" x14ac:dyDescent="0.3">
      <c r="A415" t="s">
        <v>1323</v>
      </c>
      <c r="B415" t="s">
        <v>8</v>
      </c>
      <c r="C415" t="s">
        <v>1043</v>
      </c>
      <c r="D415" t="s">
        <v>25</v>
      </c>
      <c r="E415" t="s">
        <v>1036</v>
      </c>
      <c r="F415">
        <v>2016</v>
      </c>
      <c r="G415">
        <v>147.6</v>
      </c>
      <c r="H415">
        <v>1</v>
      </c>
      <c r="I415">
        <v>3</v>
      </c>
      <c r="J415">
        <v>21</v>
      </c>
      <c r="K415">
        <v>31</v>
      </c>
      <c r="L415" t="s">
        <v>979</v>
      </c>
      <c r="M415">
        <v>31.91014492753623</v>
      </c>
      <c r="N415">
        <v>264</v>
      </c>
      <c r="O415">
        <v>0</v>
      </c>
      <c r="P415">
        <v>56.375</v>
      </c>
      <c r="Q415">
        <v>92.453125</v>
      </c>
      <c r="R415">
        <v>24.46485507246377</v>
      </c>
      <c r="S415">
        <v>303</v>
      </c>
      <c r="T415">
        <v>4</v>
      </c>
      <c r="U415">
        <v>28.567567567567568</v>
      </c>
      <c r="V415">
        <v>74</v>
      </c>
      <c r="W415">
        <v>0</v>
      </c>
      <c r="X415">
        <v>26.556862745098041</v>
      </c>
      <c r="Y415">
        <v>109</v>
      </c>
      <c r="Z415">
        <v>0</v>
      </c>
      <c r="AA415">
        <v>114.6301960784314</v>
      </c>
      <c r="AB415">
        <v>350</v>
      </c>
      <c r="AC415">
        <v>0</v>
      </c>
      <c r="AD415">
        <v>26.732758620689651</v>
      </c>
      <c r="AE415">
        <v>114</v>
      </c>
      <c r="AF415">
        <v>0</v>
      </c>
      <c r="AG415">
        <v>115.31896551724139</v>
      </c>
      <c r="AH415">
        <v>350</v>
      </c>
      <c r="AI415">
        <v>0</v>
      </c>
      <c r="AJ415">
        <v>40</v>
      </c>
      <c r="AK415">
        <v>83.35</v>
      </c>
      <c r="AL415">
        <v>947</v>
      </c>
      <c r="AM415">
        <v>333</v>
      </c>
      <c r="AN415">
        <v>1280</v>
      </c>
      <c r="AO415">
        <v>25</v>
      </c>
      <c r="AP415">
        <v>439</v>
      </c>
    </row>
    <row r="416" spans="1:42" x14ac:dyDescent="0.3">
      <c r="A416" t="s">
        <v>1470</v>
      </c>
      <c r="B416" t="s">
        <v>40</v>
      </c>
      <c r="C416" t="s">
        <v>1043</v>
      </c>
      <c r="D416" t="s">
        <v>25</v>
      </c>
      <c r="E416" t="s">
        <v>1036</v>
      </c>
      <c r="F416">
        <v>2016</v>
      </c>
      <c r="G416">
        <v>62.5</v>
      </c>
      <c r="H416">
        <v>1</v>
      </c>
      <c r="I416">
        <v>0</v>
      </c>
      <c r="J416">
        <v>24</v>
      </c>
      <c r="K416">
        <v>15</v>
      </c>
      <c r="L416" t="s">
        <v>1327</v>
      </c>
      <c r="M416">
        <v>31.95930232558139</v>
      </c>
      <c r="N416">
        <v>264</v>
      </c>
      <c r="O416">
        <v>0</v>
      </c>
      <c r="P416">
        <v>56.375</v>
      </c>
      <c r="Q416">
        <v>92.453125</v>
      </c>
      <c r="R416">
        <v>24.41569767441861</v>
      </c>
      <c r="S416">
        <v>303</v>
      </c>
      <c r="T416">
        <v>4</v>
      </c>
      <c r="U416">
        <v>28.12903225806452</v>
      </c>
      <c r="V416">
        <v>79</v>
      </c>
      <c r="W416">
        <v>0</v>
      </c>
      <c r="X416">
        <v>26.556862745098041</v>
      </c>
      <c r="Y416">
        <v>109</v>
      </c>
      <c r="Z416">
        <v>0</v>
      </c>
      <c r="AA416">
        <v>114.6301960784314</v>
      </c>
      <c r="AB416">
        <v>350</v>
      </c>
      <c r="AC416">
        <v>0</v>
      </c>
      <c r="AD416">
        <v>26.732758620689651</v>
      </c>
      <c r="AE416">
        <v>114</v>
      </c>
      <c r="AF416">
        <v>0</v>
      </c>
      <c r="AG416">
        <v>115.31896551724139</v>
      </c>
      <c r="AH416">
        <v>350</v>
      </c>
      <c r="AI416">
        <v>0</v>
      </c>
      <c r="AJ416">
        <v>30</v>
      </c>
      <c r="AK416">
        <v>135.44999999999999</v>
      </c>
      <c r="AL416">
        <v>946</v>
      </c>
      <c r="AM416">
        <v>333</v>
      </c>
      <c r="AN416">
        <v>1279</v>
      </c>
      <c r="AO416">
        <v>24</v>
      </c>
      <c r="AP416">
        <v>438</v>
      </c>
    </row>
    <row r="417" spans="1:42" x14ac:dyDescent="0.3">
      <c r="A417" t="s">
        <v>1369</v>
      </c>
      <c r="B417" t="s">
        <v>60</v>
      </c>
      <c r="C417" t="s">
        <v>1043</v>
      </c>
      <c r="D417" t="s">
        <v>103</v>
      </c>
      <c r="E417" t="s">
        <v>1036</v>
      </c>
      <c r="F417">
        <v>2016</v>
      </c>
      <c r="G417">
        <v>104.2</v>
      </c>
      <c r="H417">
        <v>3</v>
      </c>
      <c r="I417">
        <v>0</v>
      </c>
      <c r="J417">
        <v>24</v>
      </c>
      <c r="K417">
        <v>25</v>
      </c>
      <c r="L417" t="s">
        <v>1327</v>
      </c>
      <c r="M417">
        <v>31.979591836734691</v>
      </c>
      <c r="N417">
        <v>264</v>
      </c>
      <c r="O417">
        <v>0</v>
      </c>
      <c r="P417">
        <v>43.391304347826093</v>
      </c>
      <c r="Q417">
        <v>100.17391304347829</v>
      </c>
      <c r="R417">
        <v>11.411712511091389</v>
      </c>
      <c r="S417">
        <v>209</v>
      </c>
      <c r="T417">
        <v>0</v>
      </c>
      <c r="U417">
        <v>25.96875</v>
      </c>
      <c r="V417">
        <v>94</v>
      </c>
      <c r="W417">
        <v>0</v>
      </c>
      <c r="X417">
        <v>26.556862745098041</v>
      </c>
      <c r="Y417">
        <v>109</v>
      </c>
      <c r="Z417">
        <v>0</v>
      </c>
      <c r="AA417">
        <v>114.6301960784314</v>
      </c>
      <c r="AB417">
        <v>350</v>
      </c>
      <c r="AC417">
        <v>0</v>
      </c>
      <c r="AD417">
        <v>26.732758620689651</v>
      </c>
      <c r="AE417">
        <v>114</v>
      </c>
      <c r="AF417">
        <v>0</v>
      </c>
      <c r="AG417">
        <v>115.31896551724139</v>
      </c>
      <c r="AH417">
        <v>350</v>
      </c>
      <c r="AI417">
        <v>0</v>
      </c>
      <c r="AJ417">
        <v>5</v>
      </c>
      <c r="AK417">
        <v>166.7</v>
      </c>
      <c r="AL417">
        <v>943</v>
      </c>
      <c r="AM417">
        <v>333</v>
      </c>
      <c r="AN417">
        <v>1276</v>
      </c>
      <c r="AO417">
        <v>53</v>
      </c>
      <c r="AP417">
        <v>435</v>
      </c>
    </row>
    <row r="418" spans="1:42" x14ac:dyDescent="0.3">
      <c r="A418" t="s">
        <v>1630</v>
      </c>
      <c r="B418" t="s">
        <v>53</v>
      </c>
      <c r="C418" t="s">
        <v>1043</v>
      </c>
      <c r="D418" t="s">
        <v>25</v>
      </c>
      <c r="E418" t="s">
        <v>1036</v>
      </c>
      <c r="F418">
        <v>2016</v>
      </c>
      <c r="G418">
        <v>166.7</v>
      </c>
      <c r="H418">
        <v>1</v>
      </c>
      <c r="I418">
        <v>0</v>
      </c>
      <c r="J418">
        <v>3</v>
      </c>
      <c r="K418">
        <v>5</v>
      </c>
      <c r="L418" t="s">
        <v>1327</v>
      </c>
      <c r="M418">
        <v>32.058479532163737</v>
      </c>
      <c r="N418">
        <v>264</v>
      </c>
      <c r="O418">
        <v>0</v>
      </c>
      <c r="P418">
        <v>56.375</v>
      </c>
      <c r="Q418">
        <v>92.453125</v>
      </c>
      <c r="R418">
        <v>24.316520467836259</v>
      </c>
      <c r="S418">
        <v>303</v>
      </c>
      <c r="T418">
        <v>4</v>
      </c>
      <c r="U418">
        <v>19.375</v>
      </c>
      <c r="V418">
        <v>70</v>
      </c>
      <c r="W418">
        <v>1</v>
      </c>
      <c r="X418">
        <v>26.556862745098041</v>
      </c>
      <c r="Y418">
        <v>109</v>
      </c>
      <c r="Z418">
        <v>0</v>
      </c>
      <c r="AA418">
        <v>114.6301960784314</v>
      </c>
      <c r="AB418">
        <v>350</v>
      </c>
      <c r="AC418">
        <v>0</v>
      </c>
      <c r="AD418">
        <v>26.732758620689651</v>
      </c>
      <c r="AE418">
        <v>114</v>
      </c>
      <c r="AF418">
        <v>0</v>
      </c>
      <c r="AG418">
        <v>115.31896551724139</v>
      </c>
      <c r="AH418">
        <v>350</v>
      </c>
      <c r="AI418">
        <v>0</v>
      </c>
      <c r="AL418">
        <v>942</v>
      </c>
      <c r="AM418">
        <v>333</v>
      </c>
      <c r="AN418">
        <v>1275</v>
      </c>
      <c r="AO418">
        <v>23</v>
      </c>
      <c r="AP418">
        <v>434</v>
      </c>
    </row>
    <row r="419" spans="1:42" x14ac:dyDescent="0.3">
      <c r="A419" t="s">
        <v>1080</v>
      </c>
      <c r="B419" t="s">
        <v>576</v>
      </c>
      <c r="C419" t="s">
        <v>1043</v>
      </c>
      <c r="D419" t="s">
        <v>100</v>
      </c>
      <c r="E419" t="s">
        <v>1036</v>
      </c>
      <c r="F419">
        <v>2016</v>
      </c>
      <c r="G419">
        <v>141.69999999999999</v>
      </c>
      <c r="H419">
        <v>8</v>
      </c>
      <c r="I419">
        <v>3</v>
      </c>
      <c r="J419">
        <v>60</v>
      </c>
      <c r="K419">
        <v>85</v>
      </c>
      <c r="L419" t="s">
        <v>979</v>
      </c>
      <c r="M419">
        <v>31.903225806451609</v>
      </c>
      <c r="N419">
        <v>264</v>
      </c>
      <c r="O419">
        <v>0</v>
      </c>
      <c r="P419">
        <v>25.444444444444439</v>
      </c>
      <c r="Q419">
        <v>86.627777777777794</v>
      </c>
      <c r="R419">
        <v>-6.4587813620071692</v>
      </c>
      <c r="S419">
        <v>85</v>
      </c>
      <c r="T419">
        <v>0</v>
      </c>
      <c r="U419">
        <v>30.8</v>
      </c>
      <c r="V419">
        <v>85</v>
      </c>
      <c r="W419">
        <v>1</v>
      </c>
      <c r="X419">
        <v>26.556862745098041</v>
      </c>
      <c r="Y419">
        <v>109</v>
      </c>
      <c r="Z419">
        <v>0</v>
      </c>
      <c r="AA419">
        <v>114.6301960784314</v>
      </c>
      <c r="AB419">
        <v>350</v>
      </c>
      <c r="AC419">
        <v>0</v>
      </c>
      <c r="AD419">
        <v>26.732758620689651</v>
      </c>
      <c r="AE419">
        <v>114</v>
      </c>
      <c r="AF419">
        <v>0</v>
      </c>
      <c r="AG419">
        <v>115.31896551724139</v>
      </c>
      <c r="AH419">
        <v>350</v>
      </c>
      <c r="AI419">
        <v>0</v>
      </c>
      <c r="AJ419">
        <v>68</v>
      </c>
      <c r="AK419">
        <v>138.80000000000001</v>
      </c>
      <c r="AL419">
        <v>934</v>
      </c>
      <c r="AM419">
        <v>330</v>
      </c>
      <c r="AN419">
        <v>1264</v>
      </c>
      <c r="AO419">
        <v>9</v>
      </c>
      <c r="AP419">
        <v>423</v>
      </c>
    </row>
    <row r="420" spans="1:42" x14ac:dyDescent="0.3">
      <c r="A420" t="s">
        <v>1128</v>
      </c>
      <c r="B420" t="s">
        <v>11</v>
      </c>
      <c r="C420" t="s">
        <v>1043</v>
      </c>
      <c r="D420" t="s">
        <v>12</v>
      </c>
      <c r="E420" t="s">
        <v>1047</v>
      </c>
      <c r="F420">
        <v>2016</v>
      </c>
      <c r="G420">
        <v>138.80000000000001</v>
      </c>
      <c r="H420">
        <v>8</v>
      </c>
      <c r="I420">
        <v>2</v>
      </c>
      <c r="J420">
        <v>49</v>
      </c>
      <c r="K420">
        <v>68</v>
      </c>
      <c r="L420" t="s">
        <v>979</v>
      </c>
      <c r="M420">
        <v>31.797058823529412</v>
      </c>
      <c r="N420">
        <v>264</v>
      </c>
      <c r="O420">
        <v>0</v>
      </c>
      <c r="P420">
        <v>31.203883495145629</v>
      </c>
      <c r="Q420">
        <v>120.5689320388349</v>
      </c>
      <c r="R420">
        <v>-0.59317532838377929</v>
      </c>
      <c r="S420">
        <v>162</v>
      </c>
      <c r="T420">
        <v>0</v>
      </c>
      <c r="U420">
        <v>31.852941176470591</v>
      </c>
      <c r="V420">
        <v>109</v>
      </c>
      <c r="W420">
        <v>0</v>
      </c>
      <c r="X420">
        <v>26.556862745098041</v>
      </c>
      <c r="Y420">
        <v>109</v>
      </c>
      <c r="Z420">
        <v>0</v>
      </c>
      <c r="AA420">
        <v>114.6301960784314</v>
      </c>
      <c r="AB420">
        <v>350</v>
      </c>
      <c r="AC420">
        <v>0</v>
      </c>
      <c r="AD420">
        <v>27.9758064516129</v>
      </c>
      <c r="AE420">
        <v>105</v>
      </c>
      <c r="AF420">
        <v>0</v>
      </c>
      <c r="AG420">
        <v>110.46935483870971</v>
      </c>
      <c r="AH420">
        <v>280</v>
      </c>
      <c r="AI420">
        <v>0</v>
      </c>
      <c r="AJ420">
        <v>65</v>
      </c>
      <c r="AK420">
        <v>67.7</v>
      </c>
      <c r="AL420">
        <v>926</v>
      </c>
      <c r="AM420">
        <v>328</v>
      </c>
      <c r="AN420">
        <v>1254</v>
      </c>
      <c r="AO420">
        <v>175</v>
      </c>
      <c r="AP420">
        <v>413</v>
      </c>
    </row>
    <row r="421" spans="1:42" x14ac:dyDescent="0.3">
      <c r="A421" t="s">
        <v>1748</v>
      </c>
      <c r="B421" t="s">
        <v>40</v>
      </c>
      <c r="C421" t="s">
        <v>1043</v>
      </c>
      <c r="D421" t="s">
        <v>173</v>
      </c>
      <c r="E421" t="s">
        <v>1047</v>
      </c>
      <c r="F421">
        <v>2016</v>
      </c>
      <c r="G421">
        <v>0</v>
      </c>
      <c r="H421">
        <v>0</v>
      </c>
      <c r="I421">
        <v>0</v>
      </c>
      <c r="J421">
        <v>2</v>
      </c>
      <c r="K421">
        <v>0</v>
      </c>
      <c r="L421" t="s">
        <v>1327</v>
      </c>
      <c r="M421">
        <v>31.89085545722714</v>
      </c>
      <c r="N421">
        <v>264</v>
      </c>
      <c r="O421">
        <v>0</v>
      </c>
      <c r="P421">
        <v>36.388888888888893</v>
      </c>
      <c r="Q421">
        <v>93.683333333333337</v>
      </c>
      <c r="R421">
        <v>4.4980334316617459</v>
      </c>
      <c r="S421">
        <v>208</v>
      </c>
      <c r="T421">
        <v>0</v>
      </c>
      <c r="U421">
        <v>28.12903225806452</v>
      </c>
      <c r="V421">
        <v>79</v>
      </c>
      <c r="W421">
        <v>0</v>
      </c>
      <c r="X421">
        <v>26.556862745098041</v>
      </c>
      <c r="Y421">
        <v>109</v>
      </c>
      <c r="Z421">
        <v>0</v>
      </c>
      <c r="AA421">
        <v>114.6301960784314</v>
      </c>
      <c r="AB421">
        <v>350</v>
      </c>
      <c r="AC421">
        <v>0</v>
      </c>
      <c r="AD421">
        <v>27.9758064516129</v>
      </c>
      <c r="AE421">
        <v>105</v>
      </c>
      <c r="AF421">
        <v>0</v>
      </c>
      <c r="AG421">
        <v>110.46935483870971</v>
      </c>
      <c r="AH421">
        <v>280</v>
      </c>
      <c r="AI421">
        <v>0</v>
      </c>
      <c r="AJ421">
        <v>127</v>
      </c>
      <c r="AK421">
        <v>138.15</v>
      </c>
      <c r="AL421">
        <v>926</v>
      </c>
      <c r="AM421">
        <v>328</v>
      </c>
      <c r="AN421">
        <v>1254</v>
      </c>
      <c r="AO421">
        <v>33</v>
      </c>
      <c r="AP421">
        <v>413</v>
      </c>
    </row>
    <row r="422" spans="1:42" x14ac:dyDescent="0.3">
      <c r="A422" t="s">
        <v>1140</v>
      </c>
      <c r="B422" t="s">
        <v>8</v>
      </c>
      <c r="C422" t="s">
        <v>1043</v>
      </c>
      <c r="D422" t="s">
        <v>9</v>
      </c>
      <c r="E422" t="s">
        <v>1047</v>
      </c>
      <c r="F422">
        <v>2016</v>
      </c>
      <c r="G422">
        <v>135.4</v>
      </c>
      <c r="H422">
        <v>7</v>
      </c>
      <c r="I422">
        <v>1</v>
      </c>
      <c r="J422">
        <v>48</v>
      </c>
      <c r="K422">
        <v>65</v>
      </c>
      <c r="L422" t="s">
        <v>979</v>
      </c>
      <c r="M422">
        <v>31.792899408284018</v>
      </c>
      <c r="N422">
        <v>264</v>
      </c>
      <c r="O422">
        <v>0</v>
      </c>
      <c r="P422">
        <v>38.36</v>
      </c>
      <c r="Q422">
        <v>122.748</v>
      </c>
      <c r="R422">
        <v>6.5671005917159766</v>
      </c>
      <c r="S422">
        <v>131</v>
      </c>
      <c r="T422">
        <v>1</v>
      </c>
      <c r="U422">
        <v>28.567567567567568</v>
      </c>
      <c r="V422">
        <v>74</v>
      </c>
      <c r="W422">
        <v>0</v>
      </c>
      <c r="X422">
        <v>26.556862745098041</v>
      </c>
      <c r="Y422">
        <v>109</v>
      </c>
      <c r="Z422">
        <v>0</v>
      </c>
      <c r="AA422">
        <v>114.6301960784314</v>
      </c>
      <c r="AB422">
        <v>350</v>
      </c>
      <c r="AC422">
        <v>0</v>
      </c>
      <c r="AD422">
        <v>27.9758064516129</v>
      </c>
      <c r="AE422">
        <v>105</v>
      </c>
      <c r="AF422">
        <v>0</v>
      </c>
      <c r="AG422">
        <v>110.46935483870971</v>
      </c>
      <c r="AH422">
        <v>280</v>
      </c>
      <c r="AI422">
        <v>0</v>
      </c>
      <c r="AJ422">
        <v>67</v>
      </c>
      <c r="AK422">
        <v>101.7</v>
      </c>
      <c r="AL422">
        <v>919</v>
      </c>
      <c r="AM422">
        <v>327</v>
      </c>
      <c r="AN422">
        <v>1246</v>
      </c>
      <c r="AO422">
        <v>24</v>
      </c>
      <c r="AP422">
        <v>405</v>
      </c>
    </row>
    <row r="423" spans="1:42" x14ac:dyDescent="0.3">
      <c r="A423" t="s">
        <v>1157</v>
      </c>
      <c r="B423" t="s">
        <v>60</v>
      </c>
      <c r="C423" t="s">
        <v>1043</v>
      </c>
      <c r="D423" t="s">
        <v>12</v>
      </c>
      <c r="E423" t="s">
        <v>1047</v>
      </c>
      <c r="F423">
        <v>2016</v>
      </c>
      <c r="G423">
        <v>140.9</v>
      </c>
      <c r="H423">
        <v>4</v>
      </c>
      <c r="I423">
        <v>3</v>
      </c>
      <c r="J423">
        <v>44</v>
      </c>
      <c r="K423">
        <v>62</v>
      </c>
      <c r="L423" t="s">
        <v>979</v>
      </c>
      <c r="M423">
        <v>31.70326409495549</v>
      </c>
      <c r="N423">
        <v>264</v>
      </c>
      <c r="O423">
        <v>0</v>
      </c>
      <c r="P423">
        <v>31.203883495145629</v>
      </c>
      <c r="Q423">
        <v>120.5689320388349</v>
      </c>
      <c r="R423">
        <v>-0.49938059980985727</v>
      </c>
      <c r="S423">
        <v>162</v>
      </c>
      <c r="T423">
        <v>0</v>
      </c>
      <c r="U423">
        <v>25.96875</v>
      </c>
      <c r="V423">
        <v>94</v>
      </c>
      <c r="W423">
        <v>0</v>
      </c>
      <c r="X423">
        <v>26.556862745098041</v>
      </c>
      <c r="Y423">
        <v>109</v>
      </c>
      <c r="Z423">
        <v>0</v>
      </c>
      <c r="AA423">
        <v>114.6301960784314</v>
      </c>
      <c r="AB423">
        <v>350</v>
      </c>
      <c r="AC423">
        <v>0</v>
      </c>
      <c r="AD423">
        <v>27.9758064516129</v>
      </c>
      <c r="AE423">
        <v>105</v>
      </c>
      <c r="AF423">
        <v>0</v>
      </c>
      <c r="AG423">
        <v>110.46935483870971</v>
      </c>
      <c r="AH423">
        <v>280</v>
      </c>
      <c r="AI423">
        <v>0</v>
      </c>
      <c r="AJ423">
        <v>12</v>
      </c>
      <c r="AK423">
        <v>70.150000000000006</v>
      </c>
      <c r="AL423">
        <v>915</v>
      </c>
      <c r="AM423">
        <v>324</v>
      </c>
      <c r="AN423">
        <v>1239</v>
      </c>
      <c r="AO423">
        <v>168</v>
      </c>
      <c r="AP423">
        <v>398</v>
      </c>
    </row>
    <row r="424" spans="1:42" x14ac:dyDescent="0.3">
      <c r="A424" t="s">
        <v>1631</v>
      </c>
      <c r="B424" t="s">
        <v>53</v>
      </c>
      <c r="C424" t="s">
        <v>1043</v>
      </c>
      <c r="D424" t="s">
        <v>54</v>
      </c>
      <c r="E424" t="s">
        <v>1047</v>
      </c>
      <c r="F424">
        <v>2016</v>
      </c>
      <c r="G424">
        <v>62.5</v>
      </c>
      <c r="H424">
        <v>0</v>
      </c>
      <c r="I424">
        <v>0</v>
      </c>
      <c r="J424">
        <v>8</v>
      </c>
      <c r="K424">
        <v>5</v>
      </c>
      <c r="L424" t="s">
        <v>1327</v>
      </c>
      <c r="M424">
        <v>31.782738095238091</v>
      </c>
      <c r="N424">
        <v>264</v>
      </c>
      <c r="O424">
        <v>0</v>
      </c>
      <c r="P424">
        <v>30</v>
      </c>
      <c r="Q424">
        <v>129.072</v>
      </c>
      <c r="R424">
        <v>-1.7827380952380949</v>
      </c>
      <c r="S424">
        <v>76</v>
      </c>
      <c r="T424">
        <v>1</v>
      </c>
      <c r="U424">
        <v>19.375</v>
      </c>
      <c r="V424">
        <v>70</v>
      </c>
      <c r="W424">
        <v>1</v>
      </c>
      <c r="X424">
        <v>26.556862745098041</v>
      </c>
      <c r="Y424">
        <v>109</v>
      </c>
      <c r="Z424">
        <v>0</v>
      </c>
      <c r="AA424">
        <v>114.6301960784314</v>
      </c>
      <c r="AB424">
        <v>350</v>
      </c>
      <c r="AC424">
        <v>0</v>
      </c>
      <c r="AD424">
        <v>27.9758064516129</v>
      </c>
      <c r="AE424">
        <v>105</v>
      </c>
      <c r="AF424">
        <v>0</v>
      </c>
      <c r="AG424">
        <v>110.46935483870971</v>
      </c>
      <c r="AH424">
        <v>280</v>
      </c>
      <c r="AI424">
        <v>0</v>
      </c>
      <c r="AJ424">
        <v>91</v>
      </c>
      <c r="AK424">
        <v>116.7</v>
      </c>
      <c r="AL424">
        <v>915</v>
      </c>
      <c r="AM424">
        <v>324</v>
      </c>
      <c r="AN424">
        <v>1239</v>
      </c>
      <c r="AO424">
        <v>48</v>
      </c>
      <c r="AP424">
        <v>398</v>
      </c>
    </row>
    <row r="425" spans="1:42" x14ac:dyDescent="0.3">
      <c r="A425" t="s">
        <v>1599</v>
      </c>
      <c r="B425" t="s">
        <v>581</v>
      </c>
      <c r="C425" t="s">
        <v>5</v>
      </c>
      <c r="D425" t="s">
        <v>12</v>
      </c>
      <c r="E425" t="s">
        <v>1047</v>
      </c>
      <c r="F425">
        <v>2016</v>
      </c>
      <c r="G425">
        <v>77.8</v>
      </c>
      <c r="H425">
        <v>1</v>
      </c>
      <c r="I425">
        <v>0</v>
      </c>
      <c r="J425">
        <v>9</v>
      </c>
      <c r="K425">
        <v>7</v>
      </c>
      <c r="L425" t="s">
        <v>1327</v>
      </c>
      <c r="M425">
        <v>31.856716417910452</v>
      </c>
      <c r="N425">
        <v>264</v>
      </c>
      <c r="O425">
        <v>0</v>
      </c>
      <c r="P425">
        <v>31.203883495145629</v>
      </c>
      <c r="Q425">
        <v>120.5689320388349</v>
      </c>
      <c r="R425">
        <v>-0.65283292276481575</v>
      </c>
      <c r="S425">
        <v>162</v>
      </c>
      <c r="T425">
        <v>0</v>
      </c>
      <c r="U425">
        <v>25.666666666666671</v>
      </c>
      <c r="V425">
        <v>40</v>
      </c>
      <c r="W425">
        <v>5</v>
      </c>
      <c r="X425">
        <v>28.189024390243901</v>
      </c>
      <c r="Y425">
        <v>121</v>
      </c>
      <c r="Z425">
        <v>0</v>
      </c>
      <c r="AA425">
        <v>116.45060975609761</v>
      </c>
      <c r="AB425">
        <v>274.39999999999998</v>
      </c>
      <c r="AC425">
        <v>0</v>
      </c>
      <c r="AD425">
        <v>27.9758064516129</v>
      </c>
      <c r="AE425">
        <v>105</v>
      </c>
      <c r="AF425">
        <v>0</v>
      </c>
      <c r="AG425">
        <v>110.46935483870971</v>
      </c>
      <c r="AH425">
        <v>280</v>
      </c>
      <c r="AI425">
        <v>0</v>
      </c>
      <c r="AJ425">
        <v>84</v>
      </c>
      <c r="AK425">
        <v>155.6</v>
      </c>
      <c r="AL425">
        <v>914</v>
      </c>
      <c r="AM425">
        <v>324</v>
      </c>
      <c r="AN425">
        <v>1238</v>
      </c>
      <c r="AO425">
        <v>167</v>
      </c>
      <c r="AP425">
        <v>198</v>
      </c>
    </row>
    <row r="426" spans="1:42" x14ac:dyDescent="0.3">
      <c r="A426" t="s">
        <v>1082</v>
      </c>
      <c r="B426" t="s">
        <v>11</v>
      </c>
      <c r="C426" t="s">
        <v>1043</v>
      </c>
      <c r="D426" t="s">
        <v>139</v>
      </c>
      <c r="E426" t="s">
        <v>1047</v>
      </c>
      <c r="F426">
        <v>2016</v>
      </c>
      <c r="G426">
        <v>155.6</v>
      </c>
      <c r="H426">
        <v>10</v>
      </c>
      <c r="I426">
        <v>2</v>
      </c>
      <c r="J426">
        <v>54</v>
      </c>
      <c r="K426">
        <v>84</v>
      </c>
      <c r="L426" t="s">
        <v>979</v>
      </c>
      <c r="M426">
        <v>31.700598802395209</v>
      </c>
      <c r="N426">
        <v>264</v>
      </c>
      <c r="O426">
        <v>0</v>
      </c>
      <c r="P426">
        <v>45.666666666666657</v>
      </c>
      <c r="Q426">
        <v>104.1166666666667</v>
      </c>
      <c r="R426">
        <v>13.96606786427146</v>
      </c>
      <c r="S426">
        <v>264</v>
      </c>
      <c r="T426">
        <v>0</v>
      </c>
      <c r="U426">
        <v>31.852941176470591</v>
      </c>
      <c r="V426">
        <v>109</v>
      </c>
      <c r="W426">
        <v>0</v>
      </c>
      <c r="X426">
        <v>26.556862745098041</v>
      </c>
      <c r="Y426">
        <v>109</v>
      </c>
      <c r="Z426">
        <v>0</v>
      </c>
      <c r="AA426">
        <v>114.6301960784314</v>
      </c>
      <c r="AB426">
        <v>350</v>
      </c>
      <c r="AC426">
        <v>0</v>
      </c>
      <c r="AD426">
        <v>27.9758064516129</v>
      </c>
      <c r="AE426">
        <v>105</v>
      </c>
      <c r="AF426">
        <v>0</v>
      </c>
      <c r="AG426">
        <v>110.46935483870971</v>
      </c>
      <c r="AH426">
        <v>280</v>
      </c>
      <c r="AI426">
        <v>0</v>
      </c>
      <c r="AJ426">
        <v>7</v>
      </c>
      <c r="AK426">
        <v>140</v>
      </c>
      <c r="AL426">
        <v>904</v>
      </c>
      <c r="AM426">
        <v>322</v>
      </c>
      <c r="AN426">
        <v>1226</v>
      </c>
      <c r="AO426">
        <v>113</v>
      </c>
      <c r="AP426">
        <v>386</v>
      </c>
    </row>
    <row r="427" spans="1:42" x14ac:dyDescent="0.3">
      <c r="A427" t="s">
        <v>1600</v>
      </c>
      <c r="B427" t="s">
        <v>576</v>
      </c>
      <c r="C427" t="s">
        <v>1043</v>
      </c>
      <c r="D427" t="s">
        <v>12</v>
      </c>
      <c r="E427" t="s">
        <v>1047</v>
      </c>
      <c r="F427">
        <v>2016</v>
      </c>
      <c r="G427">
        <v>140</v>
      </c>
      <c r="H427">
        <v>1</v>
      </c>
      <c r="I427">
        <v>0</v>
      </c>
      <c r="J427">
        <v>5</v>
      </c>
      <c r="K427">
        <v>7</v>
      </c>
      <c r="L427" t="s">
        <v>1327</v>
      </c>
      <c r="M427">
        <v>31.77477477477477</v>
      </c>
      <c r="N427">
        <v>264</v>
      </c>
      <c r="O427">
        <v>0</v>
      </c>
      <c r="P427">
        <v>31.203883495145629</v>
      </c>
      <c r="Q427">
        <v>120.5689320388349</v>
      </c>
      <c r="R427">
        <v>-0.57089127962914077</v>
      </c>
      <c r="S427">
        <v>162</v>
      </c>
      <c r="T427">
        <v>0</v>
      </c>
      <c r="U427">
        <v>30.8</v>
      </c>
      <c r="V427">
        <v>85</v>
      </c>
      <c r="W427">
        <v>1</v>
      </c>
      <c r="X427">
        <v>26.556862745098041</v>
      </c>
      <c r="Y427">
        <v>109</v>
      </c>
      <c r="Z427">
        <v>0</v>
      </c>
      <c r="AA427">
        <v>114.6301960784314</v>
      </c>
      <c r="AB427">
        <v>350</v>
      </c>
      <c r="AC427">
        <v>0</v>
      </c>
      <c r="AD427">
        <v>27.9758064516129</v>
      </c>
      <c r="AE427">
        <v>105</v>
      </c>
      <c r="AF427">
        <v>0</v>
      </c>
      <c r="AG427">
        <v>110.46935483870971</v>
      </c>
      <c r="AH427">
        <v>280</v>
      </c>
      <c r="AI427">
        <v>0</v>
      </c>
      <c r="AL427">
        <v>903</v>
      </c>
      <c r="AM427">
        <v>322</v>
      </c>
      <c r="AN427">
        <v>1225</v>
      </c>
      <c r="AO427">
        <v>166</v>
      </c>
      <c r="AP427">
        <v>385</v>
      </c>
    </row>
    <row r="428" spans="1:42" x14ac:dyDescent="0.3">
      <c r="A428" t="s">
        <v>1259</v>
      </c>
      <c r="B428" t="s">
        <v>208</v>
      </c>
      <c r="C428" t="s">
        <v>5</v>
      </c>
      <c r="D428" t="s">
        <v>12</v>
      </c>
      <c r="E428" t="s">
        <v>1016</v>
      </c>
      <c r="F428">
        <v>2016</v>
      </c>
      <c r="G428">
        <v>138.69999999999999</v>
      </c>
      <c r="H428">
        <v>3</v>
      </c>
      <c r="I428">
        <v>3</v>
      </c>
      <c r="J428">
        <v>31</v>
      </c>
      <c r="K428">
        <v>43</v>
      </c>
      <c r="L428" t="s">
        <v>979</v>
      </c>
      <c r="M428">
        <v>31.74096385542169</v>
      </c>
      <c r="N428">
        <v>264</v>
      </c>
      <c r="O428">
        <v>0</v>
      </c>
      <c r="P428">
        <v>31.203883495145629</v>
      </c>
      <c r="Q428">
        <v>120.5689320388349</v>
      </c>
      <c r="R428">
        <v>-0.53708036027605388</v>
      </c>
      <c r="S428">
        <v>162</v>
      </c>
      <c r="T428">
        <v>0</v>
      </c>
      <c r="U428">
        <v>47.081967213114751</v>
      </c>
      <c r="V428">
        <v>177</v>
      </c>
      <c r="W428">
        <v>0</v>
      </c>
      <c r="X428">
        <v>28.189024390243901</v>
      </c>
      <c r="Y428">
        <v>121</v>
      </c>
      <c r="Z428">
        <v>0</v>
      </c>
      <c r="AA428">
        <v>116.45060975609761</v>
      </c>
      <c r="AB428">
        <v>274.39999999999998</v>
      </c>
      <c r="AC428">
        <v>0</v>
      </c>
      <c r="AD428">
        <v>34.313432835820898</v>
      </c>
      <c r="AE428">
        <v>137</v>
      </c>
      <c r="AF428">
        <v>0</v>
      </c>
      <c r="AG428">
        <v>101.9507462686567</v>
      </c>
      <c r="AH428">
        <v>216.7</v>
      </c>
      <c r="AI428">
        <v>0</v>
      </c>
      <c r="AJ428">
        <v>12</v>
      </c>
      <c r="AK428">
        <v>70.599999999999994</v>
      </c>
      <c r="AL428">
        <v>900</v>
      </c>
      <c r="AM428">
        <v>319</v>
      </c>
      <c r="AN428">
        <v>1219</v>
      </c>
      <c r="AO428">
        <v>160</v>
      </c>
      <c r="AP428">
        <v>192</v>
      </c>
    </row>
    <row r="429" spans="1:42" x14ac:dyDescent="0.3">
      <c r="A429" t="s">
        <v>1510</v>
      </c>
      <c r="B429" t="s">
        <v>32</v>
      </c>
      <c r="C429" t="s">
        <v>5</v>
      </c>
      <c r="D429" t="s">
        <v>173</v>
      </c>
      <c r="E429" t="s">
        <v>1016</v>
      </c>
      <c r="F429">
        <v>2016</v>
      </c>
      <c r="G429">
        <v>70.599999999999994</v>
      </c>
      <c r="H429">
        <v>1</v>
      </c>
      <c r="I429">
        <v>0</v>
      </c>
      <c r="J429">
        <v>17</v>
      </c>
      <c r="K429">
        <v>12</v>
      </c>
      <c r="L429" t="s">
        <v>1327</v>
      </c>
      <c r="M429">
        <v>31.800604229607249</v>
      </c>
      <c r="N429">
        <v>264</v>
      </c>
      <c r="O429">
        <v>0</v>
      </c>
      <c r="P429">
        <v>36.388888888888893</v>
      </c>
      <c r="Q429">
        <v>93.683333333333337</v>
      </c>
      <c r="R429">
        <v>4.5882846592816344</v>
      </c>
      <c r="S429">
        <v>208</v>
      </c>
      <c r="T429">
        <v>0</v>
      </c>
      <c r="U429">
        <v>44.710843373493979</v>
      </c>
      <c r="V429">
        <v>209</v>
      </c>
      <c r="W429">
        <v>0</v>
      </c>
      <c r="X429">
        <v>28.189024390243901</v>
      </c>
      <c r="Y429">
        <v>121</v>
      </c>
      <c r="Z429">
        <v>0</v>
      </c>
      <c r="AA429">
        <v>116.45060975609761</v>
      </c>
      <c r="AB429">
        <v>274.39999999999998</v>
      </c>
      <c r="AC429">
        <v>0</v>
      </c>
      <c r="AD429">
        <v>34.313432835820898</v>
      </c>
      <c r="AE429">
        <v>137</v>
      </c>
      <c r="AF429">
        <v>0</v>
      </c>
      <c r="AG429">
        <v>101.9507462686567</v>
      </c>
      <c r="AH429">
        <v>216.7</v>
      </c>
      <c r="AI429">
        <v>0</v>
      </c>
      <c r="AJ429">
        <v>18</v>
      </c>
      <c r="AK429">
        <v>112.5</v>
      </c>
      <c r="AL429">
        <v>899</v>
      </c>
      <c r="AM429">
        <v>319</v>
      </c>
      <c r="AN429">
        <v>1218</v>
      </c>
      <c r="AO429">
        <v>32</v>
      </c>
      <c r="AP429">
        <v>191</v>
      </c>
    </row>
    <row r="430" spans="1:42" x14ac:dyDescent="0.3">
      <c r="A430" t="s">
        <v>1437</v>
      </c>
      <c r="B430" t="s">
        <v>73</v>
      </c>
      <c r="C430" t="s">
        <v>5</v>
      </c>
      <c r="D430" t="s">
        <v>103</v>
      </c>
      <c r="E430" t="s">
        <v>1016</v>
      </c>
      <c r="F430">
        <v>2016</v>
      </c>
      <c r="G430">
        <v>112.5</v>
      </c>
      <c r="H430">
        <v>1</v>
      </c>
      <c r="I430">
        <v>1</v>
      </c>
      <c r="J430">
        <v>16</v>
      </c>
      <c r="K430">
        <v>18</v>
      </c>
      <c r="L430" t="s">
        <v>1327</v>
      </c>
      <c r="M430">
        <v>31.84242424242424</v>
      </c>
      <c r="N430">
        <v>264</v>
      </c>
      <c r="O430">
        <v>0</v>
      </c>
      <c r="P430">
        <v>43.391304347826093</v>
      </c>
      <c r="Q430">
        <v>100.17391304347829</v>
      </c>
      <c r="R430">
        <v>11.548880105401841</v>
      </c>
      <c r="S430">
        <v>209</v>
      </c>
      <c r="T430">
        <v>0</v>
      </c>
      <c r="U430">
        <v>38.228571428571428</v>
      </c>
      <c r="V430">
        <v>137</v>
      </c>
      <c r="W430">
        <v>0</v>
      </c>
      <c r="X430">
        <v>28.189024390243901</v>
      </c>
      <c r="Y430">
        <v>121</v>
      </c>
      <c r="Z430">
        <v>0</v>
      </c>
      <c r="AA430">
        <v>116.45060975609761</v>
      </c>
      <c r="AB430">
        <v>274.39999999999998</v>
      </c>
      <c r="AC430">
        <v>0</v>
      </c>
      <c r="AD430">
        <v>34.313432835820898</v>
      </c>
      <c r="AE430">
        <v>137</v>
      </c>
      <c r="AF430">
        <v>0</v>
      </c>
      <c r="AG430">
        <v>101.9507462686567</v>
      </c>
      <c r="AH430">
        <v>216.7</v>
      </c>
      <c r="AI430">
        <v>0</v>
      </c>
      <c r="AJ430">
        <v>10</v>
      </c>
      <c r="AK430">
        <v>90.9</v>
      </c>
      <c r="AL430">
        <v>898</v>
      </c>
      <c r="AM430">
        <v>318</v>
      </c>
      <c r="AN430">
        <v>1216</v>
      </c>
      <c r="AO430">
        <v>51</v>
      </c>
      <c r="AP430">
        <v>189</v>
      </c>
    </row>
    <row r="431" spans="1:42" x14ac:dyDescent="0.3">
      <c r="A431" t="s">
        <v>1547</v>
      </c>
      <c r="B431" t="s">
        <v>71</v>
      </c>
      <c r="C431" t="s">
        <v>5</v>
      </c>
      <c r="D431" t="s">
        <v>139</v>
      </c>
      <c r="E431" t="s">
        <v>1016</v>
      </c>
      <c r="F431">
        <v>2016</v>
      </c>
      <c r="G431">
        <v>90.9</v>
      </c>
      <c r="H431">
        <v>2</v>
      </c>
      <c r="I431">
        <v>0</v>
      </c>
      <c r="J431">
        <v>11</v>
      </c>
      <c r="K431">
        <v>10</v>
      </c>
      <c r="L431" t="s">
        <v>1327</v>
      </c>
      <c r="M431">
        <v>31.908814589665649</v>
      </c>
      <c r="N431">
        <v>264</v>
      </c>
      <c r="O431">
        <v>0</v>
      </c>
      <c r="P431">
        <v>45.666666666666657</v>
      </c>
      <c r="Q431">
        <v>104.1166666666667</v>
      </c>
      <c r="R431">
        <v>13.75785207700101</v>
      </c>
      <c r="S431">
        <v>264</v>
      </c>
      <c r="T431">
        <v>0</v>
      </c>
      <c r="U431">
        <v>33.333333333333343</v>
      </c>
      <c r="V431">
        <v>140</v>
      </c>
      <c r="W431">
        <v>0</v>
      </c>
      <c r="X431">
        <v>28.189024390243901</v>
      </c>
      <c r="Y431">
        <v>121</v>
      </c>
      <c r="Z431">
        <v>0</v>
      </c>
      <c r="AA431">
        <v>116.45060975609761</v>
      </c>
      <c r="AB431">
        <v>274.39999999999998</v>
      </c>
      <c r="AC431">
        <v>0</v>
      </c>
      <c r="AD431">
        <v>34.313432835820898</v>
      </c>
      <c r="AE431">
        <v>137</v>
      </c>
      <c r="AF431">
        <v>0</v>
      </c>
      <c r="AG431">
        <v>101.9507462686567</v>
      </c>
      <c r="AH431">
        <v>216.7</v>
      </c>
      <c r="AI431">
        <v>0</v>
      </c>
      <c r="AJ431">
        <v>5</v>
      </c>
      <c r="AK431">
        <v>71.400000000000006</v>
      </c>
      <c r="AL431">
        <v>896</v>
      </c>
      <c r="AM431">
        <v>318</v>
      </c>
      <c r="AN431">
        <v>1214</v>
      </c>
      <c r="AO431">
        <v>111</v>
      </c>
      <c r="AP431">
        <v>187</v>
      </c>
    </row>
    <row r="432" spans="1:42" x14ac:dyDescent="0.3">
      <c r="A432" t="s">
        <v>1632</v>
      </c>
      <c r="B432" t="s">
        <v>15</v>
      </c>
      <c r="C432" t="s">
        <v>5</v>
      </c>
      <c r="D432" t="s">
        <v>80</v>
      </c>
      <c r="E432" t="s">
        <v>1016</v>
      </c>
      <c r="F432">
        <v>2016</v>
      </c>
      <c r="G432">
        <v>71.400000000000006</v>
      </c>
      <c r="H432">
        <v>0</v>
      </c>
      <c r="I432">
        <v>0</v>
      </c>
      <c r="J432">
        <v>7</v>
      </c>
      <c r="K432">
        <v>5</v>
      </c>
      <c r="L432" t="s">
        <v>1327</v>
      </c>
      <c r="M432">
        <v>31.99085365853659</v>
      </c>
      <c r="N432">
        <v>264</v>
      </c>
      <c r="O432">
        <v>0</v>
      </c>
      <c r="P432">
        <v>45.785714285714278</v>
      </c>
      <c r="Q432">
        <v>80.371428571428552</v>
      </c>
      <c r="R432">
        <v>13.7948606271777</v>
      </c>
      <c r="S432">
        <v>125</v>
      </c>
      <c r="T432">
        <v>0</v>
      </c>
      <c r="U432">
        <v>37.701754385964911</v>
      </c>
      <c r="V432">
        <v>147</v>
      </c>
      <c r="W432">
        <v>1</v>
      </c>
      <c r="X432">
        <v>28.189024390243901</v>
      </c>
      <c r="Y432">
        <v>121</v>
      </c>
      <c r="Z432">
        <v>0</v>
      </c>
      <c r="AA432">
        <v>116.45060975609761</v>
      </c>
      <c r="AB432">
        <v>274.39999999999998</v>
      </c>
      <c r="AC432">
        <v>0</v>
      </c>
      <c r="AD432">
        <v>34.313432835820898</v>
      </c>
      <c r="AE432">
        <v>137</v>
      </c>
      <c r="AF432">
        <v>0</v>
      </c>
      <c r="AG432">
        <v>101.9507462686567</v>
      </c>
      <c r="AH432">
        <v>216.7</v>
      </c>
      <c r="AI432">
        <v>0</v>
      </c>
      <c r="AL432">
        <v>896</v>
      </c>
      <c r="AM432">
        <v>318</v>
      </c>
      <c r="AN432">
        <v>1214</v>
      </c>
      <c r="AO432">
        <v>29</v>
      </c>
      <c r="AP432">
        <v>187</v>
      </c>
    </row>
    <row r="433" spans="1:42" x14ac:dyDescent="0.3">
      <c r="A433" t="s">
        <v>1710</v>
      </c>
      <c r="B433" t="s">
        <v>73</v>
      </c>
      <c r="C433" t="s">
        <v>5</v>
      </c>
      <c r="D433" t="s">
        <v>259</v>
      </c>
      <c r="E433" t="s">
        <v>1016</v>
      </c>
      <c r="F433">
        <v>2016</v>
      </c>
      <c r="G433">
        <v>20</v>
      </c>
      <c r="H433">
        <v>0</v>
      </c>
      <c r="I433">
        <v>0</v>
      </c>
      <c r="J433">
        <v>5</v>
      </c>
      <c r="K433">
        <v>1</v>
      </c>
      <c r="L433" t="s">
        <v>1327</v>
      </c>
      <c r="M433">
        <v>32.085626911314982</v>
      </c>
      <c r="N433">
        <v>264</v>
      </c>
      <c r="O433">
        <v>0</v>
      </c>
      <c r="P433">
        <v>31</v>
      </c>
      <c r="Q433">
        <v>95.613043478260863</v>
      </c>
      <c r="R433">
        <v>-1.0856269113149819</v>
      </c>
      <c r="S433">
        <v>83</v>
      </c>
      <c r="T433">
        <v>0</v>
      </c>
      <c r="U433">
        <v>38.228571428571428</v>
      </c>
      <c r="V433">
        <v>137</v>
      </c>
      <c r="W433">
        <v>0</v>
      </c>
      <c r="X433">
        <v>28.189024390243901</v>
      </c>
      <c r="Y433">
        <v>121</v>
      </c>
      <c r="Z433">
        <v>0</v>
      </c>
      <c r="AA433">
        <v>116.45060975609761</v>
      </c>
      <c r="AB433">
        <v>274.39999999999998</v>
      </c>
      <c r="AC433">
        <v>0</v>
      </c>
      <c r="AD433">
        <v>34.313432835820898</v>
      </c>
      <c r="AE433">
        <v>137</v>
      </c>
      <c r="AF433">
        <v>0</v>
      </c>
      <c r="AG433">
        <v>101.9507462686567</v>
      </c>
      <c r="AH433">
        <v>216.7</v>
      </c>
      <c r="AI433">
        <v>0</v>
      </c>
      <c r="AJ433">
        <v>54</v>
      </c>
      <c r="AK433">
        <v>123.2</v>
      </c>
      <c r="AL433">
        <v>896</v>
      </c>
      <c r="AM433">
        <v>318</v>
      </c>
      <c r="AN433">
        <v>1214</v>
      </c>
      <c r="AO433">
        <v>77</v>
      </c>
      <c r="AP433">
        <v>187</v>
      </c>
    </row>
    <row r="434" spans="1:42" x14ac:dyDescent="0.3">
      <c r="A434" t="s">
        <v>1277</v>
      </c>
      <c r="B434" t="s">
        <v>625</v>
      </c>
      <c r="C434" t="s">
        <v>5</v>
      </c>
      <c r="D434" t="s">
        <v>259</v>
      </c>
      <c r="E434" t="s">
        <v>1016</v>
      </c>
      <c r="F434">
        <v>2016</v>
      </c>
      <c r="G434">
        <v>139.30000000000001</v>
      </c>
      <c r="H434">
        <v>7</v>
      </c>
      <c r="I434">
        <v>1</v>
      </c>
      <c r="J434">
        <v>28</v>
      </c>
      <c r="K434">
        <v>39</v>
      </c>
      <c r="L434" t="s">
        <v>979</v>
      </c>
      <c r="M434">
        <v>32.064417177914109</v>
      </c>
      <c r="N434">
        <v>264</v>
      </c>
      <c r="O434">
        <v>0</v>
      </c>
      <c r="P434">
        <v>31</v>
      </c>
      <c r="Q434">
        <v>95.613043478260863</v>
      </c>
      <c r="R434">
        <v>-1.0644171779141089</v>
      </c>
      <c r="S434">
        <v>83</v>
      </c>
      <c r="T434">
        <v>0</v>
      </c>
      <c r="U434">
        <v>57</v>
      </c>
      <c r="V434">
        <v>57</v>
      </c>
      <c r="W434">
        <v>39</v>
      </c>
      <c r="X434">
        <v>28.189024390243901</v>
      </c>
      <c r="Y434">
        <v>121</v>
      </c>
      <c r="Z434">
        <v>0</v>
      </c>
      <c r="AA434">
        <v>116.45060975609761</v>
      </c>
      <c r="AB434">
        <v>274.39999999999998</v>
      </c>
      <c r="AC434">
        <v>0</v>
      </c>
      <c r="AD434">
        <v>34.313432835820898</v>
      </c>
      <c r="AE434">
        <v>137</v>
      </c>
      <c r="AF434">
        <v>0</v>
      </c>
      <c r="AG434">
        <v>101.9507462686567</v>
      </c>
      <c r="AH434">
        <v>216.7</v>
      </c>
      <c r="AI434">
        <v>0</v>
      </c>
      <c r="AJ434">
        <v>15</v>
      </c>
      <c r="AK434">
        <v>53.55</v>
      </c>
      <c r="AL434">
        <v>889</v>
      </c>
      <c r="AM434">
        <v>317</v>
      </c>
      <c r="AN434">
        <v>1206</v>
      </c>
      <c r="AO434">
        <v>69</v>
      </c>
      <c r="AP434">
        <v>179</v>
      </c>
    </row>
    <row r="435" spans="1:42" x14ac:dyDescent="0.3">
      <c r="A435" t="s">
        <v>1471</v>
      </c>
      <c r="B435" t="s">
        <v>115</v>
      </c>
      <c r="C435" t="s">
        <v>5</v>
      </c>
      <c r="D435" t="s">
        <v>259</v>
      </c>
      <c r="E435" t="s">
        <v>1016</v>
      </c>
      <c r="F435">
        <v>2016</v>
      </c>
      <c r="G435">
        <v>107.1</v>
      </c>
      <c r="H435">
        <v>3</v>
      </c>
      <c r="I435">
        <v>0</v>
      </c>
      <c r="J435">
        <v>14</v>
      </c>
      <c r="K435">
        <v>15</v>
      </c>
      <c r="L435" t="s">
        <v>1327</v>
      </c>
      <c r="M435">
        <v>32.116923076923079</v>
      </c>
      <c r="N435">
        <v>264</v>
      </c>
      <c r="O435">
        <v>0</v>
      </c>
      <c r="P435">
        <v>31</v>
      </c>
      <c r="Q435">
        <v>95.613043478260863</v>
      </c>
      <c r="R435">
        <v>-1.1169230769230789</v>
      </c>
      <c r="S435">
        <v>83</v>
      </c>
      <c r="T435">
        <v>0</v>
      </c>
      <c r="U435">
        <v>38.236842105263158</v>
      </c>
      <c r="V435">
        <v>264</v>
      </c>
      <c r="W435">
        <v>0</v>
      </c>
      <c r="X435">
        <v>28.189024390243901</v>
      </c>
      <c r="Y435">
        <v>121</v>
      </c>
      <c r="Z435">
        <v>0</v>
      </c>
      <c r="AA435">
        <v>116.45060975609761</v>
      </c>
      <c r="AB435">
        <v>274.39999999999998</v>
      </c>
      <c r="AC435">
        <v>0</v>
      </c>
      <c r="AD435">
        <v>34.313432835820898</v>
      </c>
      <c r="AE435">
        <v>137</v>
      </c>
      <c r="AF435">
        <v>0</v>
      </c>
      <c r="AG435">
        <v>101.9507462686567</v>
      </c>
      <c r="AH435">
        <v>216.7</v>
      </c>
      <c r="AI435">
        <v>0</v>
      </c>
      <c r="AJ435">
        <v>0</v>
      </c>
      <c r="AK435">
        <v>0</v>
      </c>
      <c r="AL435">
        <v>886</v>
      </c>
      <c r="AM435">
        <v>317</v>
      </c>
      <c r="AN435">
        <v>1203</v>
      </c>
      <c r="AO435">
        <v>66</v>
      </c>
      <c r="AP435">
        <v>176</v>
      </c>
    </row>
    <row r="436" spans="1:42" x14ac:dyDescent="0.3">
      <c r="A436" t="s">
        <v>1749</v>
      </c>
      <c r="B436" t="s">
        <v>71</v>
      </c>
      <c r="C436" t="s">
        <v>5</v>
      </c>
      <c r="D436" t="s">
        <v>259</v>
      </c>
      <c r="E436" t="s">
        <v>990</v>
      </c>
      <c r="F436">
        <v>2016</v>
      </c>
      <c r="G436">
        <v>0</v>
      </c>
      <c r="H436">
        <v>0</v>
      </c>
      <c r="I436">
        <v>0</v>
      </c>
      <c r="J436">
        <v>2</v>
      </c>
      <c r="K436">
        <v>0</v>
      </c>
      <c r="L436" t="s">
        <v>1327</v>
      </c>
      <c r="M436">
        <v>32.216049382716051</v>
      </c>
      <c r="N436">
        <v>264</v>
      </c>
      <c r="O436">
        <v>0</v>
      </c>
      <c r="P436">
        <v>31</v>
      </c>
      <c r="Q436">
        <v>95.613043478260863</v>
      </c>
      <c r="R436">
        <v>-1.216049382716051</v>
      </c>
      <c r="S436">
        <v>83</v>
      </c>
      <c r="T436">
        <v>0</v>
      </c>
      <c r="U436">
        <v>33.333333333333343</v>
      </c>
      <c r="V436">
        <v>140</v>
      </c>
      <c r="W436">
        <v>0</v>
      </c>
      <c r="X436">
        <v>28.189024390243901</v>
      </c>
      <c r="Y436">
        <v>121</v>
      </c>
      <c r="Z436">
        <v>0</v>
      </c>
      <c r="AA436">
        <v>116.45060975609761</v>
      </c>
      <c r="AB436">
        <v>274.39999999999998</v>
      </c>
      <c r="AC436">
        <v>0</v>
      </c>
      <c r="AD436">
        <v>31.115942028985511</v>
      </c>
      <c r="AE436">
        <v>187</v>
      </c>
      <c r="AF436">
        <v>0</v>
      </c>
      <c r="AG436">
        <v>73.336956521739125</v>
      </c>
      <c r="AH436">
        <v>233.3</v>
      </c>
      <c r="AI436">
        <v>0</v>
      </c>
      <c r="AJ436">
        <v>83</v>
      </c>
      <c r="AK436">
        <v>150.9</v>
      </c>
      <c r="AL436">
        <v>886</v>
      </c>
      <c r="AM436">
        <v>317</v>
      </c>
      <c r="AN436">
        <v>1203</v>
      </c>
      <c r="AO436">
        <v>66</v>
      </c>
      <c r="AP436">
        <v>176</v>
      </c>
    </row>
    <row r="437" spans="1:42" x14ac:dyDescent="0.3">
      <c r="A437" t="s">
        <v>1085</v>
      </c>
      <c r="B437" t="s">
        <v>73</v>
      </c>
      <c r="C437" t="s">
        <v>5</v>
      </c>
      <c r="D437" t="s">
        <v>259</v>
      </c>
      <c r="E437" t="s">
        <v>990</v>
      </c>
      <c r="F437">
        <v>2016</v>
      </c>
      <c r="G437">
        <v>150.9</v>
      </c>
      <c r="H437">
        <v>7</v>
      </c>
      <c r="I437">
        <v>3</v>
      </c>
      <c r="J437">
        <v>55</v>
      </c>
      <c r="K437">
        <v>83</v>
      </c>
      <c r="L437" t="s">
        <v>979</v>
      </c>
      <c r="M437">
        <v>32.058823529411768</v>
      </c>
      <c r="N437">
        <v>264</v>
      </c>
      <c r="O437">
        <v>0</v>
      </c>
      <c r="P437">
        <v>31</v>
      </c>
      <c r="Q437">
        <v>95.613043478260863</v>
      </c>
      <c r="R437">
        <v>-1.058823529411768</v>
      </c>
      <c r="S437">
        <v>83</v>
      </c>
      <c r="T437">
        <v>0</v>
      </c>
      <c r="U437">
        <v>38.228571428571428</v>
      </c>
      <c r="V437">
        <v>137</v>
      </c>
      <c r="W437">
        <v>0</v>
      </c>
      <c r="X437">
        <v>28.189024390243901</v>
      </c>
      <c r="Y437">
        <v>121</v>
      </c>
      <c r="Z437">
        <v>0</v>
      </c>
      <c r="AA437">
        <v>116.45060975609761</v>
      </c>
      <c r="AB437">
        <v>274.39999999999998</v>
      </c>
      <c r="AC437">
        <v>0</v>
      </c>
      <c r="AD437">
        <v>31.115942028985511</v>
      </c>
      <c r="AE437">
        <v>187</v>
      </c>
      <c r="AF437">
        <v>0</v>
      </c>
      <c r="AG437">
        <v>73.336956521739125</v>
      </c>
      <c r="AH437">
        <v>233.3</v>
      </c>
      <c r="AI437">
        <v>0</v>
      </c>
      <c r="AL437">
        <v>879</v>
      </c>
      <c r="AM437">
        <v>314</v>
      </c>
      <c r="AN437">
        <v>1193</v>
      </c>
      <c r="AO437">
        <v>56</v>
      </c>
      <c r="AP437">
        <v>166</v>
      </c>
    </row>
    <row r="438" spans="1:42" x14ac:dyDescent="0.3">
      <c r="A438" t="s">
        <v>1494</v>
      </c>
      <c r="B438" t="s">
        <v>115</v>
      </c>
      <c r="C438" t="s">
        <v>5</v>
      </c>
      <c r="D438" t="s">
        <v>25</v>
      </c>
      <c r="E438" t="s">
        <v>990</v>
      </c>
      <c r="F438">
        <v>2016</v>
      </c>
      <c r="G438">
        <v>100</v>
      </c>
      <c r="H438">
        <v>1</v>
      </c>
      <c r="I438">
        <v>1</v>
      </c>
      <c r="J438">
        <v>13</v>
      </c>
      <c r="K438">
        <v>13</v>
      </c>
      <c r="L438" t="s">
        <v>1327</v>
      </c>
      <c r="M438">
        <v>32.118012422360252</v>
      </c>
      <c r="N438">
        <v>264</v>
      </c>
      <c r="O438">
        <v>0</v>
      </c>
      <c r="P438">
        <v>56.375</v>
      </c>
      <c r="Q438">
        <v>92.453125</v>
      </c>
      <c r="R438">
        <v>24.256987577639752</v>
      </c>
      <c r="S438">
        <v>303</v>
      </c>
      <c r="T438">
        <v>4</v>
      </c>
      <c r="U438">
        <v>38.236842105263158</v>
      </c>
      <c r="V438">
        <v>264</v>
      </c>
      <c r="W438">
        <v>0</v>
      </c>
      <c r="X438">
        <v>28.189024390243901</v>
      </c>
      <c r="Y438">
        <v>121</v>
      </c>
      <c r="Z438">
        <v>0</v>
      </c>
      <c r="AA438">
        <v>116.45060975609761</v>
      </c>
      <c r="AB438">
        <v>274.39999999999998</v>
      </c>
      <c r="AC438">
        <v>0</v>
      </c>
      <c r="AD438">
        <v>31.115942028985511</v>
      </c>
      <c r="AE438">
        <v>187</v>
      </c>
      <c r="AF438">
        <v>0</v>
      </c>
      <c r="AG438">
        <v>73.336956521739125</v>
      </c>
      <c r="AH438">
        <v>233.3</v>
      </c>
      <c r="AI438">
        <v>0</v>
      </c>
      <c r="AJ438">
        <v>43</v>
      </c>
      <c r="AK438">
        <v>59.7</v>
      </c>
      <c r="AL438">
        <v>878</v>
      </c>
      <c r="AM438">
        <v>313</v>
      </c>
      <c r="AN438">
        <v>1191</v>
      </c>
      <c r="AO438">
        <v>21</v>
      </c>
      <c r="AP438">
        <v>164</v>
      </c>
    </row>
    <row r="439" spans="1:42" x14ac:dyDescent="0.3">
      <c r="A439" t="s">
        <v>1260</v>
      </c>
      <c r="B439" t="s">
        <v>115</v>
      </c>
      <c r="C439" t="s">
        <v>5</v>
      </c>
      <c r="D439" t="s">
        <v>29</v>
      </c>
      <c r="E439" t="s">
        <v>990</v>
      </c>
      <c r="F439">
        <v>2016</v>
      </c>
      <c r="G439">
        <v>119.4</v>
      </c>
      <c r="H439">
        <v>2</v>
      </c>
      <c r="I439">
        <v>1</v>
      </c>
      <c r="J439">
        <v>36</v>
      </c>
      <c r="K439">
        <v>43</v>
      </c>
      <c r="L439" t="s">
        <v>979</v>
      </c>
      <c r="M439">
        <v>32.084112149532707</v>
      </c>
      <c r="N439">
        <v>264</v>
      </c>
      <c r="O439">
        <v>0</v>
      </c>
      <c r="P439">
        <v>47.8</v>
      </c>
      <c r="Q439">
        <v>97.134999999999991</v>
      </c>
      <c r="R439">
        <v>15.71588785046729</v>
      </c>
      <c r="S439">
        <v>212</v>
      </c>
      <c r="T439">
        <v>9</v>
      </c>
      <c r="U439">
        <v>38.236842105263158</v>
      </c>
      <c r="V439">
        <v>264</v>
      </c>
      <c r="W439">
        <v>0</v>
      </c>
      <c r="X439">
        <v>28.189024390243901</v>
      </c>
      <c r="Y439">
        <v>121</v>
      </c>
      <c r="Z439">
        <v>0</v>
      </c>
      <c r="AA439">
        <v>116.45060975609761</v>
      </c>
      <c r="AB439">
        <v>274.39999999999998</v>
      </c>
      <c r="AC439">
        <v>0</v>
      </c>
      <c r="AD439">
        <v>31.115942028985511</v>
      </c>
      <c r="AE439">
        <v>187</v>
      </c>
      <c r="AF439">
        <v>0</v>
      </c>
      <c r="AG439">
        <v>73.336956521739125</v>
      </c>
      <c r="AH439">
        <v>233.3</v>
      </c>
      <c r="AI439">
        <v>0</v>
      </c>
      <c r="AJ439">
        <v>0</v>
      </c>
      <c r="AK439">
        <v>0</v>
      </c>
      <c r="AL439">
        <v>876</v>
      </c>
      <c r="AM439">
        <v>312</v>
      </c>
      <c r="AN439">
        <v>1188</v>
      </c>
      <c r="AO439">
        <v>3</v>
      </c>
      <c r="AP439">
        <v>161</v>
      </c>
    </row>
    <row r="440" spans="1:42" x14ac:dyDescent="0.3">
      <c r="A440" t="s">
        <v>1750</v>
      </c>
      <c r="B440" t="s">
        <v>115</v>
      </c>
      <c r="C440" t="s">
        <v>5</v>
      </c>
      <c r="D440" t="s">
        <v>100</v>
      </c>
      <c r="E440" t="s">
        <v>990</v>
      </c>
      <c r="F440">
        <v>2016</v>
      </c>
      <c r="G440">
        <v>0</v>
      </c>
      <c r="H440">
        <v>0</v>
      </c>
      <c r="I440">
        <v>0</v>
      </c>
      <c r="J440">
        <v>2</v>
      </c>
      <c r="K440">
        <v>0</v>
      </c>
      <c r="L440" t="s">
        <v>1327</v>
      </c>
      <c r="M440">
        <v>32.184375000000003</v>
      </c>
      <c r="N440">
        <v>264</v>
      </c>
      <c r="O440">
        <v>0</v>
      </c>
      <c r="P440">
        <v>25.444444444444439</v>
      </c>
      <c r="Q440">
        <v>86.627777777777794</v>
      </c>
      <c r="R440">
        <v>-6.73993055555556</v>
      </c>
      <c r="S440">
        <v>85</v>
      </c>
      <c r="T440">
        <v>0</v>
      </c>
      <c r="U440">
        <v>38.236842105263158</v>
      </c>
      <c r="V440">
        <v>264</v>
      </c>
      <c r="W440">
        <v>0</v>
      </c>
      <c r="X440">
        <v>28.189024390243901</v>
      </c>
      <c r="Y440">
        <v>121</v>
      </c>
      <c r="Z440">
        <v>0</v>
      </c>
      <c r="AA440">
        <v>116.45060975609761</v>
      </c>
      <c r="AB440">
        <v>274.39999999999998</v>
      </c>
      <c r="AC440">
        <v>0</v>
      </c>
      <c r="AD440">
        <v>31.115942028985511</v>
      </c>
      <c r="AE440">
        <v>187</v>
      </c>
      <c r="AF440">
        <v>0</v>
      </c>
      <c r="AG440">
        <v>73.336956521739125</v>
      </c>
      <c r="AH440">
        <v>233.3</v>
      </c>
      <c r="AI440">
        <v>0</v>
      </c>
      <c r="AL440">
        <v>876</v>
      </c>
      <c r="AM440">
        <v>312</v>
      </c>
      <c r="AN440">
        <v>1188</v>
      </c>
      <c r="AO440">
        <v>9</v>
      </c>
      <c r="AP440">
        <v>161</v>
      </c>
    </row>
    <row r="441" spans="1:42" x14ac:dyDescent="0.3">
      <c r="A441" t="s">
        <v>1205</v>
      </c>
      <c r="B441" t="s">
        <v>32</v>
      </c>
      <c r="C441" t="s">
        <v>5</v>
      </c>
      <c r="D441" t="s">
        <v>33</v>
      </c>
      <c r="E441" t="s">
        <v>994</v>
      </c>
      <c r="F441">
        <v>2016</v>
      </c>
      <c r="G441">
        <v>136.80000000000001</v>
      </c>
      <c r="H441">
        <v>5</v>
      </c>
      <c r="I441">
        <v>1</v>
      </c>
      <c r="J441">
        <v>38</v>
      </c>
      <c r="K441">
        <v>52</v>
      </c>
      <c r="L441" t="s">
        <v>979</v>
      </c>
      <c r="M441">
        <v>32.122257053291527</v>
      </c>
      <c r="N441">
        <v>264</v>
      </c>
      <c r="O441">
        <v>0</v>
      </c>
      <c r="P441">
        <v>68.36363636363636</v>
      </c>
      <c r="Q441">
        <v>88.454545454545453</v>
      </c>
      <c r="R441">
        <v>36.241379310344833</v>
      </c>
      <c r="S441">
        <v>133</v>
      </c>
      <c r="T441">
        <v>1</v>
      </c>
      <c r="U441">
        <v>44.710843373493979</v>
      </c>
      <c r="V441">
        <v>209</v>
      </c>
      <c r="W441">
        <v>0</v>
      </c>
      <c r="X441">
        <v>28.189024390243901</v>
      </c>
      <c r="Y441">
        <v>121</v>
      </c>
      <c r="Z441">
        <v>0</v>
      </c>
      <c r="AA441">
        <v>116.45060975609761</v>
      </c>
      <c r="AB441">
        <v>274.39999999999998</v>
      </c>
      <c r="AC441">
        <v>0</v>
      </c>
      <c r="AD441">
        <v>47.472727272727283</v>
      </c>
      <c r="AE441">
        <v>171</v>
      </c>
      <c r="AF441">
        <v>0</v>
      </c>
      <c r="AG441">
        <v>81.038181818181826</v>
      </c>
      <c r="AH441">
        <v>175.4</v>
      </c>
      <c r="AI441">
        <v>0</v>
      </c>
      <c r="AJ441">
        <v>91</v>
      </c>
      <c r="AK441">
        <v>141.35</v>
      </c>
      <c r="AL441">
        <v>871</v>
      </c>
      <c r="AM441">
        <v>311</v>
      </c>
      <c r="AN441">
        <v>1182</v>
      </c>
      <c r="AO441">
        <v>30</v>
      </c>
      <c r="AP441">
        <v>155</v>
      </c>
    </row>
    <row r="442" spans="1:42" x14ac:dyDescent="0.3">
      <c r="A442" t="s">
        <v>1164</v>
      </c>
      <c r="B442" t="s">
        <v>32</v>
      </c>
      <c r="C442" t="s">
        <v>5</v>
      </c>
      <c r="D442" t="s">
        <v>84</v>
      </c>
      <c r="E442" t="s">
        <v>994</v>
      </c>
      <c r="F442">
        <v>2016</v>
      </c>
      <c r="G442">
        <v>127.7</v>
      </c>
      <c r="H442">
        <v>5</v>
      </c>
      <c r="I442">
        <v>2</v>
      </c>
      <c r="J442">
        <v>47</v>
      </c>
      <c r="K442">
        <v>60</v>
      </c>
      <c r="L442" t="s">
        <v>979</v>
      </c>
      <c r="M442">
        <v>32.034591194968563</v>
      </c>
      <c r="N442">
        <v>264</v>
      </c>
      <c r="O442">
        <v>0</v>
      </c>
      <c r="P442">
        <v>39.769230769230766</v>
      </c>
      <c r="Q442">
        <v>74.015384615384619</v>
      </c>
      <c r="R442">
        <v>7.7346395742622107</v>
      </c>
      <c r="S442">
        <v>138</v>
      </c>
      <c r="T442">
        <v>0</v>
      </c>
      <c r="U442">
        <v>44.710843373493979</v>
      </c>
      <c r="V442">
        <v>209</v>
      </c>
      <c r="W442">
        <v>0</v>
      </c>
      <c r="X442">
        <v>28.189024390243901</v>
      </c>
      <c r="Y442">
        <v>121</v>
      </c>
      <c r="Z442">
        <v>0</v>
      </c>
      <c r="AA442">
        <v>116.45060975609761</v>
      </c>
      <c r="AB442">
        <v>274.39999999999998</v>
      </c>
      <c r="AC442">
        <v>0</v>
      </c>
      <c r="AD442">
        <v>47.472727272727283</v>
      </c>
      <c r="AE442">
        <v>171</v>
      </c>
      <c r="AF442">
        <v>0</v>
      </c>
      <c r="AG442">
        <v>81.038181818181826</v>
      </c>
      <c r="AH442">
        <v>175.4</v>
      </c>
      <c r="AI442">
        <v>0</v>
      </c>
      <c r="AJ442">
        <v>31</v>
      </c>
      <c r="AK442">
        <v>155</v>
      </c>
      <c r="AL442">
        <v>866</v>
      </c>
      <c r="AM442">
        <v>309</v>
      </c>
      <c r="AN442">
        <v>1175</v>
      </c>
      <c r="AO442">
        <v>35</v>
      </c>
      <c r="AP442">
        <v>148</v>
      </c>
    </row>
    <row r="443" spans="1:42" x14ac:dyDescent="0.3">
      <c r="A443" t="s">
        <v>1324</v>
      </c>
      <c r="B443" t="s">
        <v>32</v>
      </c>
      <c r="C443" t="s">
        <v>5</v>
      </c>
      <c r="D443" t="s">
        <v>35</v>
      </c>
      <c r="E443" t="s">
        <v>994</v>
      </c>
      <c r="F443">
        <v>2016</v>
      </c>
      <c r="G443">
        <v>155</v>
      </c>
      <c r="H443">
        <v>4</v>
      </c>
      <c r="I443">
        <v>1</v>
      </c>
      <c r="J443">
        <v>20</v>
      </c>
      <c r="K443">
        <v>31</v>
      </c>
      <c r="L443" t="s">
        <v>979</v>
      </c>
      <c r="M443">
        <v>32.037854889589909</v>
      </c>
      <c r="N443">
        <v>264</v>
      </c>
      <c r="O443">
        <v>0</v>
      </c>
      <c r="P443">
        <v>27.69230769230769</v>
      </c>
      <c r="Q443">
        <v>65.492307692307691</v>
      </c>
      <c r="R443">
        <v>-4.3455471972822153</v>
      </c>
      <c r="S443">
        <v>73</v>
      </c>
      <c r="T443">
        <v>1</v>
      </c>
      <c r="U443">
        <v>44.710843373493979</v>
      </c>
      <c r="V443">
        <v>209</v>
      </c>
      <c r="W443">
        <v>0</v>
      </c>
      <c r="X443">
        <v>28.189024390243901</v>
      </c>
      <c r="Y443">
        <v>121</v>
      </c>
      <c r="Z443">
        <v>0</v>
      </c>
      <c r="AA443">
        <v>116.45060975609761</v>
      </c>
      <c r="AB443">
        <v>274.39999999999998</v>
      </c>
      <c r="AC443">
        <v>0</v>
      </c>
      <c r="AD443">
        <v>47.472727272727283</v>
      </c>
      <c r="AE443">
        <v>171</v>
      </c>
      <c r="AF443">
        <v>0</v>
      </c>
      <c r="AG443">
        <v>81.038181818181826</v>
      </c>
      <c r="AH443">
        <v>175.4</v>
      </c>
      <c r="AI443">
        <v>0</v>
      </c>
      <c r="AJ443">
        <v>99</v>
      </c>
      <c r="AK443">
        <v>91.7</v>
      </c>
      <c r="AL443">
        <v>862</v>
      </c>
      <c r="AM443">
        <v>308</v>
      </c>
      <c r="AN443">
        <v>1170</v>
      </c>
      <c r="AO443">
        <v>13</v>
      </c>
      <c r="AP443">
        <v>143</v>
      </c>
    </row>
    <row r="444" spans="1:42" x14ac:dyDescent="0.3">
      <c r="A444" t="s">
        <v>1060</v>
      </c>
      <c r="B444" t="s">
        <v>32</v>
      </c>
      <c r="C444" t="s">
        <v>16</v>
      </c>
      <c r="D444" t="s">
        <v>33</v>
      </c>
      <c r="E444" t="s">
        <v>994</v>
      </c>
      <c r="F444">
        <v>2016</v>
      </c>
      <c r="G444">
        <v>91.7</v>
      </c>
      <c r="H444">
        <v>9</v>
      </c>
      <c r="I444">
        <v>1</v>
      </c>
      <c r="J444">
        <v>108</v>
      </c>
      <c r="K444">
        <v>99</v>
      </c>
      <c r="L444" t="s">
        <v>979</v>
      </c>
      <c r="M444">
        <v>31.825949367088612</v>
      </c>
      <c r="N444">
        <v>264</v>
      </c>
      <c r="O444">
        <v>0</v>
      </c>
      <c r="P444">
        <v>68.36363636363636</v>
      </c>
      <c r="Q444">
        <v>88.454545454545453</v>
      </c>
      <c r="R444">
        <v>36.537686996547748</v>
      </c>
      <c r="S444">
        <v>133</v>
      </c>
      <c r="T444">
        <v>1</v>
      </c>
      <c r="U444">
        <v>44.710843373493979</v>
      </c>
      <c r="V444">
        <v>209</v>
      </c>
      <c r="W444">
        <v>0</v>
      </c>
      <c r="X444">
        <v>42.251824817518248</v>
      </c>
      <c r="Y444">
        <v>264</v>
      </c>
      <c r="Z444">
        <v>0</v>
      </c>
      <c r="AA444">
        <v>77.646715328467153</v>
      </c>
      <c r="AB444">
        <v>200</v>
      </c>
      <c r="AC444">
        <v>0</v>
      </c>
      <c r="AD444">
        <v>47.472727272727283</v>
      </c>
      <c r="AE444">
        <v>171</v>
      </c>
      <c r="AF444">
        <v>0</v>
      </c>
      <c r="AG444">
        <v>81.038181818181826</v>
      </c>
      <c r="AH444">
        <v>175.4</v>
      </c>
      <c r="AI444">
        <v>0</v>
      </c>
      <c r="AJ444">
        <v>41</v>
      </c>
      <c r="AK444">
        <v>164</v>
      </c>
      <c r="AL444">
        <v>853</v>
      </c>
      <c r="AM444">
        <v>307</v>
      </c>
      <c r="AN444">
        <v>1160</v>
      </c>
      <c r="AO444">
        <v>20</v>
      </c>
      <c r="AP444">
        <v>526</v>
      </c>
    </row>
    <row r="445" spans="1:42" x14ac:dyDescent="0.3">
      <c r="A445" t="s">
        <v>1270</v>
      </c>
      <c r="B445" t="s">
        <v>32</v>
      </c>
      <c r="C445" t="s">
        <v>16</v>
      </c>
      <c r="D445" t="s">
        <v>635</v>
      </c>
      <c r="E445" t="s">
        <v>994</v>
      </c>
      <c r="F445">
        <v>2016</v>
      </c>
      <c r="G445">
        <v>164</v>
      </c>
      <c r="H445">
        <v>2</v>
      </c>
      <c r="I445">
        <v>3</v>
      </c>
      <c r="J445">
        <v>25</v>
      </c>
      <c r="K445">
        <v>41</v>
      </c>
      <c r="L445" t="s">
        <v>979</v>
      </c>
      <c r="M445">
        <v>31.796825396825401</v>
      </c>
      <c r="N445">
        <v>264</v>
      </c>
      <c r="O445">
        <v>0</v>
      </c>
      <c r="P445">
        <v>55.5</v>
      </c>
      <c r="Q445">
        <v>136.69999999999999</v>
      </c>
      <c r="R445">
        <v>23.703174603174599</v>
      </c>
      <c r="S445">
        <v>70</v>
      </c>
      <c r="T445">
        <v>41</v>
      </c>
      <c r="U445">
        <v>44.710843373493979</v>
      </c>
      <c r="V445">
        <v>209</v>
      </c>
      <c r="W445">
        <v>0</v>
      </c>
      <c r="X445">
        <v>42.251824817518248</v>
      </c>
      <c r="Y445">
        <v>264</v>
      </c>
      <c r="Z445">
        <v>0</v>
      </c>
      <c r="AA445">
        <v>77.646715328467153</v>
      </c>
      <c r="AB445">
        <v>200</v>
      </c>
      <c r="AC445">
        <v>0</v>
      </c>
      <c r="AD445">
        <v>47.472727272727283</v>
      </c>
      <c r="AE445">
        <v>171</v>
      </c>
      <c r="AF445">
        <v>0</v>
      </c>
      <c r="AG445">
        <v>81.038181818181826</v>
      </c>
      <c r="AH445">
        <v>175.4</v>
      </c>
      <c r="AI445">
        <v>0</v>
      </c>
      <c r="AJ445">
        <v>130</v>
      </c>
      <c r="AK445">
        <v>76.05</v>
      </c>
      <c r="AL445">
        <v>851</v>
      </c>
      <c r="AM445">
        <v>304</v>
      </c>
      <c r="AN445">
        <v>1155</v>
      </c>
      <c r="AO445">
        <v>7</v>
      </c>
      <c r="AP445">
        <v>521</v>
      </c>
    </row>
    <row r="446" spans="1:42" x14ac:dyDescent="0.3">
      <c r="A446" t="s">
        <v>1611</v>
      </c>
      <c r="B446" t="s">
        <v>32</v>
      </c>
      <c r="C446" t="s">
        <v>16</v>
      </c>
      <c r="D446" t="s">
        <v>84</v>
      </c>
      <c r="E446" t="s">
        <v>994</v>
      </c>
      <c r="F446">
        <v>2016</v>
      </c>
      <c r="G446">
        <v>54.5</v>
      </c>
      <c r="H446">
        <v>0</v>
      </c>
      <c r="I446">
        <v>0</v>
      </c>
      <c r="J446">
        <v>11</v>
      </c>
      <c r="K446">
        <v>6</v>
      </c>
      <c r="L446" t="s">
        <v>1327</v>
      </c>
      <c r="M446">
        <v>31.878980891719749</v>
      </c>
      <c r="N446">
        <v>264</v>
      </c>
      <c r="O446">
        <v>0</v>
      </c>
      <c r="P446">
        <v>39.769230769230766</v>
      </c>
      <c r="Q446">
        <v>74.015384615384619</v>
      </c>
      <c r="R446">
        <v>7.890249877511021</v>
      </c>
      <c r="S446">
        <v>138</v>
      </c>
      <c r="T446">
        <v>0</v>
      </c>
      <c r="U446">
        <v>44.710843373493979</v>
      </c>
      <c r="V446">
        <v>209</v>
      </c>
      <c r="W446">
        <v>0</v>
      </c>
      <c r="X446">
        <v>42.251824817518248</v>
      </c>
      <c r="Y446">
        <v>264</v>
      </c>
      <c r="Z446">
        <v>0</v>
      </c>
      <c r="AA446">
        <v>77.646715328467153</v>
      </c>
      <c r="AB446">
        <v>200</v>
      </c>
      <c r="AC446">
        <v>0</v>
      </c>
      <c r="AD446">
        <v>47.472727272727283</v>
      </c>
      <c r="AE446">
        <v>171</v>
      </c>
      <c r="AF446">
        <v>0</v>
      </c>
      <c r="AG446">
        <v>81.038181818181826</v>
      </c>
      <c r="AH446">
        <v>175.4</v>
      </c>
      <c r="AI446">
        <v>0</v>
      </c>
      <c r="AJ446">
        <v>295</v>
      </c>
      <c r="AK446">
        <v>101.25</v>
      </c>
      <c r="AL446">
        <v>851</v>
      </c>
      <c r="AM446">
        <v>304</v>
      </c>
      <c r="AN446">
        <v>1155</v>
      </c>
      <c r="AO446">
        <v>35</v>
      </c>
      <c r="AP446">
        <v>521</v>
      </c>
    </row>
    <row r="447" spans="1:42" x14ac:dyDescent="0.3">
      <c r="A447" t="s">
        <v>1022</v>
      </c>
      <c r="B447" t="s">
        <v>32</v>
      </c>
      <c r="C447" t="s">
        <v>16</v>
      </c>
      <c r="D447" t="s">
        <v>88</v>
      </c>
      <c r="E447" t="s">
        <v>994</v>
      </c>
      <c r="F447">
        <v>2016</v>
      </c>
      <c r="G447">
        <v>97.6</v>
      </c>
      <c r="H447">
        <v>11</v>
      </c>
      <c r="I447">
        <v>3</v>
      </c>
      <c r="J447">
        <v>127</v>
      </c>
      <c r="K447">
        <v>124</v>
      </c>
      <c r="L447" t="s">
        <v>979</v>
      </c>
      <c r="M447">
        <v>31.584664536741219</v>
      </c>
      <c r="N447">
        <v>264</v>
      </c>
      <c r="O447">
        <v>0</v>
      </c>
      <c r="P447">
        <v>28.333333333333329</v>
      </c>
      <c r="Q447">
        <v>48.216666666666661</v>
      </c>
      <c r="R447">
        <v>-3.251331203407883</v>
      </c>
      <c r="S447">
        <v>124</v>
      </c>
      <c r="T447">
        <v>0</v>
      </c>
      <c r="U447">
        <v>44.710843373493979</v>
      </c>
      <c r="V447">
        <v>209</v>
      </c>
      <c r="W447">
        <v>0</v>
      </c>
      <c r="X447">
        <v>42.251824817518248</v>
      </c>
      <c r="Y447">
        <v>264</v>
      </c>
      <c r="Z447">
        <v>0</v>
      </c>
      <c r="AA447">
        <v>77.646715328467153</v>
      </c>
      <c r="AB447">
        <v>200</v>
      </c>
      <c r="AC447">
        <v>0</v>
      </c>
      <c r="AD447">
        <v>47.472727272727283</v>
      </c>
      <c r="AE447">
        <v>171</v>
      </c>
      <c r="AF447">
        <v>0</v>
      </c>
      <c r="AG447">
        <v>81.038181818181826</v>
      </c>
      <c r="AH447">
        <v>175.4</v>
      </c>
      <c r="AI447">
        <v>0</v>
      </c>
      <c r="AJ447">
        <v>171</v>
      </c>
      <c r="AK447">
        <v>104.9</v>
      </c>
      <c r="AL447">
        <v>840</v>
      </c>
      <c r="AM447">
        <v>301</v>
      </c>
      <c r="AN447">
        <v>1141</v>
      </c>
      <c r="AO447">
        <v>9</v>
      </c>
      <c r="AP447">
        <v>507</v>
      </c>
    </row>
    <row r="448" spans="1:42" x14ac:dyDescent="0.3">
      <c r="A448" t="s">
        <v>993</v>
      </c>
      <c r="B448" t="s">
        <v>32</v>
      </c>
      <c r="C448" t="s">
        <v>16</v>
      </c>
      <c r="D448" t="s">
        <v>37</v>
      </c>
      <c r="E448" t="s">
        <v>994</v>
      </c>
      <c r="F448">
        <v>2016</v>
      </c>
      <c r="G448">
        <v>104.9</v>
      </c>
      <c r="H448">
        <v>13</v>
      </c>
      <c r="I448">
        <v>7</v>
      </c>
      <c r="J448">
        <v>163</v>
      </c>
      <c r="K448">
        <v>171</v>
      </c>
      <c r="L448" t="s">
        <v>979</v>
      </c>
      <c r="M448">
        <v>31.137820512820511</v>
      </c>
      <c r="N448">
        <v>264</v>
      </c>
      <c r="O448">
        <v>0</v>
      </c>
      <c r="P448">
        <v>44.666666666666657</v>
      </c>
      <c r="Q448">
        <v>78.399999999999991</v>
      </c>
      <c r="R448">
        <v>13.52884615384615</v>
      </c>
      <c r="S448">
        <v>171</v>
      </c>
      <c r="T448">
        <v>7</v>
      </c>
      <c r="U448">
        <v>44.710843373493979</v>
      </c>
      <c r="V448">
        <v>209</v>
      </c>
      <c r="W448">
        <v>0</v>
      </c>
      <c r="X448">
        <v>42.251824817518248</v>
      </c>
      <c r="Y448">
        <v>264</v>
      </c>
      <c r="Z448">
        <v>0</v>
      </c>
      <c r="AA448">
        <v>77.646715328467153</v>
      </c>
      <c r="AB448">
        <v>200</v>
      </c>
      <c r="AC448">
        <v>0</v>
      </c>
      <c r="AD448">
        <v>47.472727272727283</v>
      </c>
      <c r="AE448">
        <v>171</v>
      </c>
      <c r="AF448">
        <v>0</v>
      </c>
      <c r="AG448">
        <v>81.038181818181826</v>
      </c>
      <c r="AH448">
        <v>175.4</v>
      </c>
      <c r="AI448">
        <v>0</v>
      </c>
      <c r="AL448">
        <v>827</v>
      </c>
      <c r="AM448">
        <v>294</v>
      </c>
      <c r="AN448">
        <v>1121</v>
      </c>
      <c r="AO448">
        <v>13</v>
      </c>
      <c r="AP448">
        <v>487</v>
      </c>
    </row>
    <row r="449" spans="1:42" x14ac:dyDescent="0.3">
      <c r="A449" t="s">
        <v>1711</v>
      </c>
      <c r="B449" t="s">
        <v>24</v>
      </c>
      <c r="C449" t="s">
        <v>83</v>
      </c>
      <c r="D449" t="s">
        <v>9</v>
      </c>
      <c r="E449" t="s">
        <v>987</v>
      </c>
      <c r="F449">
        <v>2015</v>
      </c>
      <c r="G449">
        <v>16.600000000000001</v>
      </c>
      <c r="H449">
        <v>0</v>
      </c>
      <c r="I449">
        <v>0</v>
      </c>
      <c r="J449">
        <v>2</v>
      </c>
      <c r="K449">
        <v>1</v>
      </c>
      <c r="L449" t="s">
        <v>1327</v>
      </c>
      <c r="M449">
        <v>31.234726688102889</v>
      </c>
      <c r="N449">
        <v>264</v>
      </c>
      <c r="O449">
        <v>0</v>
      </c>
      <c r="P449">
        <v>38.36</v>
      </c>
      <c r="Q449">
        <v>122.748</v>
      </c>
      <c r="R449">
        <v>7.1252733118971072</v>
      </c>
      <c r="S449">
        <v>131</v>
      </c>
      <c r="T449">
        <v>1</v>
      </c>
      <c r="U449">
        <v>37.163636363636357</v>
      </c>
      <c r="V449">
        <v>303</v>
      </c>
      <c r="W449">
        <v>0</v>
      </c>
      <c r="X449">
        <v>65.166666666666671</v>
      </c>
      <c r="Y449">
        <v>303</v>
      </c>
      <c r="Z449">
        <v>1</v>
      </c>
      <c r="AA449">
        <v>55.904545454545449</v>
      </c>
      <c r="AB449">
        <v>161.6</v>
      </c>
      <c r="AC449">
        <v>16.600000000000001</v>
      </c>
      <c r="AD449">
        <v>40.825000000000003</v>
      </c>
      <c r="AE449">
        <v>208</v>
      </c>
      <c r="AF449">
        <v>1</v>
      </c>
      <c r="AG449">
        <v>90.646250000000009</v>
      </c>
      <c r="AH449">
        <v>274.39999999999998</v>
      </c>
      <c r="AI449">
        <v>15.4</v>
      </c>
      <c r="AL449">
        <v>827</v>
      </c>
      <c r="AM449">
        <v>294</v>
      </c>
      <c r="AN449">
        <v>1121</v>
      </c>
      <c r="AO449">
        <v>24</v>
      </c>
      <c r="AP449">
        <v>106</v>
      </c>
    </row>
    <row r="450" spans="1:42" x14ac:dyDescent="0.3">
      <c r="A450" t="s">
        <v>1370</v>
      </c>
      <c r="B450" t="s">
        <v>24</v>
      </c>
      <c r="C450" t="s">
        <v>83</v>
      </c>
      <c r="D450" t="s">
        <v>80</v>
      </c>
      <c r="E450" t="s">
        <v>981</v>
      </c>
      <c r="F450">
        <v>2015</v>
      </c>
      <c r="G450">
        <v>33</v>
      </c>
      <c r="H450">
        <v>1</v>
      </c>
      <c r="I450">
        <v>1</v>
      </c>
      <c r="J450">
        <v>45</v>
      </c>
      <c r="K450">
        <v>25</v>
      </c>
      <c r="L450" t="s">
        <v>1327</v>
      </c>
      <c r="M450">
        <v>31.254838709677419</v>
      </c>
      <c r="N450">
        <v>264</v>
      </c>
      <c r="O450">
        <v>0</v>
      </c>
      <c r="P450">
        <v>45.785714285714278</v>
      </c>
      <c r="Q450">
        <v>80.371428571428552</v>
      </c>
      <c r="R450">
        <v>14.53087557603687</v>
      </c>
      <c r="S450">
        <v>125</v>
      </c>
      <c r="T450">
        <v>0</v>
      </c>
      <c r="U450">
        <v>37.163636363636357</v>
      </c>
      <c r="V450">
        <v>303</v>
      </c>
      <c r="W450">
        <v>0</v>
      </c>
      <c r="X450">
        <v>65.166666666666671</v>
      </c>
      <c r="Y450">
        <v>303</v>
      </c>
      <c r="Z450">
        <v>1</v>
      </c>
      <c r="AA450">
        <v>55.904545454545449</v>
      </c>
      <c r="AB450">
        <v>161.6</v>
      </c>
      <c r="AC450">
        <v>16.600000000000001</v>
      </c>
      <c r="AD450">
        <v>47.122448979591837</v>
      </c>
      <c r="AE450">
        <v>264</v>
      </c>
      <c r="AF450">
        <v>0</v>
      </c>
      <c r="AG450">
        <v>105.5040816326531</v>
      </c>
      <c r="AH450">
        <v>200</v>
      </c>
      <c r="AI450">
        <v>0</v>
      </c>
      <c r="AL450">
        <v>826</v>
      </c>
      <c r="AM450">
        <v>293</v>
      </c>
      <c r="AN450">
        <v>1119</v>
      </c>
      <c r="AO450">
        <v>27</v>
      </c>
      <c r="AP450">
        <v>104</v>
      </c>
    </row>
    <row r="451" spans="1:42" x14ac:dyDescent="0.3">
      <c r="A451" t="s">
        <v>1455</v>
      </c>
      <c r="B451" t="s">
        <v>24</v>
      </c>
      <c r="C451" t="s">
        <v>16</v>
      </c>
      <c r="D451" t="s">
        <v>12</v>
      </c>
      <c r="E451" t="s">
        <v>977</v>
      </c>
      <c r="F451">
        <v>2015</v>
      </c>
      <c r="G451">
        <v>80</v>
      </c>
      <c r="H451">
        <v>3</v>
      </c>
      <c r="I451">
        <v>0</v>
      </c>
      <c r="J451">
        <v>20</v>
      </c>
      <c r="K451">
        <v>16</v>
      </c>
      <c r="L451" t="s">
        <v>1327</v>
      </c>
      <c r="M451">
        <v>31.3042071197411</v>
      </c>
      <c r="N451">
        <v>264</v>
      </c>
      <c r="O451">
        <v>0</v>
      </c>
      <c r="P451">
        <v>31.203883495145629</v>
      </c>
      <c r="Q451">
        <v>120.5689320388349</v>
      </c>
      <c r="R451">
        <v>-0.1003236245954682</v>
      </c>
      <c r="S451">
        <v>162</v>
      </c>
      <c r="T451">
        <v>0</v>
      </c>
      <c r="U451">
        <v>37.163636363636357</v>
      </c>
      <c r="V451">
        <v>303</v>
      </c>
      <c r="W451">
        <v>0</v>
      </c>
      <c r="X451">
        <v>42.251824817518248</v>
      </c>
      <c r="Y451">
        <v>264</v>
      </c>
      <c r="Z451">
        <v>0</v>
      </c>
      <c r="AA451">
        <v>77.646715328467153</v>
      </c>
      <c r="AB451">
        <v>200</v>
      </c>
      <c r="AC451">
        <v>0</v>
      </c>
      <c r="AD451">
        <v>49.901639344262293</v>
      </c>
      <c r="AE451">
        <v>303</v>
      </c>
      <c r="AF451">
        <v>0</v>
      </c>
      <c r="AG451">
        <v>90.971311475409848</v>
      </c>
      <c r="AH451">
        <v>200</v>
      </c>
      <c r="AI451">
        <v>0</v>
      </c>
      <c r="AJ451">
        <v>21</v>
      </c>
      <c r="AK451">
        <v>110.5</v>
      </c>
      <c r="AL451">
        <v>823</v>
      </c>
      <c r="AM451">
        <v>293</v>
      </c>
      <c r="AN451">
        <v>1116</v>
      </c>
      <c r="AO451">
        <v>157</v>
      </c>
      <c r="AP451">
        <v>484</v>
      </c>
    </row>
    <row r="452" spans="1:42" x14ac:dyDescent="0.3">
      <c r="A452" t="s">
        <v>1406</v>
      </c>
      <c r="B452" t="s">
        <v>24</v>
      </c>
      <c r="C452" t="s">
        <v>16</v>
      </c>
      <c r="D452" t="s">
        <v>64</v>
      </c>
      <c r="E452" t="s">
        <v>977</v>
      </c>
      <c r="F452">
        <v>2015</v>
      </c>
      <c r="G452">
        <v>110.5</v>
      </c>
      <c r="H452">
        <v>4</v>
      </c>
      <c r="I452">
        <v>0</v>
      </c>
      <c r="J452">
        <v>19</v>
      </c>
      <c r="K452">
        <v>21</v>
      </c>
      <c r="L452" t="s">
        <v>1327</v>
      </c>
      <c r="M452">
        <v>31.337662337662341</v>
      </c>
      <c r="N452">
        <v>264</v>
      </c>
      <c r="O452">
        <v>0</v>
      </c>
      <c r="P452">
        <v>26</v>
      </c>
      <c r="Q452">
        <v>94.26964285714287</v>
      </c>
      <c r="R452">
        <v>-5.3376623376623371</v>
      </c>
      <c r="S452">
        <v>187</v>
      </c>
      <c r="T452">
        <v>0</v>
      </c>
      <c r="U452">
        <v>37.163636363636357</v>
      </c>
      <c r="V452">
        <v>303</v>
      </c>
      <c r="W452">
        <v>0</v>
      </c>
      <c r="X452">
        <v>42.251824817518248</v>
      </c>
      <c r="Y452">
        <v>264</v>
      </c>
      <c r="Z452">
        <v>0</v>
      </c>
      <c r="AA452">
        <v>77.646715328467153</v>
      </c>
      <c r="AB452">
        <v>200</v>
      </c>
      <c r="AC452">
        <v>0</v>
      </c>
      <c r="AD452">
        <v>49.901639344262293</v>
      </c>
      <c r="AE452">
        <v>303</v>
      </c>
      <c r="AF452">
        <v>0</v>
      </c>
      <c r="AG452">
        <v>90.971311475409848</v>
      </c>
      <c r="AH452">
        <v>200</v>
      </c>
      <c r="AI452">
        <v>0</v>
      </c>
      <c r="AJ452">
        <v>65</v>
      </c>
      <c r="AK452">
        <v>87.8</v>
      </c>
      <c r="AL452">
        <v>819</v>
      </c>
      <c r="AM452">
        <v>293</v>
      </c>
      <c r="AN452">
        <v>1112</v>
      </c>
      <c r="AO452">
        <v>9</v>
      </c>
      <c r="AP452">
        <v>480</v>
      </c>
    </row>
    <row r="453" spans="1:42" x14ac:dyDescent="0.3">
      <c r="A453" t="s">
        <v>1141</v>
      </c>
      <c r="B453" t="s">
        <v>24</v>
      </c>
      <c r="C453" t="s">
        <v>16</v>
      </c>
      <c r="D453" t="s">
        <v>19</v>
      </c>
      <c r="E453" t="s">
        <v>977</v>
      </c>
      <c r="F453">
        <v>2015</v>
      </c>
      <c r="G453">
        <v>87.8</v>
      </c>
      <c r="H453">
        <v>7</v>
      </c>
      <c r="I453">
        <v>2</v>
      </c>
      <c r="J453">
        <v>74</v>
      </c>
      <c r="K453">
        <v>65</v>
      </c>
      <c r="L453" t="s">
        <v>979</v>
      </c>
      <c r="M453">
        <v>31.22801302931596</v>
      </c>
      <c r="N453">
        <v>264</v>
      </c>
      <c r="O453">
        <v>0</v>
      </c>
      <c r="P453">
        <v>47.6</v>
      </c>
      <c r="Q453">
        <v>101.29</v>
      </c>
      <c r="R453">
        <v>16.371986970684041</v>
      </c>
      <c r="S453">
        <v>150</v>
      </c>
      <c r="T453">
        <v>5</v>
      </c>
      <c r="U453">
        <v>37.163636363636357</v>
      </c>
      <c r="V453">
        <v>303</v>
      </c>
      <c r="W453">
        <v>0</v>
      </c>
      <c r="X453">
        <v>42.251824817518248</v>
      </c>
      <c r="Y453">
        <v>264</v>
      </c>
      <c r="Z453">
        <v>0</v>
      </c>
      <c r="AA453">
        <v>77.646715328467153</v>
      </c>
      <c r="AB453">
        <v>200</v>
      </c>
      <c r="AC453">
        <v>0</v>
      </c>
      <c r="AD453">
        <v>49.901639344262293</v>
      </c>
      <c r="AE453">
        <v>303</v>
      </c>
      <c r="AF453">
        <v>0</v>
      </c>
      <c r="AG453">
        <v>90.971311475409848</v>
      </c>
      <c r="AH453">
        <v>200</v>
      </c>
      <c r="AI453">
        <v>0</v>
      </c>
      <c r="AJ453">
        <v>3</v>
      </c>
      <c r="AK453">
        <v>30</v>
      </c>
      <c r="AL453">
        <v>812</v>
      </c>
      <c r="AM453">
        <v>291</v>
      </c>
      <c r="AN453">
        <v>1103</v>
      </c>
      <c r="AO453">
        <v>2</v>
      </c>
      <c r="AP453">
        <v>471</v>
      </c>
    </row>
    <row r="454" spans="1:42" x14ac:dyDescent="0.3">
      <c r="A454" t="s">
        <v>1673</v>
      </c>
      <c r="B454" t="s">
        <v>24</v>
      </c>
      <c r="C454" t="s">
        <v>16</v>
      </c>
      <c r="D454" t="s">
        <v>17</v>
      </c>
      <c r="E454" t="s">
        <v>977</v>
      </c>
      <c r="F454">
        <v>2015</v>
      </c>
      <c r="G454">
        <v>30</v>
      </c>
      <c r="H454">
        <v>0</v>
      </c>
      <c r="I454">
        <v>0</v>
      </c>
      <c r="J454">
        <v>10</v>
      </c>
      <c r="K454">
        <v>3</v>
      </c>
      <c r="L454" t="s">
        <v>1327</v>
      </c>
      <c r="M454">
        <v>31.320261437908499</v>
      </c>
      <c r="N454">
        <v>264</v>
      </c>
      <c r="O454">
        <v>0</v>
      </c>
      <c r="P454">
        <v>33.769230769230766</v>
      </c>
      <c r="Q454">
        <v>87.853846153846149</v>
      </c>
      <c r="R454">
        <v>2.4489693313222709</v>
      </c>
      <c r="S454">
        <v>118</v>
      </c>
      <c r="T454">
        <v>0</v>
      </c>
      <c r="U454">
        <v>37.163636363636357</v>
      </c>
      <c r="V454">
        <v>303</v>
      </c>
      <c r="W454">
        <v>0</v>
      </c>
      <c r="X454">
        <v>42.251824817518248</v>
      </c>
      <c r="Y454">
        <v>264</v>
      </c>
      <c r="Z454">
        <v>0</v>
      </c>
      <c r="AA454">
        <v>77.646715328467153</v>
      </c>
      <c r="AB454">
        <v>200</v>
      </c>
      <c r="AC454">
        <v>0</v>
      </c>
      <c r="AD454">
        <v>49.901639344262293</v>
      </c>
      <c r="AE454">
        <v>303</v>
      </c>
      <c r="AF454">
        <v>0</v>
      </c>
      <c r="AG454">
        <v>90.971311475409848</v>
      </c>
      <c r="AH454">
        <v>200</v>
      </c>
      <c r="AI454">
        <v>0</v>
      </c>
      <c r="AJ454">
        <v>150</v>
      </c>
      <c r="AK454">
        <v>112.8</v>
      </c>
      <c r="AL454">
        <v>812</v>
      </c>
      <c r="AM454">
        <v>291</v>
      </c>
      <c r="AN454">
        <v>1103</v>
      </c>
      <c r="AO454">
        <v>3</v>
      </c>
      <c r="AP454">
        <v>471</v>
      </c>
    </row>
    <row r="455" spans="1:42" x14ac:dyDescent="0.3">
      <c r="A455" t="s">
        <v>1002</v>
      </c>
      <c r="B455" t="s">
        <v>24</v>
      </c>
      <c r="C455" t="s">
        <v>16</v>
      </c>
      <c r="D455" t="s">
        <v>107</v>
      </c>
      <c r="E455" t="s">
        <v>977</v>
      </c>
      <c r="F455">
        <v>2015</v>
      </c>
      <c r="G455">
        <v>112.8</v>
      </c>
      <c r="H455">
        <v>13</v>
      </c>
      <c r="I455">
        <v>6</v>
      </c>
      <c r="J455">
        <v>133</v>
      </c>
      <c r="K455">
        <v>150</v>
      </c>
      <c r="L455" t="s">
        <v>979</v>
      </c>
      <c r="M455">
        <v>30.931147540983609</v>
      </c>
      <c r="N455">
        <v>264</v>
      </c>
      <c r="O455">
        <v>0</v>
      </c>
      <c r="P455">
        <v>70.428571428571431</v>
      </c>
      <c r="Q455">
        <v>102.42142857142861</v>
      </c>
      <c r="R455">
        <v>39.497423887587829</v>
      </c>
      <c r="S455">
        <v>150</v>
      </c>
      <c r="T455">
        <v>4</v>
      </c>
      <c r="U455">
        <v>37.163636363636357</v>
      </c>
      <c r="V455">
        <v>303</v>
      </c>
      <c r="W455">
        <v>0</v>
      </c>
      <c r="X455">
        <v>42.251824817518248</v>
      </c>
      <c r="Y455">
        <v>264</v>
      </c>
      <c r="Z455">
        <v>0</v>
      </c>
      <c r="AA455">
        <v>77.646715328467153</v>
      </c>
      <c r="AB455">
        <v>200</v>
      </c>
      <c r="AC455">
        <v>0</v>
      </c>
      <c r="AD455">
        <v>49.901639344262293</v>
      </c>
      <c r="AE455">
        <v>303</v>
      </c>
      <c r="AF455">
        <v>0</v>
      </c>
      <c r="AG455">
        <v>90.971311475409848</v>
      </c>
      <c r="AH455">
        <v>200</v>
      </c>
      <c r="AI455">
        <v>0</v>
      </c>
      <c r="AL455">
        <v>799</v>
      </c>
      <c r="AM455">
        <v>285</v>
      </c>
      <c r="AN455">
        <v>1084</v>
      </c>
      <c r="AO455">
        <v>3</v>
      </c>
      <c r="AP455">
        <v>452</v>
      </c>
    </row>
    <row r="456" spans="1:42" x14ac:dyDescent="0.3">
      <c r="A456" t="s">
        <v>1396</v>
      </c>
      <c r="B456" t="s">
        <v>24</v>
      </c>
      <c r="C456" t="s">
        <v>5</v>
      </c>
      <c r="D456" t="s">
        <v>78</v>
      </c>
      <c r="E456" t="s">
        <v>977</v>
      </c>
      <c r="F456">
        <v>2015</v>
      </c>
      <c r="G456">
        <v>91.7</v>
      </c>
      <c r="H456">
        <v>2</v>
      </c>
      <c r="I456">
        <v>0</v>
      </c>
      <c r="J456">
        <v>24</v>
      </c>
      <c r="K456">
        <v>22</v>
      </c>
      <c r="L456" t="s">
        <v>1327</v>
      </c>
      <c r="M456">
        <v>30.960526315789469</v>
      </c>
      <c r="N456">
        <v>264</v>
      </c>
      <c r="O456">
        <v>0</v>
      </c>
      <c r="P456">
        <v>44.222222222222221</v>
      </c>
      <c r="Q456">
        <v>102.3</v>
      </c>
      <c r="R456">
        <v>13.261695906432751</v>
      </c>
      <c r="S456">
        <v>119</v>
      </c>
      <c r="T456">
        <v>1</v>
      </c>
      <c r="U456">
        <v>37.163636363636357</v>
      </c>
      <c r="V456">
        <v>303</v>
      </c>
      <c r="W456">
        <v>0</v>
      </c>
      <c r="X456">
        <v>28.189024390243901</v>
      </c>
      <c r="Y456">
        <v>121</v>
      </c>
      <c r="Z456">
        <v>0</v>
      </c>
      <c r="AA456">
        <v>116.45060975609761</v>
      </c>
      <c r="AB456">
        <v>274.39999999999998</v>
      </c>
      <c r="AC456">
        <v>0</v>
      </c>
      <c r="AD456">
        <v>49.901639344262293</v>
      </c>
      <c r="AE456">
        <v>303</v>
      </c>
      <c r="AF456">
        <v>0</v>
      </c>
      <c r="AG456">
        <v>90.971311475409848</v>
      </c>
      <c r="AH456">
        <v>200</v>
      </c>
      <c r="AI456">
        <v>0</v>
      </c>
      <c r="AJ456">
        <v>106</v>
      </c>
      <c r="AK456">
        <v>160.6</v>
      </c>
      <c r="AL456">
        <v>797</v>
      </c>
      <c r="AM456">
        <v>285</v>
      </c>
      <c r="AN456">
        <v>1082</v>
      </c>
      <c r="AO456">
        <v>17</v>
      </c>
      <c r="AP456">
        <v>141</v>
      </c>
    </row>
    <row r="457" spans="1:42" x14ac:dyDescent="0.3">
      <c r="A457" t="s">
        <v>1045</v>
      </c>
      <c r="B457" t="s">
        <v>24</v>
      </c>
      <c r="C457" t="s">
        <v>5</v>
      </c>
      <c r="D457" t="s">
        <v>154</v>
      </c>
      <c r="E457" t="s">
        <v>977</v>
      </c>
      <c r="F457">
        <v>2015</v>
      </c>
      <c r="G457">
        <v>160.6</v>
      </c>
      <c r="H457">
        <v>12</v>
      </c>
      <c r="I457">
        <v>5</v>
      </c>
      <c r="J457">
        <v>66</v>
      </c>
      <c r="K457">
        <v>106</v>
      </c>
      <c r="L457" t="s">
        <v>979</v>
      </c>
      <c r="M457">
        <v>30.71287128712871</v>
      </c>
      <c r="N457">
        <v>264</v>
      </c>
      <c r="O457">
        <v>0</v>
      </c>
      <c r="P457">
        <v>37.4</v>
      </c>
      <c r="Q457">
        <v>83.72</v>
      </c>
      <c r="R457">
        <v>6.6871287128712851</v>
      </c>
      <c r="S457">
        <v>106</v>
      </c>
      <c r="T457">
        <v>1</v>
      </c>
      <c r="U457">
        <v>37.163636363636357</v>
      </c>
      <c r="V457">
        <v>303</v>
      </c>
      <c r="W457">
        <v>0</v>
      </c>
      <c r="X457">
        <v>28.189024390243901</v>
      </c>
      <c r="Y457">
        <v>121</v>
      </c>
      <c r="Z457">
        <v>0</v>
      </c>
      <c r="AA457">
        <v>116.45060975609761</v>
      </c>
      <c r="AB457">
        <v>274.39999999999998</v>
      </c>
      <c r="AC457">
        <v>0</v>
      </c>
      <c r="AD457">
        <v>49.901639344262293</v>
      </c>
      <c r="AE457">
        <v>303</v>
      </c>
      <c r="AF457">
        <v>0</v>
      </c>
      <c r="AG457">
        <v>90.971311475409848</v>
      </c>
      <c r="AH457">
        <v>200</v>
      </c>
      <c r="AI457">
        <v>0</v>
      </c>
      <c r="AL457">
        <v>785</v>
      </c>
      <c r="AM457">
        <v>280</v>
      </c>
      <c r="AN457">
        <v>1065</v>
      </c>
      <c r="AO457">
        <v>13</v>
      </c>
      <c r="AP457">
        <v>124</v>
      </c>
    </row>
    <row r="458" spans="1:42" x14ac:dyDescent="0.3">
      <c r="A458" t="s">
        <v>1104</v>
      </c>
      <c r="B458" t="s">
        <v>115</v>
      </c>
      <c r="C458" t="s">
        <v>83</v>
      </c>
      <c r="D458" t="s">
        <v>116</v>
      </c>
      <c r="E458" t="s">
        <v>1021</v>
      </c>
      <c r="F458">
        <v>2015</v>
      </c>
      <c r="G458">
        <v>54.7</v>
      </c>
      <c r="H458">
        <v>7</v>
      </c>
      <c r="I458">
        <v>2</v>
      </c>
      <c r="J458">
        <v>137</v>
      </c>
      <c r="K458">
        <v>76</v>
      </c>
      <c r="L458" t="s">
        <v>979</v>
      </c>
      <c r="M458">
        <v>30.56291390728477</v>
      </c>
      <c r="N458">
        <v>264</v>
      </c>
      <c r="O458">
        <v>0</v>
      </c>
      <c r="P458">
        <v>32.821428571428569</v>
      </c>
      <c r="Q458">
        <v>89.621428571428581</v>
      </c>
      <c r="R458">
        <v>2.258514664143799</v>
      </c>
      <c r="S458">
        <v>113</v>
      </c>
      <c r="T458">
        <v>0</v>
      </c>
      <c r="U458">
        <v>38.236842105263158</v>
      </c>
      <c r="V458">
        <v>264</v>
      </c>
      <c r="W458">
        <v>0</v>
      </c>
      <c r="X458">
        <v>65.166666666666671</v>
      </c>
      <c r="Y458">
        <v>303</v>
      </c>
      <c r="Z458">
        <v>1</v>
      </c>
      <c r="AA458">
        <v>55.904545454545449</v>
      </c>
      <c r="AB458">
        <v>161.6</v>
      </c>
      <c r="AC458">
        <v>16.600000000000001</v>
      </c>
      <c r="AD458">
        <v>37</v>
      </c>
      <c r="AE458">
        <v>124</v>
      </c>
      <c r="AF458">
        <v>0</v>
      </c>
      <c r="AG458">
        <v>84.736842105263165</v>
      </c>
      <c r="AH458">
        <v>221.4</v>
      </c>
      <c r="AI458">
        <v>0</v>
      </c>
      <c r="AL458">
        <v>778</v>
      </c>
      <c r="AM458">
        <v>278</v>
      </c>
      <c r="AN458">
        <v>1056</v>
      </c>
      <c r="AO458">
        <v>22</v>
      </c>
      <c r="AP458">
        <v>95</v>
      </c>
    </row>
    <row r="459" spans="1:42" x14ac:dyDescent="0.3">
      <c r="A459" t="s">
        <v>1038</v>
      </c>
      <c r="B459" t="s">
        <v>115</v>
      </c>
      <c r="C459" t="s">
        <v>83</v>
      </c>
      <c r="D459" t="s">
        <v>116</v>
      </c>
      <c r="E459" t="s">
        <v>1021</v>
      </c>
      <c r="F459">
        <v>2015</v>
      </c>
      <c r="G459">
        <v>60.8</v>
      </c>
      <c r="H459">
        <v>7</v>
      </c>
      <c r="I459">
        <v>3</v>
      </c>
      <c r="J459">
        <v>203</v>
      </c>
      <c r="K459">
        <v>113</v>
      </c>
      <c r="L459" t="s">
        <v>979</v>
      </c>
      <c r="M459">
        <v>30.2890365448505</v>
      </c>
      <c r="N459">
        <v>264</v>
      </c>
      <c r="O459">
        <v>0</v>
      </c>
      <c r="P459">
        <v>32.821428571428569</v>
      </c>
      <c r="Q459">
        <v>89.621428571428581</v>
      </c>
      <c r="R459">
        <v>2.5323920265780728</v>
      </c>
      <c r="S459">
        <v>113</v>
      </c>
      <c r="T459">
        <v>0</v>
      </c>
      <c r="U459">
        <v>38.236842105263158</v>
      </c>
      <c r="V459">
        <v>264</v>
      </c>
      <c r="W459">
        <v>0</v>
      </c>
      <c r="X459">
        <v>65.166666666666671</v>
      </c>
      <c r="Y459">
        <v>303</v>
      </c>
      <c r="Z459">
        <v>1</v>
      </c>
      <c r="AA459">
        <v>55.904545454545449</v>
      </c>
      <c r="AB459">
        <v>161.6</v>
      </c>
      <c r="AC459">
        <v>16.600000000000001</v>
      </c>
      <c r="AD459">
        <v>37</v>
      </c>
      <c r="AE459">
        <v>124</v>
      </c>
      <c r="AF459">
        <v>0</v>
      </c>
      <c r="AG459">
        <v>84.736842105263165</v>
      </c>
      <c r="AH459">
        <v>221.4</v>
      </c>
      <c r="AI459">
        <v>0</v>
      </c>
      <c r="AL459">
        <v>771</v>
      </c>
      <c r="AM459">
        <v>275</v>
      </c>
      <c r="AN459">
        <v>1046</v>
      </c>
      <c r="AO459">
        <v>12</v>
      </c>
      <c r="AP459">
        <v>85</v>
      </c>
    </row>
    <row r="460" spans="1:42" x14ac:dyDescent="0.3">
      <c r="A460" t="s">
        <v>1495</v>
      </c>
      <c r="B460" t="s">
        <v>115</v>
      </c>
      <c r="C460" t="s">
        <v>83</v>
      </c>
      <c r="D460" t="s">
        <v>657</v>
      </c>
      <c r="E460" t="s">
        <v>1021</v>
      </c>
      <c r="F460">
        <v>2015</v>
      </c>
      <c r="G460">
        <v>31.25</v>
      </c>
      <c r="H460">
        <v>2</v>
      </c>
      <c r="I460">
        <v>0</v>
      </c>
      <c r="J460">
        <v>23</v>
      </c>
      <c r="K460">
        <v>13</v>
      </c>
      <c r="L460" t="s">
        <v>1327</v>
      </c>
      <c r="M460">
        <v>30.346666666666671</v>
      </c>
      <c r="N460">
        <v>264</v>
      </c>
      <c r="O460">
        <v>0</v>
      </c>
      <c r="P460">
        <v>13</v>
      </c>
      <c r="Q460">
        <v>31.25</v>
      </c>
      <c r="R460">
        <v>-17.346666666666671</v>
      </c>
      <c r="S460">
        <v>13</v>
      </c>
      <c r="T460">
        <v>13</v>
      </c>
      <c r="U460">
        <v>38.236842105263158</v>
      </c>
      <c r="V460">
        <v>264</v>
      </c>
      <c r="W460">
        <v>0</v>
      </c>
      <c r="X460">
        <v>65.166666666666671</v>
      </c>
      <c r="Y460">
        <v>303</v>
      </c>
      <c r="Z460">
        <v>1</v>
      </c>
      <c r="AA460">
        <v>55.904545454545449</v>
      </c>
      <c r="AB460">
        <v>161.6</v>
      </c>
      <c r="AC460">
        <v>16.600000000000001</v>
      </c>
      <c r="AD460">
        <v>37</v>
      </c>
      <c r="AE460">
        <v>124</v>
      </c>
      <c r="AF460">
        <v>0</v>
      </c>
      <c r="AG460">
        <v>84.736842105263165</v>
      </c>
      <c r="AH460">
        <v>221.4</v>
      </c>
      <c r="AI460">
        <v>0</v>
      </c>
      <c r="AL460">
        <v>769</v>
      </c>
      <c r="AM460">
        <v>275</v>
      </c>
      <c r="AN460">
        <v>1044</v>
      </c>
      <c r="AP460">
        <v>83</v>
      </c>
    </row>
    <row r="461" spans="1:42" x14ac:dyDescent="0.3">
      <c r="A461" t="s">
        <v>1338</v>
      </c>
      <c r="B461" t="s">
        <v>73</v>
      </c>
      <c r="C461" t="s">
        <v>16</v>
      </c>
      <c r="D461" t="s">
        <v>259</v>
      </c>
      <c r="E461" t="s">
        <v>1007</v>
      </c>
      <c r="F461">
        <v>2015</v>
      </c>
      <c r="G461">
        <v>100</v>
      </c>
      <c r="H461">
        <v>2</v>
      </c>
      <c r="I461">
        <v>1</v>
      </c>
      <c r="J461">
        <v>29</v>
      </c>
      <c r="K461">
        <v>29</v>
      </c>
      <c r="L461" t="s">
        <v>1327</v>
      </c>
      <c r="M461">
        <v>30.351170568561869</v>
      </c>
      <c r="N461">
        <v>264</v>
      </c>
      <c r="O461">
        <v>0</v>
      </c>
      <c r="P461">
        <v>31</v>
      </c>
      <c r="Q461">
        <v>95.613043478260863</v>
      </c>
      <c r="R461">
        <v>0.6488294314381271</v>
      </c>
      <c r="S461">
        <v>83</v>
      </c>
      <c r="T461">
        <v>0</v>
      </c>
      <c r="U461">
        <v>38.228571428571428</v>
      </c>
      <c r="V461">
        <v>137</v>
      </c>
      <c r="W461">
        <v>0</v>
      </c>
      <c r="X461">
        <v>42.251824817518248</v>
      </c>
      <c r="Y461">
        <v>264</v>
      </c>
      <c r="Z461">
        <v>0</v>
      </c>
      <c r="AA461">
        <v>77.646715328467153</v>
      </c>
      <c r="AB461">
        <v>200</v>
      </c>
      <c r="AC461">
        <v>0</v>
      </c>
      <c r="AD461">
        <v>37.180327868852459</v>
      </c>
      <c r="AE461">
        <v>140</v>
      </c>
      <c r="AF461">
        <v>0</v>
      </c>
      <c r="AG461">
        <v>82.911475409836058</v>
      </c>
      <c r="AH461">
        <v>224.4</v>
      </c>
      <c r="AI461">
        <v>0</v>
      </c>
      <c r="AJ461">
        <v>0</v>
      </c>
      <c r="AK461">
        <v>0</v>
      </c>
      <c r="AL461">
        <v>767</v>
      </c>
      <c r="AM461">
        <v>274</v>
      </c>
      <c r="AN461">
        <v>1041</v>
      </c>
      <c r="AO461">
        <v>53</v>
      </c>
      <c r="AP461">
        <v>449</v>
      </c>
    </row>
    <row r="462" spans="1:42" x14ac:dyDescent="0.3">
      <c r="A462" t="s">
        <v>1751</v>
      </c>
      <c r="B462" t="s">
        <v>73</v>
      </c>
      <c r="C462" t="s">
        <v>16</v>
      </c>
      <c r="D462" t="s">
        <v>259</v>
      </c>
      <c r="E462" t="s">
        <v>1007</v>
      </c>
      <c r="F462">
        <v>2015</v>
      </c>
      <c r="G462">
        <v>0</v>
      </c>
      <c r="H462">
        <v>0</v>
      </c>
      <c r="I462">
        <v>0</v>
      </c>
      <c r="J462">
        <v>2</v>
      </c>
      <c r="K462">
        <v>0</v>
      </c>
      <c r="L462" t="s">
        <v>1327</v>
      </c>
      <c r="M462">
        <v>30.45302013422819</v>
      </c>
      <c r="N462">
        <v>264</v>
      </c>
      <c r="O462">
        <v>0</v>
      </c>
      <c r="P462">
        <v>31</v>
      </c>
      <c r="Q462">
        <v>95.613043478260863</v>
      </c>
      <c r="R462">
        <v>0.54697986577181368</v>
      </c>
      <c r="S462">
        <v>83</v>
      </c>
      <c r="T462">
        <v>0</v>
      </c>
      <c r="U462">
        <v>38.228571428571428</v>
      </c>
      <c r="V462">
        <v>137</v>
      </c>
      <c r="W462">
        <v>0</v>
      </c>
      <c r="X462">
        <v>42.251824817518248</v>
      </c>
      <c r="Y462">
        <v>264</v>
      </c>
      <c r="Z462">
        <v>0</v>
      </c>
      <c r="AA462">
        <v>77.646715328467153</v>
      </c>
      <c r="AB462">
        <v>200</v>
      </c>
      <c r="AC462">
        <v>0</v>
      </c>
      <c r="AD462">
        <v>37.180327868852459</v>
      </c>
      <c r="AE462">
        <v>140</v>
      </c>
      <c r="AF462">
        <v>0</v>
      </c>
      <c r="AG462">
        <v>82.911475409836058</v>
      </c>
      <c r="AH462">
        <v>224.4</v>
      </c>
      <c r="AI462">
        <v>0</v>
      </c>
      <c r="AJ462">
        <v>63</v>
      </c>
      <c r="AK462">
        <v>92.6</v>
      </c>
      <c r="AL462">
        <v>767</v>
      </c>
      <c r="AM462">
        <v>274</v>
      </c>
      <c r="AN462">
        <v>1041</v>
      </c>
      <c r="AO462">
        <v>53</v>
      </c>
      <c r="AP462">
        <v>449</v>
      </c>
    </row>
    <row r="463" spans="1:42" x14ac:dyDescent="0.3">
      <c r="A463" t="s">
        <v>1154</v>
      </c>
      <c r="B463" t="s">
        <v>73</v>
      </c>
      <c r="C463" t="s">
        <v>16</v>
      </c>
      <c r="D463" t="s">
        <v>259</v>
      </c>
      <c r="E463" t="s">
        <v>1007</v>
      </c>
      <c r="F463">
        <v>2015</v>
      </c>
      <c r="G463">
        <v>92.6</v>
      </c>
      <c r="H463">
        <v>4</v>
      </c>
      <c r="I463">
        <v>1</v>
      </c>
      <c r="J463">
        <v>68</v>
      </c>
      <c r="K463">
        <v>63</v>
      </c>
      <c r="L463" t="s">
        <v>979</v>
      </c>
      <c r="M463">
        <v>30.343434343434339</v>
      </c>
      <c r="N463">
        <v>264</v>
      </c>
      <c r="O463">
        <v>0</v>
      </c>
      <c r="P463">
        <v>31</v>
      </c>
      <c r="Q463">
        <v>95.613043478260863</v>
      </c>
      <c r="R463">
        <v>0.65656565656565746</v>
      </c>
      <c r="S463">
        <v>83</v>
      </c>
      <c r="T463">
        <v>0</v>
      </c>
      <c r="U463">
        <v>38.228571428571428</v>
      </c>
      <c r="V463">
        <v>137</v>
      </c>
      <c r="W463">
        <v>0</v>
      </c>
      <c r="X463">
        <v>42.251824817518248</v>
      </c>
      <c r="Y463">
        <v>264</v>
      </c>
      <c r="Z463">
        <v>0</v>
      </c>
      <c r="AA463">
        <v>77.646715328467153</v>
      </c>
      <c r="AB463">
        <v>200</v>
      </c>
      <c r="AC463">
        <v>0</v>
      </c>
      <c r="AD463">
        <v>37.180327868852459</v>
      </c>
      <c r="AE463">
        <v>140</v>
      </c>
      <c r="AF463">
        <v>0</v>
      </c>
      <c r="AG463">
        <v>82.911475409836058</v>
      </c>
      <c r="AH463">
        <v>224.4</v>
      </c>
      <c r="AI463">
        <v>0</v>
      </c>
      <c r="AL463">
        <v>763</v>
      </c>
      <c r="AM463">
        <v>273</v>
      </c>
      <c r="AN463">
        <v>1036</v>
      </c>
      <c r="AO463">
        <v>48</v>
      </c>
      <c r="AP463">
        <v>444</v>
      </c>
    </row>
    <row r="464" spans="1:42" x14ac:dyDescent="0.3">
      <c r="A464" t="s">
        <v>1612</v>
      </c>
      <c r="B464" t="s">
        <v>73</v>
      </c>
      <c r="C464" t="s">
        <v>83</v>
      </c>
      <c r="D464" t="s">
        <v>662</v>
      </c>
      <c r="E464" t="s">
        <v>1007</v>
      </c>
      <c r="F464">
        <v>2015</v>
      </c>
      <c r="G464">
        <v>66.599999999999994</v>
      </c>
      <c r="H464">
        <v>1</v>
      </c>
      <c r="I464">
        <v>0</v>
      </c>
      <c r="J464">
        <v>11</v>
      </c>
      <c r="K464">
        <v>6</v>
      </c>
      <c r="L464" t="s">
        <v>1327</v>
      </c>
      <c r="M464">
        <v>30.425675675675681</v>
      </c>
      <c r="N464">
        <v>264</v>
      </c>
      <c r="O464">
        <v>0</v>
      </c>
      <c r="P464">
        <v>13.33333333333333</v>
      </c>
      <c r="Q464">
        <v>61.8</v>
      </c>
      <c r="R464">
        <v>-17.092342342342342</v>
      </c>
      <c r="S464">
        <v>21</v>
      </c>
      <c r="T464">
        <v>6</v>
      </c>
      <c r="U464">
        <v>38.228571428571428</v>
      </c>
      <c r="V464">
        <v>137</v>
      </c>
      <c r="W464">
        <v>0</v>
      </c>
      <c r="X464">
        <v>65.166666666666671</v>
      </c>
      <c r="Y464">
        <v>303</v>
      </c>
      <c r="Z464">
        <v>1</v>
      </c>
      <c r="AA464">
        <v>55.904545454545449</v>
      </c>
      <c r="AB464">
        <v>161.6</v>
      </c>
      <c r="AC464">
        <v>16.600000000000001</v>
      </c>
      <c r="AD464">
        <v>37.180327868852459</v>
      </c>
      <c r="AE464">
        <v>140</v>
      </c>
      <c r="AF464">
        <v>0</v>
      </c>
      <c r="AG464">
        <v>82.911475409836058</v>
      </c>
      <c r="AH464">
        <v>224.4</v>
      </c>
      <c r="AI464">
        <v>0</v>
      </c>
      <c r="AL464">
        <v>762</v>
      </c>
      <c r="AM464">
        <v>273</v>
      </c>
      <c r="AN464">
        <v>1035</v>
      </c>
      <c r="AO464">
        <v>3</v>
      </c>
      <c r="AP464">
        <v>82</v>
      </c>
    </row>
    <row r="465" spans="1:42" x14ac:dyDescent="0.3">
      <c r="A465" t="s">
        <v>1221</v>
      </c>
      <c r="B465" t="s">
        <v>56</v>
      </c>
      <c r="C465" t="s">
        <v>1043</v>
      </c>
      <c r="D465" t="s">
        <v>139</v>
      </c>
      <c r="E465" t="s">
        <v>1036</v>
      </c>
      <c r="F465">
        <v>2015</v>
      </c>
      <c r="G465">
        <v>192.3</v>
      </c>
      <c r="H465">
        <v>6</v>
      </c>
      <c r="I465">
        <v>2</v>
      </c>
      <c r="J465">
        <v>26</v>
      </c>
      <c r="K465">
        <v>50</v>
      </c>
      <c r="L465" t="s">
        <v>979</v>
      </c>
      <c r="M465">
        <v>30.359322033898309</v>
      </c>
      <c r="N465">
        <v>264</v>
      </c>
      <c r="O465">
        <v>0</v>
      </c>
      <c r="P465">
        <v>45.666666666666657</v>
      </c>
      <c r="Q465">
        <v>104.1166666666667</v>
      </c>
      <c r="R465">
        <v>15.307344632768361</v>
      </c>
      <c r="S465">
        <v>264</v>
      </c>
      <c r="T465">
        <v>0</v>
      </c>
      <c r="U465">
        <v>25.6</v>
      </c>
      <c r="V465">
        <v>105</v>
      </c>
      <c r="W465">
        <v>0</v>
      </c>
      <c r="X465">
        <v>26.556862745098041</v>
      </c>
      <c r="Y465">
        <v>109</v>
      </c>
      <c r="Z465">
        <v>0</v>
      </c>
      <c r="AA465">
        <v>114.6301960784314</v>
      </c>
      <c r="AB465">
        <v>350</v>
      </c>
      <c r="AC465">
        <v>0</v>
      </c>
      <c r="AD465">
        <v>26.732758620689651</v>
      </c>
      <c r="AE465">
        <v>114</v>
      </c>
      <c r="AF465">
        <v>0</v>
      </c>
      <c r="AG465">
        <v>115.31896551724139</v>
      </c>
      <c r="AH465">
        <v>350</v>
      </c>
      <c r="AI465">
        <v>0</v>
      </c>
      <c r="AJ465">
        <v>19</v>
      </c>
      <c r="AK465">
        <v>135.69999999999999</v>
      </c>
      <c r="AL465">
        <v>756</v>
      </c>
      <c r="AM465">
        <v>271</v>
      </c>
      <c r="AN465">
        <v>1027</v>
      </c>
      <c r="AO465">
        <v>103</v>
      </c>
      <c r="AP465">
        <v>377</v>
      </c>
    </row>
    <row r="466" spans="1:42" x14ac:dyDescent="0.3">
      <c r="A466" t="s">
        <v>1425</v>
      </c>
      <c r="B466" t="s">
        <v>56</v>
      </c>
      <c r="C466" t="s">
        <v>1043</v>
      </c>
      <c r="D466" t="s">
        <v>12</v>
      </c>
      <c r="E466" t="s">
        <v>1036</v>
      </c>
      <c r="F466">
        <v>2015</v>
      </c>
      <c r="G466">
        <v>135.69999999999999</v>
      </c>
      <c r="H466">
        <v>1</v>
      </c>
      <c r="I466">
        <v>1</v>
      </c>
      <c r="J466">
        <v>14</v>
      </c>
      <c r="K466">
        <v>19</v>
      </c>
      <c r="L466" t="s">
        <v>1327</v>
      </c>
      <c r="M466">
        <v>30.397959183673471</v>
      </c>
      <c r="N466">
        <v>264</v>
      </c>
      <c r="O466">
        <v>0</v>
      </c>
      <c r="P466">
        <v>31.203883495145629</v>
      </c>
      <c r="Q466">
        <v>120.5689320388349</v>
      </c>
      <c r="R466">
        <v>0.80592431147216459</v>
      </c>
      <c r="S466">
        <v>162</v>
      </c>
      <c r="T466">
        <v>0</v>
      </c>
      <c r="U466">
        <v>25.6</v>
      </c>
      <c r="V466">
        <v>105</v>
      </c>
      <c r="W466">
        <v>0</v>
      </c>
      <c r="X466">
        <v>26.556862745098041</v>
      </c>
      <c r="Y466">
        <v>109</v>
      </c>
      <c r="Z466">
        <v>0</v>
      </c>
      <c r="AA466">
        <v>114.6301960784314</v>
      </c>
      <c r="AB466">
        <v>350</v>
      </c>
      <c r="AC466">
        <v>0</v>
      </c>
      <c r="AD466">
        <v>26.732758620689651</v>
      </c>
      <c r="AE466">
        <v>114</v>
      </c>
      <c r="AF466">
        <v>0</v>
      </c>
      <c r="AG466">
        <v>115.31896551724139</v>
      </c>
      <c r="AH466">
        <v>350</v>
      </c>
      <c r="AI466">
        <v>0</v>
      </c>
      <c r="AJ466">
        <v>37</v>
      </c>
      <c r="AK466">
        <v>246.45</v>
      </c>
      <c r="AL466">
        <v>755</v>
      </c>
      <c r="AM466">
        <v>270</v>
      </c>
      <c r="AN466">
        <v>1025</v>
      </c>
      <c r="AO466">
        <v>155</v>
      </c>
      <c r="AP466">
        <v>375</v>
      </c>
    </row>
    <row r="467" spans="1:42" x14ac:dyDescent="0.3">
      <c r="A467" t="s">
        <v>1601</v>
      </c>
      <c r="B467" t="s">
        <v>53</v>
      </c>
      <c r="C467" t="s">
        <v>1043</v>
      </c>
      <c r="D467" t="s">
        <v>54</v>
      </c>
      <c r="E467" t="s">
        <v>1036</v>
      </c>
      <c r="F467">
        <v>2015</v>
      </c>
      <c r="G467">
        <v>350</v>
      </c>
      <c r="H467">
        <v>0</v>
      </c>
      <c r="I467">
        <v>1</v>
      </c>
      <c r="J467">
        <v>2</v>
      </c>
      <c r="K467">
        <v>7</v>
      </c>
      <c r="L467" t="s">
        <v>1327</v>
      </c>
      <c r="M467">
        <v>30.477815699658699</v>
      </c>
      <c r="N467">
        <v>264</v>
      </c>
      <c r="O467">
        <v>0</v>
      </c>
      <c r="P467">
        <v>30</v>
      </c>
      <c r="Q467">
        <v>129.072</v>
      </c>
      <c r="R467">
        <v>-0.47781569965870219</v>
      </c>
      <c r="S467">
        <v>76</v>
      </c>
      <c r="T467">
        <v>1</v>
      </c>
      <c r="U467">
        <v>19.375</v>
      </c>
      <c r="V467">
        <v>70</v>
      </c>
      <c r="W467">
        <v>1</v>
      </c>
      <c r="X467">
        <v>26.556862745098041</v>
      </c>
      <c r="Y467">
        <v>109</v>
      </c>
      <c r="Z467">
        <v>0</v>
      </c>
      <c r="AA467">
        <v>114.6301960784314</v>
      </c>
      <c r="AB467">
        <v>350</v>
      </c>
      <c r="AC467">
        <v>0</v>
      </c>
      <c r="AD467">
        <v>26.732758620689651</v>
      </c>
      <c r="AE467">
        <v>114</v>
      </c>
      <c r="AF467">
        <v>0</v>
      </c>
      <c r="AG467">
        <v>115.31896551724139</v>
      </c>
      <c r="AH467">
        <v>350</v>
      </c>
      <c r="AI467">
        <v>0</v>
      </c>
      <c r="AJ467">
        <v>30</v>
      </c>
      <c r="AK467">
        <v>142.9</v>
      </c>
      <c r="AL467">
        <v>755</v>
      </c>
      <c r="AM467">
        <v>269</v>
      </c>
      <c r="AN467">
        <v>1024</v>
      </c>
      <c r="AO467">
        <v>47</v>
      </c>
      <c r="AP467">
        <v>374</v>
      </c>
    </row>
    <row r="468" spans="1:42" x14ac:dyDescent="0.3">
      <c r="A468" t="s">
        <v>1331</v>
      </c>
      <c r="B468" t="s">
        <v>11</v>
      </c>
      <c r="C468" t="s">
        <v>1043</v>
      </c>
      <c r="D468" t="s">
        <v>12</v>
      </c>
      <c r="E468" t="s">
        <v>1036</v>
      </c>
      <c r="F468">
        <v>2015</v>
      </c>
      <c r="G468">
        <v>142.9</v>
      </c>
      <c r="H468">
        <v>5</v>
      </c>
      <c r="I468">
        <v>0</v>
      </c>
      <c r="J468">
        <v>21</v>
      </c>
      <c r="K468">
        <v>30</v>
      </c>
      <c r="L468" t="s">
        <v>1327</v>
      </c>
      <c r="M468">
        <v>30.479452054794521</v>
      </c>
      <c r="N468">
        <v>264</v>
      </c>
      <c r="O468">
        <v>0</v>
      </c>
      <c r="P468">
        <v>31.203883495145629</v>
      </c>
      <c r="Q468">
        <v>120.5689320388349</v>
      </c>
      <c r="R468">
        <v>0.72443144035111118</v>
      </c>
      <c r="S468">
        <v>162</v>
      </c>
      <c r="T468">
        <v>0</v>
      </c>
      <c r="U468">
        <v>31.852941176470591</v>
      </c>
      <c r="V468">
        <v>109</v>
      </c>
      <c r="W468">
        <v>0</v>
      </c>
      <c r="X468">
        <v>26.556862745098041</v>
      </c>
      <c r="Y468">
        <v>109</v>
      </c>
      <c r="Z468">
        <v>0</v>
      </c>
      <c r="AA468">
        <v>114.6301960784314</v>
      </c>
      <c r="AB468">
        <v>350</v>
      </c>
      <c r="AC468">
        <v>0</v>
      </c>
      <c r="AD468">
        <v>26.732758620689651</v>
      </c>
      <c r="AE468">
        <v>114</v>
      </c>
      <c r="AF468">
        <v>0</v>
      </c>
      <c r="AG468">
        <v>115.31896551724139</v>
      </c>
      <c r="AH468">
        <v>350</v>
      </c>
      <c r="AI468">
        <v>0</v>
      </c>
      <c r="AJ468">
        <v>15</v>
      </c>
      <c r="AK468">
        <v>115.4</v>
      </c>
      <c r="AL468">
        <v>750</v>
      </c>
      <c r="AM468">
        <v>269</v>
      </c>
      <c r="AN468">
        <v>1019</v>
      </c>
      <c r="AO468">
        <v>150</v>
      </c>
      <c r="AP468">
        <v>369</v>
      </c>
    </row>
    <row r="469" spans="1:42" x14ac:dyDescent="0.3">
      <c r="A469" t="s">
        <v>1472</v>
      </c>
      <c r="B469" t="s">
        <v>60</v>
      </c>
      <c r="C469" t="s">
        <v>1043</v>
      </c>
      <c r="D469" t="s">
        <v>12</v>
      </c>
      <c r="E469" t="s">
        <v>1036</v>
      </c>
      <c r="F469">
        <v>2015</v>
      </c>
      <c r="G469">
        <v>115.4</v>
      </c>
      <c r="H469">
        <v>1</v>
      </c>
      <c r="I469">
        <v>1</v>
      </c>
      <c r="J469">
        <v>13</v>
      </c>
      <c r="K469">
        <v>15</v>
      </c>
      <c r="L469" t="s">
        <v>1327</v>
      </c>
      <c r="M469">
        <v>30.532646048109971</v>
      </c>
      <c r="N469">
        <v>264</v>
      </c>
      <c r="O469">
        <v>0</v>
      </c>
      <c r="P469">
        <v>31.203883495145629</v>
      </c>
      <c r="Q469">
        <v>120.5689320388349</v>
      </c>
      <c r="R469">
        <v>0.67123744703566501</v>
      </c>
      <c r="S469">
        <v>162</v>
      </c>
      <c r="T469">
        <v>0</v>
      </c>
      <c r="U469">
        <v>25.96875</v>
      </c>
      <c r="V469">
        <v>94</v>
      </c>
      <c r="W469">
        <v>0</v>
      </c>
      <c r="X469">
        <v>26.556862745098041</v>
      </c>
      <c r="Y469">
        <v>109</v>
      </c>
      <c r="Z469">
        <v>0</v>
      </c>
      <c r="AA469">
        <v>114.6301960784314</v>
      </c>
      <c r="AB469">
        <v>350</v>
      </c>
      <c r="AC469">
        <v>0</v>
      </c>
      <c r="AD469">
        <v>26.732758620689651</v>
      </c>
      <c r="AE469">
        <v>114</v>
      </c>
      <c r="AF469">
        <v>0</v>
      </c>
      <c r="AG469">
        <v>115.31896551724139</v>
      </c>
      <c r="AH469">
        <v>350</v>
      </c>
      <c r="AI469">
        <v>0</v>
      </c>
      <c r="AJ469">
        <v>64</v>
      </c>
      <c r="AK469">
        <v>103.05</v>
      </c>
      <c r="AL469">
        <v>749</v>
      </c>
      <c r="AM469">
        <v>268</v>
      </c>
      <c r="AN469">
        <v>1017</v>
      </c>
      <c r="AO469">
        <v>148</v>
      </c>
      <c r="AP469">
        <v>367</v>
      </c>
    </row>
    <row r="470" spans="1:42" x14ac:dyDescent="0.3">
      <c r="A470" t="s">
        <v>1438</v>
      </c>
      <c r="B470" t="s">
        <v>56</v>
      </c>
      <c r="C470" t="s">
        <v>1043</v>
      </c>
      <c r="D470" t="s">
        <v>64</v>
      </c>
      <c r="E470" t="s">
        <v>1036</v>
      </c>
      <c r="F470">
        <v>2015</v>
      </c>
      <c r="G470">
        <v>81.8</v>
      </c>
      <c r="H470">
        <v>0</v>
      </c>
      <c r="I470">
        <v>0</v>
      </c>
      <c r="J470">
        <v>22</v>
      </c>
      <c r="K470">
        <v>18</v>
      </c>
      <c r="L470" t="s">
        <v>1327</v>
      </c>
      <c r="M470">
        <v>30.57586206896552</v>
      </c>
      <c r="N470">
        <v>264</v>
      </c>
      <c r="O470">
        <v>0</v>
      </c>
      <c r="P470">
        <v>26</v>
      </c>
      <c r="Q470">
        <v>94.26964285714287</v>
      </c>
      <c r="R470">
        <v>-4.5758620689655167</v>
      </c>
      <c r="S470">
        <v>187</v>
      </c>
      <c r="T470">
        <v>0</v>
      </c>
      <c r="U470">
        <v>25.6</v>
      </c>
      <c r="V470">
        <v>105</v>
      </c>
      <c r="W470">
        <v>0</v>
      </c>
      <c r="X470">
        <v>26.556862745098041</v>
      </c>
      <c r="Y470">
        <v>109</v>
      </c>
      <c r="Z470">
        <v>0</v>
      </c>
      <c r="AA470">
        <v>114.6301960784314</v>
      </c>
      <c r="AB470">
        <v>350</v>
      </c>
      <c r="AC470">
        <v>0</v>
      </c>
      <c r="AD470">
        <v>26.732758620689651</v>
      </c>
      <c r="AE470">
        <v>114</v>
      </c>
      <c r="AF470">
        <v>0</v>
      </c>
      <c r="AG470">
        <v>115.31896551724139</v>
      </c>
      <c r="AH470">
        <v>350</v>
      </c>
      <c r="AI470">
        <v>0</v>
      </c>
      <c r="AJ470">
        <v>72</v>
      </c>
      <c r="AK470">
        <v>127.15</v>
      </c>
      <c r="AL470">
        <v>749</v>
      </c>
      <c r="AM470">
        <v>268</v>
      </c>
      <c r="AN470">
        <v>1017</v>
      </c>
      <c r="AO470">
        <v>9</v>
      </c>
      <c r="AP470">
        <v>367</v>
      </c>
    </row>
    <row r="471" spans="1:42" x14ac:dyDescent="0.3">
      <c r="A471" t="s">
        <v>1245</v>
      </c>
      <c r="B471" t="s">
        <v>8</v>
      </c>
      <c r="C471" t="s">
        <v>1043</v>
      </c>
      <c r="D471" t="s">
        <v>12</v>
      </c>
      <c r="E471" t="s">
        <v>1036</v>
      </c>
      <c r="F471">
        <v>2015</v>
      </c>
      <c r="G471">
        <v>124.3</v>
      </c>
      <c r="H471">
        <v>2</v>
      </c>
      <c r="I471">
        <v>3</v>
      </c>
      <c r="J471">
        <v>37</v>
      </c>
      <c r="K471">
        <v>46</v>
      </c>
      <c r="L471" t="s">
        <v>979</v>
      </c>
      <c r="M471">
        <v>30.522491349480969</v>
      </c>
      <c r="N471">
        <v>264</v>
      </c>
      <c r="O471">
        <v>0</v>
      </c>
      <c r="P471">
        <v>31.203883495145629</v>
      </c>
      <c r="Q471">
        <v>120.5689320388349</v>
      </c>
      <c r="R471">
        <v>0.68139214566466322</v>
      </c>
      <c r="S471">
        <v>162</v>
      </c>
      <c r="T471">
        <v>0</v>
      </c>
      <c r="U471">
        <v>28.567567567567568</v>
      </c>
      <c r="V471">
        <v>74</v>
      </c>
      <c r="W471">
        <v>0</v>
      </c>
      <c r="X471">
        <v>26.556862745098041</v>
      </c>
      <c r="Y471">
        <v>109</v>
      </c>
      <c r="Z471">
        <v>0</v>
      </c>
      <c r="AA471">
        <v>114.6301960784314</v>
      </c>
      <c r="AB471">
        <v>350</v>
      </c>
      <c r="AC471">
        <v>0</v>
      </c>
      <c r="AD471">
        <v>26.732758620689651</v>
      </c>
      <c r="AE471">
        <v>114</v>
      </c>
      <c r="AF471">
        <v>0</v>
      </c>
      <c r="AG471">
        <v>115.31896551724139</v>
      </c>
      <c r="AH471">
        <v>350</v>
      </c>
      <c r="AI471">
        <v>0</v>
      </c>
      <c r="AJ471">
        <v>53</v>
      </c>
      <c r="AK471">
        <v>129.30000000000001</v>
      </c>
      <c r="AL471">
        <v>747</v>
      </c>
      <c r="AM471">
        <v>265</v>
      </c>
      <c r="AN471">
        <v>1012</v>
      </c>
      <c r="AO471">
        <v>143</v>
      </c>
      <c r="AP471">
        <v>362</v>
      </c>
    </row>
    <row r="472" spans="1:42" x14ac:dyDescent="0.3">
      <c r="A472" t="s">
        <v>1365</v>
      </c>
      <c r="B472" t="s">
        <v>40</v>
      </c>
      <c r="C472" t="s">
        <v>1043</v>
      </c>
      <c r="D472" t="s">
        <v>173</v>
      </c>
      <c r="E472" t="s">
        <v>1036</v>
      </c>
      <c r="F472">
        <v>2015</v>
      </c>
      <c r="G472">
        <v>130</v>
      </c>
      <c r="H472">
        <v>2</v>
      </c>
      <c r="I472">
        <v>0</v>
      </c>
      <c r="J472">
        <v>20</v>
      </c>
      <c r="K472">
        <v>26</v>
      </c>
      <c r="L472" t="s">
        <v>1327</v>
      </c>
      <c r="M472">
        <v>30.538194444444439</v>
      </c>
      <c r="N472">
        <v>264</v>
      </c>
      <c r="O472">
        <v>0</v>
      </c>
      <c r="P472">
        <v>36.388888888888893</v>
      </c>
      <c r="Q472">
        <v>93.683333333333337</v>
      </c>
      <c r="R472">
        <v>5.8506944444444429</v>
      </c>
      <c r="S472">
        <v>208</v>
      </c>
      <c r="T472">
        <v>0</v>
      </c>
      <c r="U472">
        <v>28.12903225806452</v>
      </c>
      <c r="V472">
        <v>79</v>
      </c>
      <c r="W472">
        <v>0</v>
      </c>
      <c r="X472">
        <v>26.556862745098041</v>
      </c>
      <c r="Y472">
        <v>109</v>
      </c>
      <c r="Z472">
        <v>0</v>
      </c>
      <c r="AA472">
        <v>114.6301960784314</v>
      </c>
      <c r="AB472">
        <v>350</v>
      </c>
      <c r="AC472">
        <v>0</v>
      </c>
      <c r="AD472">
        <v>26.732758620689651</v>
      </c>
      <c r="AE472">
        <v>114</v>
      </c>
      <c r="AF472">
        <v>0</v>
      </c>
      <c r="AG472">
        <v>115.31896551724139</v>
      </c>
      <c r="AH472">
        <v>350</v>
      </c>
      <c r="AI472">
        <v>0</v>
      </c>
      <c r="AJ472">
        <v>27</v>
      </c>
      <c r="AK472">
        <v>128.6</v>
      </c>
      <c r="AL472">
        <v>745</v>
      </c>
      <c r="AM472">
        <v>265</v>
      </c>
      <c r="AN472">
        <v>1010</v>
      </c>
      <c r="AO472">
        <v>30</v>
      </c>
      <c r="AP472">
        <v>360</v>
      </c>
    </row>
    <row r="473" spans="1:42" x14ac:dyDescent="0.3">
      <c r="A473" t="s">
        <v>1356</v>
      </c>
      <c r="B473" t="s">
        <v>4</v>
      </c>
      <c r="C473" t="s">
        <v>1043</v>
      </c>
      <c r="D473" t="s">
        <v>12</v>
      </c>
      <c r="E473" t="s">
        <v>1036</v>
      </c>
      <c r="F473">
        <v>2015</v>
      </c>
      <c r="G473">
        <v>128.6</v>
      </c>
      <c r="H473">
        <v>2</v>
      </c>
      <c r="I473">
        <v>1</v>
      </c>
      <c r="J473">
        <v>21</v>
      </c>
      <c r="K473">
        <v>27</v>
      </c>
      <c r="L473" t="s">
        <v>1327</v>
      </c>
      <c r="M473">
        <v>30.550522648083621</v>
      </c>
      <c r="N473">
        <v>264</v>
      </c>
      <c r="O473">
        <v>0</v>
      </c>
      <c r="P473">
        <v>31.203883495145629</v>
      </c>
      <c r="Q473">
        <v>120.5689320388349</v>
      </c>
      <c r="R473">
        <v>0.65336084706200737</v>
      </c>
      <c r="S473">
        <v>162</v>
      </c>
      <c r="T473">
        <v>0</v>
      </c>
      <c r="U473">
        <v>20.68965517241379</v>
      </c>
      <c r="V473">
        <v>73</v>
      </c>
      <c r="W473">
        <v>0</v>
      </c>
      <c r="X473">
        <v>26.556862745098041</v>
      </c>
      <c r="Y473">
        <v>109</v>
      </c>
      <c r="Z473">
        <v>0</v>
      </c>
      <c r="AA473">
        <v>114.6301960784314</v>
      </c>
      <c r="AB473">
        <v>350</v>
      </c>
      <c r="AC473">
        <v>0</v>
      </c>
      <c r="AD473">
        <v>26.732758620689651</v>
      </c>
      <c r="AE473">
        <v>114</v>
      </c>
      <c r="AF473">
        <v>0</v>
      </c>
      <c r="AG473">
        <v>115.31896551724139</v>
      </c>
      <c r="AH473">
        <v>350</v>
      </c>
      <c r="AI473">
        <v>0</v>
      </c>
      <c r="AL473">
        <v>743</v>
      </c>
      <c r="AM473">
        <v>264</v>
      </c>
      <c r="AN473">
        <v>1007</v>
      </c>
      <c r="AO473">
        <v>140</v>
      </c>
      <c r="AP473">
        <v>357</v>
      </c>
    </row>
    <row r="474" spans="1:42" x14ac:dyDescent="0.3">
      <c r="A474" t="s">
        <v>1383</v>
      </c>
      <c r="B474" t="s">
        <v>53</v>
      </c>
      <c r="C474" t="s">
        <v>1043</v>
      </c>
      <c r="D474" t="s">
        <v>12</v>
      </c>
      <c r="E474" t="s">
        <v>1047</v>
      </c>
      <c r="F474">
        <v>2015</v>
      </c>
      <c r="G474">
        <v>160</v>
      </c>
      <c r="H474">
        <v>2</v>
      </c>
      <c r="I474">
        <v>1</v>
      </c>
      <c r="J474">
        <v>15</v>
      </c>
      <c r="K474">
        <v>24</v>
      </c>
      <c r="L474" t="s">
        <v>1327</v>
      </c>
      <c r="M474">
        <v>30.57342657342657</v>
      </c>
      <c r="N474">
        <v>264</v>
      </c>
      <c r="O474">
        <v>0</v>
      </c>
      <c r="P474">
        <v>31.203883495145629</v>
      </c>
      <c r="Q474">
        <v>120.5689320388349</v>
      </c>
      <c r="R474">
        <v>0.63045692171905898</v>
      </c>
      <c r="S474">
        <v>162</v>
      </c>
      <c r="T474">
        <v>0</v>
      </c>
      <c r="U474">
        <v>19.375</v>
      </c>
      <c r="V474">
        <v>70</v>
      </c>
      <c r="W474">
        <v>1</v>
      </c>
      <c r="X474">
        <v>26.556862745098041</v>
      </c>
      <c r="Y474">
        <v>109</v>
      </c>
      <c r="Z474">
        <v>0</v>
      </c>
      <c r="AA474">
        <v>114.6301960784314</v>
      </c>
      <c r="AB474">
        <v>350</v>
      </c>
      <c r="AC474">
        <v>0</v>
      </c>
      <c r="AD474">
        <v>27.9758064516129</v>
      </c>
      <c r="AE474">
        <v>105</v>
      </c>
      <c r="AF474">
        <v>0</v>
      </c>
      <c r="AG474">
        <v>110.46935483870971</v>
      </c>
      <c r="AH474">
        <v>280</v>
      </c>
      <c r="AI474">
        <v>0</v>
      </c>
      <c r="AJ474">
        <v>30</v>
      </c>
      <c r="AK474">
        <v>125</v>
      </c>
      <c r="AL474">
        <v>741</v>
      </c>
      <c r="AM474">
        <v>263</v>
      </c>
      <c r="AN474">
        <v>1004</v>
      </c>
      <c r="AO474">
        <v>137</v>
      </c>
      <c r="AP474">
        <v>354</v>
      </c>
    </row>
    <row r="475" spans="1:42" x14ac:dyDescent="0.3">
      <c r="A475" t="s">
        <v>1332</v>
      </c>
      <c r="B475" t="s">
        <v>8</v>
      </c>
      <c r="C475" t="s">
        <v>1043</v>
      </c>
      <c r="D475" t="s">
        <v>9</v>
      </c>
      <c r="E475" t="s">
        <v>1047</v>
      </c>
      <c r="F475">
        <v>2015</v>
      </c>
      <c r="G475">
        <v>125</v>
      </c>
      <c r="H475">
        <v>0</v>
      </c>
      <c r="I475">
        <v>2</v>
      </c>
      <c r="J475">
        <v>24</v>
      </c>
      <c r="K475">
        <v>30</v>
      </c>
      <c r="L475" t="s">
        <v>1327</v>
      </c>
      <c r="M475">
        <v>30.575438596491232</v>
      </c>
      <c r="N475">
        <v>264</v>
      </c>
      <c r="O475">
        <v>0</v>
      </c>
      <c r="P475">
        <v>38.36</v>
      </c>
      <c r="Q475">
        <v>122.748</v>
      </c>
      <c r="R475">
        <v>7.7845614035087713</v>
      </c>
      <c r="S475">
        <v>131</v>
      </c>
      <c r="T475">
        <v>1</v>
      </c>
      <c r="U475">
        <v>28.567567567567568</v>
      </c>
      <c r="V475">
        <v>74</v>
      </c>
      <c r="W475">
        <v>0</v>
      </c>
      <c r="X475">
        <v>26.556862745098041</v>
      </c>
      <c r="Y475">
        <v>109</v>
      </c>
      <c r="Z475">
        <v>0</v>
      </c>
      <c r="AA475">
        <v>114.6301960784314</v>
      </c>
      <c r="AB475">
        <v>350</v>
      </c>
      <c r="AC475">
        <v>0</v>
      </c>
      <c r="AD475">
        <v>27.9758064516129</v>
      </c>
      <c r="AE475">
        <v>105</v>
      </c>
      <c r="AF475">
        <v>0</v>
      </c>
      <c r="AG475">
        <v>110.46935483870971</v>
      </c>
      <c r="AH475">
        <v>280</v>
      </c>
      <c r="AI475">
        <v>0</v>
      </c>
      <c r="AJ475">
        <v>42</v>
      </c>
      <c r="AK475">
        <v>280</v>
      </c>
      <c r="AL475">
        <v>741</v>
      </c>
      <c r="AM475">
        <v>261</v>
      </c>
      <c r="AN475">
        <v>1002</v>
      </c>
      <c r="AO475">
        <v>22</v>
      </c>
      <c r="AP475">
        <v>352</v>
      </c>
    </row>
    <row r="476" spans="1:42" x14ac:dyDescent="0.3">
      <c r="A476" t="s">
        <v>1264</v>
      </c>
      <c r="B476" t="s">
        <v>60</v>
      </c>
      <c r="C476" t="s">
        <v>1043</v>
      </c>
      <c r="D476" t="s">
        <v>103</v>
      </c>
      <c r="E476" t="s">
        <v>1047</v>
      </c>
      <c r="F476">
        <v>2015</v>
      </c>
      <c r="G476">
        <v>280</v>
      </c>
      <c r="H476">
        <v>3</v>
      </c>
      <c r="I476">
        <v>4</v>
      </c>
      <c r="J476">
        <v>15</v>
      </c>
      <c r="K476">
        <v>42</v>
      </c>
      <c r="L476" t="s">
        <v>979</v>
      </c>
      <c r="M476">
        <v>30.535211267605629</v>
      </c>
      <c r="N476">
        <v>264</v>
      </c>
      <c r="O476">
        <v>0</v>
      </c>
      <c r="P476">
        <v>43.391304347826093</v>
      </c>
      <c r="Q476">
        <v>100.17391304347829</v>
      </c>
      <c r="R476">
        <v>12.85609308022045</v>
      </c>
      <c r="S476">
        <v>209</v>
      </c>
      <c r="T476">
        <v>0</v>
      </c>
      <c r="U476">
        <v>25.96875</v>
      </c>
      <c r="V476">
        <v>94</v>
      </c>
      <c r="W476">
        <v>0</v>
      </c>
      <c r="X476">
        <v>26.556862745098041</v>
      </c>
      <c r="Y476">
        <v>109</v>
      </c>
      <c r="Z476">
        <v>0</v>
      </c>
      <c r="AA476">
        <v>114.6301960784314</v>
      </c>
      <c r="AB476">
        <v>350</v>
      </c>
      <c r="AC476">
        <v>0</v>
      </c>
      <c r="AD476">
        <v>27.9758064516129</v>
      </c>
      <c r="AE476">
        <v>105</v>
      </c>
      <c r="AF476">
        <v>0</v>
      </c>
      <c r="AG476">
        <v>110.46935483870971</v>
      </c>
      <c r="AH476">
        <v>280</v>
      </c>
      <c r="AI476">
        <v>0</v>
      </c>
      <c r="AJ476">
        <v>50</v>
      </c>
      <c r="AK476">
        <v>80.650000000000006</v>
      </c>
      <c r="AL476">
        <v>738</v>
      </c>
      <c r="AM476">
        <v>257</v>
      </c>
      <c r="AN476">
        <v>995</v>
      </c>
      <c r="AO476">
        <v>44</v>
      </c>
      <c r="AP476">
        <v>345</v>
      </c>
    </row>
    <row r="477" spans="1:42" x14ac:dyDescent="0.3">
      <c r="A477" t="s">
        <v>1222</v>
      </c>
      <c r="B477" t="s">
        <v>56</v>
      </c>
      <c r="C477" t="s">
        <v>1043</v>
      </c>
      <c r="D477" t="s">
        <v>12</v>
      </c>
      <c r="E477" t="s">
        <v>1047</v>
      </c>
      <c r="F477">
        <v>2015</v>
      </c>
      <c r="G477">
        <v>161.30000000000001</v>
      </c>
      <c r="H477">
        <v>5</v>
      </c>
      <c r="I477">
        <v>1</v>
      </c>
      <c r="J477">
        <v>31</v>
      </c>
      <c r="K477">
        <v>50</v>
      </c>
      <c r="L477" t="s">
        <v>979</v>
      </c>
      <c r="M477">
        <v>30.46643109540636</v>
      </c>
      <c r="N477">
        <v>264</v>
      </c>
      <c r="O477">
        <v>0</v>
      </c>
      <c r="P477">
        <v>31.203883495145629</v>
      </c>
      <c r="Q477">
        <v>120.5689320388349</v>
      </c>
      <c r="R477">
        <v>0.73745239973927212</v>
      </c>
      <c r="S477">
        <v>162</v>
      </c>
      <c r="T477">
        <v>0</v>
      </c>
      <c r="U477">
        <v>25.6</v>
      </c>
      <c r="V477">
        <v>105</v>
      </c>
      <c r="W477">
        <v>0</v>
      </c>
      <c r="X477">
        <v>26.556862745098041</v>
      </c>
      <c r="Y477">
        <v>109</v>
      </c>
      <c r="Z477">
        <v>0</v>
      </c>
      <c r="AA477">
        <v>114.6301960784314</v>
      </c>
      <c r="AB477">
        <v>350</v>
      </c>
      <c r="AC477">
        <v>0</v>
      </c>
      <c r="AD477">
        <v>27.9758064516129</v>
      </c>
      <c r="AE477">
        <v>105</v>
      </c>
      <c r="AF477">
        <v>0</v>
      </c>
      <c r="AG477">
        <v>110.46935483870971</v>
      </c>
      <c r="AH477">
        <v>280</v>
      </c>
      <c r="AI477">
        <v>0</v>
      </c>
      <c r="AJ477">
        <v>0</v>
      </c>
      <c r="AK477">
        <v>0</v>
      </c>
      <c r="AL477">
        <v>733</v>
      </c>
      <c r="AM477">
        <v>256</v>
      </c>
      <c r="AN477">
        <v>989</v>
      </c>
      <c r="AO477">
        <v>131</v>
      </c>
      <c r="AP477">
        <v>339</v>
      </c>
    </row>
    <row r="478" spans="1:42" x14ac:dyDescent="0.3">
      <c r="A478" t="s">
        <v>1752</v>
      </c>
      <c r="B478" t="s">
        <v>4</v>
      </c>
      <c r="C478" t="s">
        <v>1043</v>
      </c>
      <c r="D478" t="s">
        <v>41</v>
      </c>
      <c r="E478" t="s">
        <v>1047</v>
      </c>
      <c r="F478">
        <v>2015</v>
      </c>
      <c r="G478">
        <v>0</v>
      </c>
      <c r="H478">
        <v>0</v>
      </c>
      <c r="I478">
        <v>0</v>
      </c>
      <c r="J478">
        <v>5</v>
      </c>
      <c r="K478">
        <v>0</v>
      </c>
      <c r="L478" t="s">
        <v>1327</v>
      </c>
      <c r="M478">
        <v>30.574468085106378</v>
      </c>
      <c r="N478">
        <v>264</v>
      </c>
      <c r="O478">
        <v>0</v>
      </c>
      <c r="P478">
        <v>34.043478260869563</v>
      </c>
      <c r="Q478">
        <v>108.0891304347826</v>
      </c>
      <c r="R478">
        <v>3.4690101757631808</v>
      </c>
      <c r="S478">
        <v>95</v>
      </c>
      <c r="T478">
        <v>0</v>
      </c>
      <c r="U478">
        <v>20.68965517241379</v>
      </c>
      <c r="V478">
        <v>73</v>
      </c>
      <c r="W478">
        <v>0</v>
      </c>
      <c r="X478">
        <v>26.556862745098041</v>
      </c>
      <c r="Y478">
        <v>109</v>
      </c>
      <c r="Z478">
        <v>0</v>
      </c>
      <c r="AA478">
        <v>114.6301960784314</v>
      </c>
      <c r="AB478">
        <v>350</v>
      </c>
      <c r="AC478">
        <v>0</v>
      </c>
      <c r="AD478">
        <v>27.9758064516129</v>
      </c>
      <c r="AE478">
        <v>105</v>
      </c>
      <c r="AF478">
        <v>0</v>
      </c>
      <c r="AG478">
        <v>110.46935483870971</v>
      </c>
      <c r="AH478">
        <v>280</v>
      </c>
      <c r="AI478">
        <v>0</v>
      </c>
      <c r="AJ478">
        <v>0</v>
      </c>
      <c r="AK478">
        <v>0</v>
      </c>
      <c r="AL478">
        <v>733</v>
      </c>
      <c r="AM478">
        <v>256</v>
      </c>
      <c r="AN478">
        <v>989</v>
      </c>
      <c r="AO478">
        <v>27</v>
      </c>
      <c r="AP478">
        <v>339</v>
      </c>
    </row>
    <row r="479" spans="1:42" x14ac:dyDescent="0.3">
      <c r="A479" t="s">
        <v>1753</v>
      </c>
      <c r="B479" t="s">
        <v>40</v>
      </c>
      <c r="C479" t="s">
        <v>1043</v>
      </c>
      <c r="D479" t="s">
        <v>12</v>
      </c>
      <c r="E479" t="s">
        <v>1047</v>
      </c>
      <c r="F479">
        <v>2015</v>
      </c>
      <c r="G479">
        <v>0</v>
      </c>
      <c r="H479">
        <v>0</v>
      </c>
      <c r="I479">
        <v>0</v>
      </c>
      <c r="J479">
        <v>2</v>
      </c>
      <c r="K479">
        <v>0</v>
      </c>
      <c r="L479" t="s">
        <v>1327</v>
      </c>
      <c r="M479">
        <v>30.683274021352311</v>
      </c>
      <c r="N479">
        <v>264</v>
      </c>
      <c r="O479">
        <v>0</v>
      </c>
      <c r="P479">
        <v>31.203883495145629</v>
      </c>
      <c r="Q479">
        <v>120.5689320388349</v>
      </c>
      <c r="R479">
        <v>0.52060947379331779</v>
      </c>
      <c r="S479">
        <v>162</v>
      </c>
      <c r="T479">
        <v>0</v>
      </c>
      <c r="U479">
        <v>28.12903225806452</v>
      </c>
      <c r="V479">
        <v>79</v>
      </c>
      <c r="W479">
        <v>0</v>
      </c>
      <c r="X479">
        <v>26.556862745098041</v>
      </c>
      <c r="Y479">
        <v>109</v>
      </c>
      <c r="Z479">
        <v>0</v>
      </c>
      <c r="AA479">
        <v>114.6301960784314</v>
      </c>
      <c r="AB479">
        <v>350</v>
      </c>
      <c r="AC479">
        <v>0</v>
      </c>
      <c r="AD479">
        <v>27.9758064516129</v>
      </c>
      <c r="AE479">
        <v>105</v>
      </c>
      <c r="AF479">
        <v>0</v>
      </c>
      <c r="AG479">
        <v>110.46935483870971</v>
      </c>
      <c r="AH479">
        <v>280</v>
      </c>
      <c r="AI479">
        <v>0</v>
      </c>
      <c r="AJ479">
        <v>98</v>
      </c>
      <c r="AK479">
        <v>150.80000000000001</v>
      </c>
      <c r="AL479">
        <v>733</v>
      </c>
      <c r="AM479">
        <v>256</v>
      </c>
      <c r="AN479">
        <v>989</v>
      </c>
      <c r="AO479">
        <v>131</v>
      </c>
      <c r="AP479">
        <v>339</v>
      </c>
    </row>
    <row r="480" spans="1:42" x14ac:dyDescent="0.3">
      <c r="A480" t="s">
        <v>1061</v>
      </c>
      <c r="B480" t="s">
        <v>11</v>
      </c>
      <c r="C480" t="s">
        <v>1043</v>
      </c>
      <c r="D480" t="s">
        <v>139</v>
      </c>
      <c r="E480" t="s">
        <v>1047</v>
      </c>
      <c r="F480">
        <v>2015</v>
      </c>
      <c r="G480">
        <v>150.80000000000001</v>
      </c>
      <c r="H480">
        <v>12</v>
      </c>
      <c r="I480">
        <v>4</v>
      </c>
      <c r="J480">
        <v>65</v>
      </c>
      <c r="K480">
        <v>98</v>
      </c>
      <c r="L480" t="s">
        <v>979</v>
      </c>
      <c r="M480">
        <v>30.44285714285714</v>
      </c>
      <c r="N480">
        <v>264</v>
      </c>
      <c r="O480">
        <v>0</v>
      </c>
      <c r="P480">
        <v>45.666666666666657</v>
      </c>
      <c r="Q480">
        <v>104.1166666666667</v>
      </c>
      <c r="R480">
        <v>15.223809523809519</v>
      </c>
      <c r="S480">
        <v>264</v>
      </c>
      <c r="T480">
        <v>0</v>
      </c>
      <c r="U480">
        <v>31.852941176470591</v>
      </c>
      <c r="V480">
        <v>109</v>
      </c>
      <c r="W480">
        <v>0</v>
      </c>
      <c r="X480">
        <v>26.556862745098041</v>
      </c>
      <c r="Y480">
        <v>109</v>
      </c>
      <c r="Z480">
        <v>0</v>
      </c>
      <c r="AA480">
        <v>114.6301960784314</v>
      </c>
      <c r="AB480">
        <v>350</v>
      </c>
      <c r="AC480">
        <v>0</v>
      </c>
      <c r="AD480">
        <v>27.9758064516129</v>
      </c>
      <c r="AE480">
        <v>105</v>
      </c>
      <c r="AF480">
        <v>0</v>
      </c>
      <c r="AG480">
        <v>110.46935483870971</v>
      </c>
      <c r="AH480">
        <v>280</v>
      </c>
      <c r="AI480">
        <v>0</v>
      </c>
      <c r="AL480">
        <v>721</v>
      </c>
      <c r="AM480">
        <v>252</v>
      </c>
      <c r="AN480">
        <v>973</v>
      </c>
      <c r="AO480">
        <v>87</v>
      </c>
      <c r="AP480">
        <v>323</v>
      </c>
    </row>
    <row r="481" spans="1:42" x14ac:dyDescent="0.3">
      <c r="A481" t="s">
        <v>1306</v>
      </c>
      <c r="B481" t="s">
        <v>32</v>
      </c>
      <c r="C481" t="s">
        <v>16</v>
      </c>
      <c r="D481" t="s">
        <v>33</v>
      </c>
      <c r="E481" t="s">
        <v>1016</v>
      </c>
      <c r="F481">
        <v>2015</v>
      </c>
      <c r="G481">
        <v>70.8</v>
      </c>
      <c r="H481">
        <v>1</v>
      </c>
      <c r="I481">
        <v>2</v>
      </c>
      <c r="J481">
        <v>48</v>
      </c>
      <c r="K481">
        <v>34</v>
      </c>
      <c r="L481" t="s">
        <v>979</v>
      </c>
      <c r="M481">
        <v>30.43010752688172</v>
      </c>
      <c r="N481">
        <v>264</v>
      </c>
      <c r="O481">
        <v>0</v>
      </c>
      <c r="P481">
        <v>68.36363636363636</v>
      </c>
      <c r="Q481">
        <v>88.454545454545453</v>
      </c>
      <c r="R481">
        <v>37.93352883675464</v>
      </c>
      <c r="S481">
        <v>133</v>
      </c>
      <c r="T481">
        <v>1</v>
      </c>
      <c r="U481">
        <v>44.710843373493979</v>
      </c>
      <c r="V481">
        <v>209</v>
      </c>
      <c r="W481">
        <v>0</v>
      </c>
      <c r="X481">
        <v>42.251824817518248</v>
      </c>
      <c r="Y481">
        <v>264</v>
      </c>
      <c r="Z481">
        <v>0</v>
      </c>
      <c r="AA481">
        <v>77.646715328467153</v>
      </c>
      <c r="AB481">
        <v>200</v>
      </c>
      <c r="AC481">
        <v>0</v>
      </c>
      <c r="AD481">
        <v>34.313432835820898</v>
      </c>
      <c r="AE481">
        <v>137</v>
      </c>
      <c r="AF481">
        <v>0</v>
      </c>
      <c r="AG481">
        <v>101.9507462686567</v>
      </c>
      <c r="AH481">
        <v>216.7</v>
      </c>
      <c r="AI481">
        <v>0</v>
      </c>
      <c r="AL481">
        <v>720</v>
      </c>
      <c r="AM481">
        <v>250</v>
      </c>
      <c r="AN481">
        <v>970</v>
      </c>
      <c r="AO481">
        <v>17</v>
      </c>
      <c r="AP481">
        <v>441</v>
      </c>
    </row>
    <row r="482" spans="1:42" x14ac:dyDescent="0.3">
      <c r="A482" t="s">
        <v>1015</v>
      </c>
      <c r="B482" t="s">
        <v>73</v>
      </c>
      <c r="C482" t="s">
        <v>16</v>
      </c>
      <c r="D482" t="s">
        <v>84</v>
      </c>
      <c r="E482" t="s">
        <v>1016</v>
      </c>
      <c r="F482">
        <v>2015</v>
      </c>
      <c r="G482">
        <v>108.7</v>
      </c>
      <c r="H482">
        <v>14</v>
      </c>
      <c r="I482">
        <v>3</v>
      </c>
      <c r="J482">
        <v>126</v>
      </c>
      <c r="K482">
        <v>137</v>
      </c>
      <c r="L482" t="s">
        <v>979</v>
      </c>
      <c r="M482">
        <v>30.046762589928061</v>
      </c>
      <c r="N482">
        <v>264</v>
      </c>
      <c r="O482">
        <v>0</v>
      </c>
      <c r="P482">
        <v>39.769230769230766</v>
      </c>
      <c r="Q482">
        <v>74.015384615384619</v>
      </c>
      <c r="R482">
        <v>9.7224681793027088</v>
      </c>
      <c r="S482">
        <v>138</v>
      </c>
      <c r="T482">
        <v>0</v>
      </c>
      <c r="U482">
        <v>38.228571428571428</v>
      </c>
      <c r="V482">
        <v>137</v>
      </c>
      <c r="W482">
        <v>0</v>
      </c>
      <c r="X482">
        <v>42.251824817518248</v>
      </c>
      <c r="Y482">
        <v>264</v>
      </c>
      <c r="Z482">
        <v>0</v>
      </c>
      <c r="AA482">
        <v>77.646715328467153</v>
      </c>
      <c r="AB482">
        <v>200</v>
      </c>
      <c r="AC482">
        <v>0</v>
      </c>
      <c r="AD482">
        <v>34.313432835820898</v>
      </c>
      <c r="AE482">
        <v>137</v>
      </c>
      <c r="AF482">
        <v>0</v>
      </c>
      <c r="AG482">
        <v>101.9507462686567</v>
      </c>
      <c r="AH482">
        <v>216.7</v>
      </c>
      <c r="AI482">
        <v>0</v>
      </c>
      <c r="AJ482">
        <v>16</v>
      </c>
      <c r="AK482">
        <v>76.2</v>
      </c>
      <c r="AL482">
        <v>706</v>
      </c>
      <c r="AM482">
        <v>247</v>
      </c>
      <c r="AN482">
        <v>953</v>
      </c>
      <c r="AO482">
        <v>18</v>
      </c>
      <c r="AP482">
        <v>424</v>
      </c>
    </row>
    <row r="483" spans="1:42" x14ac:dyDescent="0.3">
      <c r="A483" t="s">
        <v>1456</v>
      </c>
      <c r="B483" t="s">
        <v>264</v>
      </c>
      <c r="C483" t="s">
        <v>16</v>
      </c>
      <c r="D483" t="s">
        <v>407</v>
      </c>
      <c r="E483" t="s">
        <v>1016</v>
      </c>
      <c r="F483">
        <v>2015</v>
      </c>
      <c r="G483">
        <v>76.2</v>
      </c>
      <c r="H483">
        <v>2</v>
      </c>
      <c r="I483">
        <v>0</v>
      </c>
      <c r="J483">
        <v>21</v>
      </c>
      <c r="K483">
        <v>16</v>
      </c>
      <c r="L483" t="s">
        <v>1327</v>
      </c>
      <c r="M483">
        <v>30.097472924187731</v>
      </c>
      <c r="N483">
        <v>264</v>
      </c>
      <c r="O483">
        <v>0</v>
      </c>
      <c r="P483">
        <v>36.285714285714278</v>
      </c>
      <c r="Q483">
        <v>100.7714285714286</v>
      </c>
      <c r="R483">
        <v>6.1882413615265577</v>
      </c>
      <c r="S483">
        <v>91</v>
      </c>
      <c r="T483">
        <v>7</v>
      </c>
      <c r="U483">
        <v>31.5</v>
      </c>
      <c r="V483">
        <v>114</v>
      </c>
      <c r="W483">
        <v>1</v>
      </c>
      <c r="X483">
        <v>42.251824817518248</v>
      </c>
      <c r="Y483">
        <v>264</v>
      </c>
      <c r="Z483">
        <v>0</v>
      </c>
      <c r="AA483">
        <v>77.646715328467153</v>
      </c>
      <c r="AB483">
        <v>200</v>
      </c>
      <c r="AC483">
        <v>0</v>
      </c>
      <c r="AD483">
        <v>34.313432835820898</v>
      </c>
      <c r="AE483">
        <v>137</v>
      </c>
      <c r="AF483">
        <v>0</v>
      </c>
      <c r="AG483">
        <v>101.9507462686567</v>
      </c>
      <c r="AH483">
        <v>216.7</v>
      </c>
      <c r="AI483">
        <v>0</v>
      </c>
      <c r="AJ483">
        <v>64</v>
      </c>
      <c r="AK483">
        <v>97</v>
      </c>
      <c r="AL483">
        <v>704</v>
      </c>
      <c r="AM483">
        <v>247</v>
      </c>
      <c r="AN483">
        <v>951</v>
      </c>
      <c r="AO483">
        <v>18</v>
      </c>
      <c r="AP483">
        <v>422</v>
      </c>
    </row>
    <row r="484" spans="1:42" x14ac:dyDescent="0.3">
      <c r="A484" t="s">
        <v>1147</v>
      </c>
      <c r="B484" t="s">
        <v>135</v>
      </c>
      <c r="C484" t="s">
        <v>16</v>
      </c>
      <c r="D484" t="s">
        <v>405</v>
      </c>
      <c r="E484" t="s">
        <v>1016</v>
      </c>
      <c r="F484">
        <v>2015</v>
      </c>
      <c r="G484">
        <v>97</v>
      </c>
      <c r="H484">
        <v>3</v>
      </c>
      <c r="I484">
        <v>3</v>
      </c>
      <c r="J484">
        <v>66</v>
      </c>
      <c r="K484">
        <v>64</v>
      </c>
      <c r="L484" t="s">
        <v>979</v>
      </c>
      <c r="M484">
        <v>29.974637681159422</v>
      </c>
      <c r="N484">
        <v>264</v>
      </c>
      <c r="O484">
        <v>0</v>
      </c>
      <c r="P484">
        <v>45.5</v>
      </c>
      <c r="Q484">
        <v>91.916666666666671</v>
      </c>
      <c r="R484">
        <v>15.52536231884058</v>
      </c>
      <c r="S484">
        <v>79</v>
      </c>
      <c r="T484">
        <v>7</v>
      </c>
      <c r="U484">
        <v>53.25</v>
      </c>
      <c r="V484">
        <v>97</v>
      </c>
      <c r="W484">
        <v>0</v>
      </c>
      <c r="X484">
        <v>42.251824817518248</v>
      </c>
      <c r="Y484">
        <v>264</v>
      </c>
      <c r="Z484">
        <v>0</v>
      </c>
      <c r="AA484">
        <v>77.646715328467153</v>
      </c>
      <c r="AB484">
        <v>200</v>
      </c>
      <c r="AC484">
        <v>0</v>
      </c>
      <c r="AD484">
        <v>34.313432835820898</v>
      </c>
      <c r="AE484">
        <v>137</v>
      </c>
      <c r="AF484">
        <v>0</v>
      </c>
      <c r="AG484">
        <v>101.9507462686567</v>
      </c>
      <c r="AH484">
        <v>216.7</v>
      </c>
      <c r="AI484">
        <v>0</v>
      </c>
      <c r="AJ484">
        <v>7</v>
      </c>
      <c r="AK484">
        <v>38.9</v>
      </c>
      <c r="AL484">
        <v>701</v>
      </c>
      <c r="AM484">
        <v>244</v>
      </c>
      <c r="AN484">
        <v>945</v>
      </c>
      <c r="AO484">
        <v>13</v>
      </c>
      <c r="AP484">
        <v>416</v>
      </c>
    </row>
    <row r="485" spans="1:42" x14ac:dyDescent="0.3">
      <c r="A485" t="s">
        <v>1602</v>
      </c>
      <c r="B485" t="s">
        <v>208</v>
      </c>
      <c r="C485" t="s">
        <v>16</v>
      </c>
      <c r="D485" t="s">
        <v>37</v>
      </c>
      <c r="E485" t="s">
        <v>1016</v>
      </c>
      <c r="F485">
        <v>2015</v>
      </c>
      <c r="G485">
        <v>38.9</v>
      </c>
      <c r="H485">
        <v>1</v>
      </c>
      <c r="I485">
        <v>0</v>
      </c>
      <c r="J485">
        <v>18</v>
      </c>
      <c r="K485">
        <v>7</v>
      </c>
      <c r="L485" t="s">
        <v>1327</v>
      </c>
      <c r="M485">
        <v>30.058181818181819</v>
      </c>
      <c r="N485">
        <v>264</v>
      </c>
      <c r="O485">
        <v>0</v>
      </c>
      <c r="P485">
        <v>44.666666666666657</v>
      </c>
      <c r="Q485">
        <v>78.399999999999991</v>
      </c>
      <c r="R485">
        <v>14.608484848484849</v>
      </c>
      <c r="S485">
        <v>171</v>
      </c>
      <c r="T485">
        <v>7</v>
      </c>
      <c r="U485">
        <v>47.081967213114751</v>
      </c>
      <c r="V485">
        <v>177</v>
      </c>
      <c r="W485">
        <v>0</v>
      </c>
      <c r="X485">
        <v>42.251824817518248</v>
      </c>
      <c r="Y485">
        <v>264</v>
      </c>
      <c r="Z485">
        <v>0</v>
      </c>
      <c r="AA485">
        <v>77.646715328467153</v>
      </c>
      <c r="AB485">
        <v>200</v>
      </c>
      <c r="AC485">
        <v>0</v>
      </c>
      <c r="AD485">
        <v>34.313432835820898</v>
      </c>
      <c r="AE485">
        <v>137</v>
      </c>
      <c r="AF485">
        <v>0</v>
      </c>
      <c r="AG485">
        <v>101.9507462686567</v>
      </c>
      <c r="AH485">
        <v>216.7</v>
      </c>
      <c r="AI485">
        <v>0</v>
      </c>
      <c r="AL485">
        <v>700</v>
      </c>
      <c r="AM485">
        <v>244</v>
      </c>
      <c r="AN485">
        <v>944</v>
      </c>
      <c r="AO485">
        <v>12</v>
      </c>
      <c r="AP485">
        <v>415</v>
      </c>
    </row>
    <row r="486" spans="1:42" x14ac:dyDescent="0.3">
      <c r="A486" t="s">
        <v>1179</v>
      </c>
      <c r="B486" t="s">
        <v>625</v>
      </c>
      <c r="C486" t="s">
        <v>16</v>
      </c>
      <c r="D486" t="s">
        <v>37</v>
      </c>
      <c r="E486" t="s">
        <v>990</v>
      </c>
      <c r="F486">
        <v>2015</v>
      </c>
      <c r="G486">
        <v>103.6</v>
      </c>
      <c r="H486">
        <v>10</v>
      </c>
      <c r="I486">
        <v>1</v>
      </c>
      <c r="J486">
        <v>55</v>
      </c>
      <c r="K486">
        <v>57</v>
      </c>
      <c r="L486" t="s">
        <v>979</v>
      </c>
      <c r="M486">
        <v>29.959854014598541</v>
      </c>
      <c r="N486">
        <v>264</v>
      </c>
      <c r="O486">
        <v>0</v>
      </c>
      <c r="P486">
        <v>44.666666666666657</v>
      </c>
      <c r="Q486">
        <v>78.399999999999991</v>
      </c>
      <c r="R486">
        <v>14.70681265206812</v>
      </c>
      <c r="S486">
        <v>171</v>
      </c>
      <c r="T486">
        <v>7</v>
      </c>
      <c r="U486">
        <v>57</v>
      </c>
      <c r="V486">
        <v>57</v>
      </c>
      <c r="W486">
        <v>39</v>
      </c>
      <c r="X486">
        <v>42.251824817518248</v>
      </c>
      <c r="Y486">
        <v>264</v>
      </c>
      <c r="Z486">
        <v>0</v>
      </c>
      <c r="AA486">
        <v>77.646715328467153</v>
      </c>
      <c r="AB486">
        <v>200</v>
      </c>
      <c r="AC486">
        <v>0</v>
      </c>
      <c r="AD486">
        <v>31.115942028985511</v>
      </c>
      <c r="AE486">
        <v>187</v>
      </c>
      <c r="AF486">
        <v>0</v>
      </c>
      <c r="AG486">
        <v>73.336956521739125</v>
      </c>
      <c r="AH486">
        <v>233.3</v>
      </c>
      <c r="AI486">
        <v>0</v>
      </c>
      <c r="AL486">
        <v>690</v>
      </c>
      <c r="AM486">
        <v>243</v>
      </c>
      <c r="AN486">
        <v>933</v>
      </c>
      <c r="AO486">
        <v>1</v>
      </c>
      <c r="AP486">
        <v>404</v>
      </c>
    </row>
    <row r="487" spans="1:42" x14ac:dyDescent="0.3">
      <c r="A487" t="s">
        <v>1754</v>
      </c>
      <c r="B487" t="s">
        <v>24</v>
      </c>
      <c r="C487" t="s">
        <v>16</v>
      </c>
      <c r="D487" t="s">
        <v>84</v>
      </c>
      <c r="E487" t="s">
        <v>990</v>
      </c>
      <c r="F487">
        <v>2015</v>
      </c>
      <c r="G487">
        <v>0</v>
      </c>
      <c r="H487">
        <v>0</v>
      </c>
      <c r="I487">
        <v>0</v>
      </c>
      <c r="J487">
        <v>6</v>
      </c>
      <c r="K487">
        <v>0</v>
      </c>
      <c r="L487" t="s">
        <v>1327</v>
      </c>
      <c r="M487">
        <v>30.069597069597069</v>
      </c>
      <c r="N487">
        <v>264</v>
      </c>
      <c r="O487">
        <v>0</v>
      </c>
      <c r="P487">
        <v>39.769230769230766</v>
      </c>
      <c r="Q487">
        <v>74.015384615384619</v>
      </c>
      <c r="R487">
        <v>9.6996336996336971</v>
      </c>
      <c r="S487">
        <v>138</v>
      </c>
      <c r="T487">
        <v>0</v>
      </c>
      <c r="U487">
        <v>37.163636363636357</v>
      </c>
      <c r="V487">
        <v>303</v>
      </c>
      <c r="W487">
        <v>0</v>
      </c>
      <c r="X487">
        <v>42.251824817518248</v>
      </c>
      <c r="Y487">
        <v>264</v>
      </c>
      <c r="Z487">
        <v>0</v>
      </c>
      <c r="AA487">
        <v>77.646715328467153</v>
      </c>
      <c r="AB487">
        <v>200</v>
      </c>
      <c r="AC487">
        <v>0</v>
      </c>
      <c r="AD487">
        <v>31.115942028985511</v>
      </c>
      <c r="AE487">
        <v>187</v>
      </c>
      <c r="AF487">
        <v>0</v>
      </c>
      <c r="AG487">
        <v>73.336956521739125</v>
      </c>
      <c r="AH487">
        <v>233.3</v>
      </c>
      <c r="AI487">
        <v>0</v>
      </c>
      <c r="AL487">
        <v>690</v>
      </c>
      <c r="AM487">
        <v>243</v>
      </c>
      <c r="AN487">
        <v>933</v>
      </c>
      <c r="AO487">
        <v>18</v>
      </c>
      <c r="AP487">
        <v>404</v>
      </c>
    </row>
    <row r="488" spans="1:42" x14ac:dyDescent="0.3">
      <c r="A488" t="s">
        <v>1473</v>
      </c>
      <c r="B488" t="s">
        <v>71</v>
      </c>
      <c r="C488" t="s">
        <v>16</v>
      </c>
      <c r="D488" t="s">
        <v>35</v>
      </c>
      <c r="E488" t="s">
        <v>990</v>
      </c>
      <c r="F488">
        <v>2015</v>
      </c>
      <c r="G488">
        <v>75</v>
      </c>
      <c r="H488">
        <v>2</v>
      </c>
      <c r="I488">
        <v>0</v>
      </c>
      <c r="J488">
        <v>20</v>
      </c>
      <c r="K488">
        <v>15</v>
      </c>
      <c r="L488" t="s">
        <v>1327</v>
      </c>
      <c r="M488">
        <v>30.125</v>
      </c>
      <c r="N488">
        <v>264</v>
      </c>
      <c r="O488">
        <v>0</v>
      </c>
      <c r="P488">
        <v>27.69230769230769</v>
      </c>
      <c r="Q488">
        <v>65.492307692307691</v>
      </c>
      <c r="R488">
        <v>-2.432692307692307</v>
      </c>
      <c r="S488">
        <v>73</v>
      </c>
      <c r="T488">
        <v>1</v>
      </c>
      <c r="U488">
        <v>33.333333333333343</v>
      </c>
      <c r="V488">
        <v>140</v>
      </c>
      <c r="W488">
        <v>0</v>
      </c>
      <c r="X488">
        <v>42.251824817518248</v>
      </c>
      <c r="Y488">
        <v>264</v>
      </c>
      <c r="Z488">
        <v>0</v>
      </c>
      <c r="AA488">
        <v>77.646715328467153</v>
      </c>
      <c r="AB488">
        <v>200</v>
      </c>
      <c r="AC488">
        <v>0</v>
      </c>
      <c r="AD488">
        <v>31.115942028985511</v>
      </c>
      <c r="AE488">
        <v>187</v>
      </c>
      <c r="AF488">
        <v>0</v>
      </c>
      <c r="AG488">
        <v>73.336956521739125</v>
      </c>
      <c r="AH488">
        <v>233.3</v>
      </c>
      <c r="AI488">
        <v>0</v>
      </c>
      <c r="AL488">
        <v>688</v>
      </c>
      <c r="AM488">
        <v>243</v>
      </c>
      <c r="AN488">
        <v>931</v>
      </c>
      <c r="AO488">
        <v>11</v>
      </c>
      <c r="AP488">
        <v>402</v>
      </c>
    </row>
    <row r="489" spans="1:42" x14ac:dyDescent="0.3">
      <c r="A489" t="s">
        <v>1010</v>
      </c>
      <c r="B489" t="s">
        <v>32</v>
      </c>
      <c r="C489" t="s">
        <v>16</v>
      </c>
      <c r="D489" t="s">
        <v>84</v>
      </c>
      <c r="E489" t="s">
        <v>994</v>
      </c>
      <c r="F489">
        <v>2015</v>
      </c>
      <c r="G489">
        <v>99.3</v>
      </c>
      <c r="H489">
        <v>9</v>
      </c>
      <c r="I489">
        <v>4</v>
      </c>
      <c r="J489">
        <v>139</v>
      </c>
      <c r="K489">
        <v>138</v>
      </c>
      <c r="L489" t="s">
        <v>979</v>
      </c>
      <c r="M489">
        <v>29.726937269372691</v>
      </c>
      <c r="N489">
        <v>264</v>
      </c>
      <c r="O489">
        <v>0</v>
      </c>
      <c r="P489">
        <v>39.769230769230766</v>
      </c>
      <c r="Q489">
        <v>74.015384615384619</v>
      </c>
      <c r="R489">
        <v>10.04229349985807</v>
      </c>
      <c r="S489">
        <v>138</v>
      </c>
      <c r="T489">
        <v>0</v>
      </c>
      <c r="U489">
        <v>44.710843373493979</v>
      </c>
      <c r="V489">
        <v>209</v>
      </c>
      <c r="W489">
        <v>0</v>
      </c>
      <c r="X489">
        <v>42.251824817518248</v>
      </c>
      <c r="Y489">
        <v>264</v>
      </c>
      <c r="Z489">
        <v>0</v>
      </c>
      <c r="AA489">
        <v>77.646715328467153</v>
      </c>
      <c r="AB489">
        <v>200</v>
      </c>
      <c r="AC489">
        <v>0</v>
      </c>
      <c r="AD489">
        <v>47.472727272727283</v>
      </c>
      <c r="AE489">
        <v>171</v>
      </c>
      <c r="AF489">
        <v>0</v>
      </c>
      <c r="AG489">
        <v>81.038181818181826</v>
      </c>
      <c r="AH489">
        <v>175.4</v>
      </c>
      <c r="AI489">
        <v>0</v>
      </c>
      <c r="AL489">
        <v>679</v>
      </c>
      <c r="AM489">
        <v>239</v>
      </c>
      <c r="AN489">
        <v>918</v>
      </c>
      <c r="AO489">
        <v>5</v>
      </c>
      <c r="AP489">
        <v>389</v>
      </c>
    </row>
    <row r="490" spans="1:42" x14ac:dyDescent="0.3">
      <c r="A490" t="s">
        <v>1068</v>
      </c>
      <c r="B490" t="s">
        <v>32</v>
      </c>
      <c r="C490" t="s">
        <v>83</v>
      </c>
      <c r="D490" t="s">
        <v>33</v>
      </c>
      <c r="E490" t="s">
        <v>994</v>
      </c>
      <c r="F490">
        <v>2015</v>
      </c>
      <c r="G490">
        <v>41.55</v>
      </c>
      <c r="H490">
        <v>7</v>
      </c>
      <c r="I490">
        <v>4</v>
      </c>
      <c r="J490">
        <v>166</v>
      </c>
      <c r="K490">
        <v>92</v>
      </c>
      <c r="L490" t="s">
        <v>979</v>
      </c>
      <c r="M490">
        <v>29.4962962962963</v>
      </c>
      <c r="N490">
        <v>264</v>
      </c>
      <c r="O490">
        <v>0</v>
      </c>
      <c r="P490">
        <v>68.36363636363636</v>
      </c>
      <c r="Q490">
        <v>88.454545454545453</v>
      </c>
      <c r="R490">
        <v>38.867340067340074</v>
      </c>
      <c r="S490">
        <v>133</v>
      </c>
      <c r="T490">
        <v>1</v>
      </c>
      <c r="U490">
        <v>44.710843373493979</v>
      </c>
      <c r="V490">
        <v>209</v>
      </c>
      <c r="W490">
        <v>0</v>
      </c>
      <c r="X490">
        <v>65.166666666666671</v>
      </c>
      <c r="Y490">
        <v>303</v>
      </c>
      <c r="Z490">
        <v>1</v>
      </c>
      <c r="AA490">
        <v>55.904545454545449</v>
      </c>
      <c r="AB490">
        <v>161.6</v>
      </c>
      <c r="AC490">
        <v>16.600000000000001</v>
      </c>
      <c r="AD490">
        <v>47.472727272727283</v>
      </c>
      <c r="AE490">
        <v>171</v>
      </c>
      <c r="AF490">
        <v>0</v>
      </c>
      <c r="AG490">
        <v>81.038181818181826</v>
      </c>
      <c r="AH490">
        <v>175.4</v>
      </c>
      <c r="AI490">
        <v>0</v>
      </c>
      <c r="AL490">
        <v>672</v>
      </c>
      <c r="AM490">
        <v>235</v>
      </c>
      <c r="AN490">
        <v>907</v>
      </c>
      <c r="AO490">
        <v>6</v>
      </c>
      <c r="AP490">
        <v>71</v>
      </c>
    </row>
    <row r="491" spans="1:42" x14ac:dyDescent="0.3">
      <c r="A491" t="s">
        <v>1317</v>
      </c>
      <c r="B491" t="s">
        <v>32</v>
      </c>
      <c r="C491" t="s">
        <v>83</v>
      </c>
      <c r="D491" t="s">
        <v>88</v>
      </c>
      <c r="E491" t="s">
        <v>987</v>
      </c>
      <c r="F491">
        <v>2014</v>
      </c>
      <c r="G491">
        <v>58.099999999999987</v>
      </c>
      <c r="H491">
        <v>3</v>
      </c>
      <c r="I491">
        <v>1</v>
      </c>
      <c r="J491">
        <v>58</v>
      </c>
      <c r="K491">
        <v>32</v>
      </c>
      <c r="L491" t="s">
        <v>979</v>
      </c>
      <c r="M491">
        <v>29.486988847583639</v>
      </c>
      <c r="N491">
        <v>264</v>
      </c>
      <c r="O491">
        <v>0</v>
      </c>
      <c r="P491">
        <v>28.333333333333329</v>
      </c>
      <c r="Q491">
        <v>48.216666666666661</v>
      </c>
      <c r="R491">
        <v>-1.15365551425031</v>
      </c>
      <c r="S491">
        <v>124</v>
      </c>
      <c r="T491">
        <v>0</v>
      </c>
      <c r="U491">
        <v>44.710843373493979</v>
      </c>
      <c r="V491">
        <v>209</v>
      </c>
      <c r="W491">
        <v>0</v>
      </c>
      <c r="X491">
        <v>65.166666666666671</v>
      </c>
      <c r="Y491">
        <v>303</v>
      </c>
      <c r="Z491">
        <v>1</v>
      </c>
      <c r="AA491">
        <v>55.904545454545449</v>
      </c>
      <c r="AB491">
        <v>161.6</v>
      </c>
      <c r="AC491">
        <v>16.600000000000001</v>
      </c>
      <c r="AD491">
        <v>40.825000000000003</v>
      </c>
      <c r="AE491">
        <v>208</v>
      </c>
      <c r="AF491">
        <v>1</v>
      </c>
      <c r="AG491">
        <v>90.646250000000009</v>
      </c>
      <c r="AH491">
        <v>274.39999999999998</v>
      </c>
      <c r="AI491">
        <v>15.4</v>
      </c>
      <c r="AL491">
        <v>669</v>
      </c>
      <c r="AM491">
        <v>234</v>
      </c>
      <c r="AN491">
        <v>903</v>
      </c>
      <c r="AO491">
        <v>5</v>
      </c>
      <c r="AP491">
        <v>67</v>
      </c>
    </row>
    <row r="492" spans="1:42" x14ac:dyDescent="0.3">
      <c r="A492" t="s">
        <v>1229</v>
      </c>
      <c r="B492" t="s">
        <v>32</v>
      </c>
      <c r="C492" t="s">
        <v>83</v>
      </c>
      <c r="D492" t="s">
        <v>35</v>
      </c>
      <c r="E492" t="s">
        <v>987</v>
      </c>
      <c r="F492">
        <v>2014</v>
      </c>
      <c r="G492">
        <v>40.799999999999997</v>
      </c>
      <c r="H492">
        <v>6</v>
      </c>
      <c r="I492">
        <v>0</v>
      </c>
      <c r="J492">
        <v>88</v>
      </c>
      <c r="K492">
        <v>49</v>
      </c>
      <c r="L492" t="s">
        <v>979</v>
      </c>
      <c r="M492">
        <v>29.414179104477611</v>
      </c>
      <c r="N492">
        <v>264</v>
      </c>
      <c r="O492">
        <v>0</v>
      </c>
      <c r="P492">
        <v>27.69230769230769</v>
      </c>
      <c r="Q492">
        <v>65.492307692307691</v>
      </c>
      <c r="R492">
        <v>-1.7218714121699179</v>
      </c>
      <c r="S492">
        <v>73</v>
      </c>
      <c r="T492">
        <v>1</v>
      </c>
      <c r="U492">
        <v>44.710843373493979</v>
      </c>
      <c r="V492">
        <v>209</v>
      </c>
      <c r="W492">
        <v>0</v>
      </c>
      <c r="X492">
        <v>65.166666666666671</v>
      </c>
      <c r="Y492">
        <v>303</v>
      </c>
      <c r="Z492">
        <v>1</v>
      </c>
      <c r="AA492">
        <v>55.904545454545449</v>
      </c>
      <c r="AB492">
        <v>161.6</v>
      </c>
      <c r="AC492">
        <v>16.600000000000001</v>
      </c>
      <c r="AD492">
        <v>40.825000000000003</v>
      </c>
      <c r="AE492">
        <v>208</v>
      </c>
      <c r="AF492">
        <v>1</v>
      </c>
      <c r="AG492">
        <v>90.646250000000009</v>
      </c>
      <c r="AH492">
        <v>274.39999999999998</v>
      </c>
      <c r="AI492">
        <v>15.4</v>
      </c>
      <c r="AL492">
        <v>663</v>
      </c>
      <c r="AM492">
        <v>234</v>
      </c>
      <c r="AN492">
        <v>897</v>
      </c>
      <c r="AO492">
        <v>5</v>
      </c>
      <c r="AP492">
        <v>61</v>
      </c>
    </row>
    <row r="493" spans="1:42" x14ac:dyDescent="0.3">
      <c r="A493" t="s">
        <v>1559</v>
      </c>
      <c r="B493" t="s">
        <v>115</v>
      </c>
      <c r="C493" t="s">
        <v>16</v>
      </c>
      <c r="D493" t="s">
        <v>29</v>
      </c>
      <c r="E493" t="s">
        <v>981</v>
      </c>
      <c r="F493">
        <v>2014</v>
      </c>
      <c r="G493">
        <v>75</v>
      </c>
      <c r="H493">
        <v>2</v>
      </c>
      <c r="I493">
        <v>0</v>
      </c>
      <c r="J493">
        <v>12</v>
      </c>
      <c r="K493">
        <v>9</v>
      </c>
      <c r="L493" t="s">
        <v>1327</v>
      </c>
      <c r="M493">
        <v>29.490636704119851</v>
      </c>
      <c r="N493">
        <v>264</v>
      </c>
      <c r="O493">
        <v>0</v>
      </c>
      <c r="P493">
        <v>47.8</v>
      </c>
      <c r="Q493">
        <v>97.134999999999991</v>
      </c>
      <c r="R493">
        <v>18.30936329588015</v>
      </c>
      <c r="S493">
        <v>212</v>
      </c>
      <c r="T493">
        <v>9</v>
      </c>
      <c r="U493">
        <v>38.236842105263158</v>
      </c>
      <c r="V493">
        <v>264</v>
      </c>
      <c r="W493">
        <v>0</v>
      </c>
      <c r="X493">
        <v>42.251824817518248</v>
      </c>
      <c r="Y493">
        <v>264</v>
      </c>
      <c r="Z493">
        <v>0</v>
      </c>
      <c r="AA493">
        <v>77.646715328467153</v>
      </c>
      <c r="AB493">
        <v>200</v>
      </c>
      <c r="AC493">
        <v>0</v>
      </c>
      <c r="AD493">
        <v>47.122448979591837</v>
      </c>
      <c r="AE493">
        <v>264</v>
      </c>
      <c r="AF493">
        <v>0</v>
      </c>
      <c r="AG493">
        <v>105.5040816326531</v>
      </c>
      <c r="AH493">
        <v>200</v>
      </c>
      <c r="AI493">
        <v>0</v>
      </c>
      <c r="AJ493">
        <v>264</v>
      </c>
      <c r="AK493">
        <v>152.6</v>
      </c>
      <c r="AL493">
        <v>661</v>
      </c>
      <c r="AM493">
        <v>234</v>
      </c>
      <c r="AN493">
        <v>895</v>
      </c>
      <c r="AO493">
        <v>1</v>
      </c>
      <c r="AP493">
        <v>387</v>
      </c>
    </row>
    <row r="494" spans="1:42" x14ac:dyDescent="0.3">
      <c r="A494" t="s">
        <v>980</v>
      </c>
      <c r="B494" t="s">
        <v>115</v>
      </c>
      <c r="C494" t="s">
        <v>16</v>
      </c>
      <c r="D494" t="s">
        <v>139</v>
      </c>
      <c r="E494" t="s">
        <v>981</v>
      </c>
      <c r="F494">
        <v>2014</v>
      </c>
      <c r="G494">
        <v>152.6</v>
      </c>
      <c r="H494">
        <v>33</v>
      </c>
      <c r="I494">
        <v>9</v>
      </c>
      <c r="J494">
        <v>173</v>
      </c>
      <c r="K494">
        <v>264</v>
      </c>
      <c r="L494" t="s">
        <v>979</v>
      </c>
      <c r="M494">
        <v>28.609022556390979</v>
      </c>
      <c r="N494">
        <v>209</v>
      </c>
      <c r="O494">
        <v>0</v>
      </c>
      <c r="P494">
        <v>45.666666666666657</v>
      </c>
      <c r="Q494">
        <v>104.1166666666667</v>
      </c>
      <c r="R494">
        <v>17.057644110275689</v>
      </c>
      <c r="S494">
        <v>264</v>
      </c>
      <c r="T494">
        <v>0</v>
      </c>
      <c r="U494">
        <v>38.236842105263158</v>
      </c>
      <c r="V494">
        <v>264</v>
      </c>
      <c r="W494">
        <v>0</v>
      </c>
      <c r="X494">
        <v>42.251824817518248</v>
      </c>
      <c r="Y494">
        <v>264</v>
      </c>
      <c r="Z494">
        <v>0</v>
      </c>
      <c r="AA494">
        <v>77.646715328467153</v>
      </c>
      <c r="AB494">
        <v>200</v>
      </c>
      <c r="AC494">
        <v>0</v>
      </c>
      <c r="AD494">
        <v>47.122448979591837</v>
      </c>
      <c r="AE494">
        <v>264</v>
      </c>
      <c r="AF494">
        <v>0</v>
      </c>
      <c r="AG494">
        <v>105.5040816326531</v>
      </c>
      <c r="AH494">
        <v>200</v>
      </c>
      <c r="AI494">
        <v>0</v>
      </c>
      <c r="AL494">
        <v>628</v>
      </c>
      <c r="AM494">
        <v>225</v>
      </c>
      <c r="AN494">
        <v>853</v>
      </c>
      <c r="AO494">
        <v>45</v>
      </c>
      <c r="AP494">
        <v>345</v>
      </c>
    </row>
    <row r="495" spans="1:42" x14ac:dyDescent="0.3">
      <c r="A495" t="s">
        <v>1206</v>
      </c>
      <c r="B495" t="s">
        <v>76</v>
      </c>
      <c r="C495" t="s">
        <v>16</v>
      </c>
      <c r="D495" t="s">
        <v>508</v>
      </c>
      <c r="E495" t="s">
        <v>1021</v>
      </c>
      <c r="F495">
        <v>2014</v>
      </c>
      <c r="G495">
        <v>59.8</v>
      </c>
      <c r="H495">
        <v>4</v>
      </c>
      <c r="I495">
        <v>1</v>
      </c>
      <c r="J495">
        <v>87</v>
      </c>
      <c r="K495">
        <v>52</v>
      </c>
      <c r="L495" t="s">
        <v>979</v>
      </c>
      <c r="M495">
        <v>28.520754716981131</v>
      </c>
      <c r="N495">
        <v>209</v>
      </c>
      <c r="O495">
        <v>0</v>
      </c>
      <c r="P495">
        <v>38.75</v>
      </c>
      <c r="Q495">
        <v>65.400000000000006</v>
      </c>
      <c r="R495">
        <v>10.229245283018869</v>
      </c>
      <c r="S495">
        <v>65</v>
      </c>
      <c r="T495">
        <v>5</v>
      </c>
      <c r="U495">
        <v>48.215686274509807</v>
      </c>
      <c r="V495">
        <v>187</v>
      </c>
      <c r="W495">
        <v>0</v>
      </c>
      <c r="X495">
        <v>42.251824817518248</v>
      </c>
      <c r="Y495">
        <v>264</v>
      </c>
      <c r="Z495">
        <v>0</v>
      </c>
      <c r="AA495">
        <v>77.646715328467153</v>
      </c>
      <c r="AB495">
        <v>200</v>
      </c>
      <c r="AC495">
        <v>0</v>
      </c>
      <c r="AD495">
        <v>37</v>
      </c>
      <c r="AE495">
        <v>124</v>
      </c>
      <c r="AF495">
        <v>0</v>
      </c>
      <c r="AG495">
        <v>84.736842105263165</v>
      </c>
      <c r="AH495">
        <v>221.4</v>
      </c>
      <c r="AI495">
        <v>0</v>
      </c>
      <c r="AL495">
        <v>624</v>
      </c>
      <c r="AM495">
        <v>224</v>
      </c>
      <c r="AN495">
        <v>848</v>
      </c>
      <c r="AO495">
        <v>13</v>
      </c>
      <c r="AP495">
        <v>340</v>
      </c>
    </row>
    <row r="496" spans="1:42" x14ac:dyDescent="0.3">
      <c r="A496" t="s">
        <v>1307</v>
      </c>
      <c r="B496" t="s">
        <v>76</v>
      </c>
      <c r="C496" t="s">
        <v>83</v>
      </c>
      <c r="D496" t="s">
        <v>294</v>
      </c>
      <c r="E496" t="s">
        <v>1012</v>
      </c>
      <c r="F496">
        <v>2014</v>
      </c>
      <c r="G496">
        <v>33.65</v>
      </c>
      <c r="H496">
        <v>3</v>
      </c>
      <c r="I496">
        <v>0</v>
      </c>
      <c r="J496">
        <v>61</v>
      </c>
      <c r="K496">
        <v>34</v>
      </c>
      <c r="L496" t="s">
        <v>979</v>
      </c>
      <c r="M496">
        <v>28.5</v>
      </c>
      <c r="N496">
        <v>209</v>
      </c>
      <c r="O496">
        <v>0</v>
      </c>
      <c r="P496">
        <v>49</v>
      </c>
      <c r="Q496">
        <v>68.650000000000006</v>
      </c>
      <c r="R496">
        <v>20.5</v>
      </c>
      <c r="S496">
        <v>122</v>
      </c>
      <c r="T496">
        <v>1</v>
      </c>
      <c r="U496">
        <v>48.215686274509807</v>
      </c>
      <c r="V496">
        <v>187</v>
      </c>
      <c r="W496">
        <v>0</v>
      </c>
      <c r="X496">
        <v>65.166666666666671</v>
      </c>
      <c r="Y496">
        <v>303</v>
      </c>
      <c r="Z496">
        <v>1</v>
      </c>
      <c r="AA496">
        <v>55.904545454545449</v>
      </c>
      <c r="AB496">
        <v>161.6</v>
      </c>
      <c r="AC496">
        <v>16.600000000000001</v>
      </c>
      <c r="AD496">
        <v>37.228571428571428</v>
      </c>
      <c r="AE496">
        <v>137</v>
      </c>
      <c r="AF496">
        <v>0</v>
      </c>
      <c r="AG496">
        <v>73.452857142857127</v>
      </c>
      <c r="AH496">
        <v>178.6</v>
      </c>
      <c r="AI496">
        <v>0</v>
      </c>
      <c r="AL496">
        <v>621</v>
      </c>
      <c r="AM496">
        <v>224</v>
      </c>
      <c r="AN496">
        <v>845</v>
      </c>
      <c r="AP496">
        <v>58</v>
      </c>
    </row>
    <row r="497" spans="1:42" x14ac:dyDescent="0.3">
      <c r="A497" t="s">
        <v>1416</v>
      </c>
      <c r="B497" t="s">
        <v>56</v>
      </c>
      <c r="C497" t="s">
        <v>1043</v>
      </c>
      <c r="D497" t="s">
        <v>12</v>
      </c>
      <c r="E497" t="s">
        <v>1036</v>
      </c>
      <c r="F497">
        <v>2014</v>
      </c>
      <c r="G497">
        <v>125</v>
      </c>
      <c r="H497">
        <v>3</v>
      </c>
      <c r="I497">
        <v>0</v>
      </c>
      <c r="J497">
        <v>16</v>
      </c>
      <c r="K497">
        <v>20</v>
      </c>
      <c r="L497" t="s">
        <v>1327</v>
      </c>
      <c r="M497">
        <v>28.532319391634982</v>
      </c>
      <c r="N497">
        <v>209</v>
      </c>
      <c r="O497">
        <v>0</v>
      </c>
      <c r="P497">
        <v>31.203883495145629</v>
      </c>
      <c r="Q497">
        <v>120.5689320388349</v>
      </c>
      <c r="R497">
        <v>2.6715641035106512</v>
      </c>
      <c r="S497">
        <v>162</v>
      </c>
      <c r="T497">
        <v>0</v>
      </c>
      <c r="U497">
        <v>25.6</v>
      </c>
      <c r="V497">
        <v>105</v>
      </c>
      <c r="W497">
        <v>0</v>
      </c>
      <c r="X497">
        <v>26.556862745098041</v>
      </c>
      <c r="Y497">
        <v>109</v>
      </c>
      <c r="Z497">
        <v>0</v>
      </c>
      <c r="AA497">
        <v>114.6301960784314</v>
      </c>
      <c r="AB497">
        <v>350</v>
      </c>
      <c r="AC497">
        <v>0</v>
      </c>
      <c r="AD497">
        <v>26.732758620689651</v>
      </c>
      <c r="AE497">
        <v>114</v>
      </c>
      <c r="AF497">
        <v>0</v>
      </c>
      <c r="AG497">
        <v>115.31896551724139</v>
      </c>
      <c r="AH497">
        <v>350</v>
      </c>
      <c r="AI497">
        <v>0</v>
      </c>
      <c r="AJ497">
        <v>46</v>
      </c>
      <c r="AK497">
        <v>144.19999999999999</v>
      </c>
      <c r="AL497">
        <v>618</v>
      </c>
      <c r="AM497">
        <v>224</v>
      </c>
      <c r="AN497">
        <v>842</v>
      </c>
      <c r="AO497">
        <v>128</v>
      </c>
      <c r="AP497">
        <v>320</v>
      </c>
    </row>
    <row r="498" spans="1:42" x14ac:dyDescent="0.3">
      <c r="A498" t="s">
        <v>1457</v>
      </c>
      <c r="B498" t="s">
        <v>4</v>
      </c>
      <c r="C498" t="s">
        <v>1043</v>
      </c>
      <c r="D498" t="s">
        <v>12</v>
      </c>
      <c r="E498" t="s">
        <v>1036</v>
      </c>
      <c r="F498">
        <v>2014</v>
      </c>
      <c r="G498">
        <v>145.5</v>
      </c>
      <c r="H498">
        <v>1</v>
      </c>
      <c r="I498">
        <v>1</v>
      </c>
      <c r="J498">
        <v>11</v>
      </c>
      <c r="K498">
        <v>16</v>
      </c>
      <c r="L498" t="s">
        <v>1327</v>
      </c>
      <c r="M498">
        <v>28.58015267175573</v>
      </c>
      <c r="N498">
        <v>209</v>
      </c>
      <c r="O498">
        <v>0</v>
      </c>
      <c r="P498">
        <v>31.203883495145629</v>
      </c>
      <c r="Q498">
        <v>120.5689320388349</v>
      </c>
      <c r="R498">
        <v>2.6237308233899062</v>
      </c>
      <c r="S498">
        <v>162</v>
      </c>
      <c r="T498">
        <v>0</v>
      </c>
      <c r="U498">
        <v>20.68965517241379</v>
      </c>
      <c r="V498">
        <v>73</v>
      </c>
      <c r="W498">
        <v>0</v>
      </c>
      <c r="X498">
        <v>26.556862745098041</v>
      </c>
      <c r="Y498">
        <v>109</v>
      </c>
      <c r="Z498">
        <v>0</v>
      </c>
      <c r="AA498">
        <v>114.6301960784314</v>
      </c>
      <c r="AB498">
        <v>350</v>
      </c>
      <c r="AC498">
        <v>0</v>
      </c>
      <c r="AD498">
        <v>26.732758620689651</v>
      </c>
      <c r="AE498">
        <v>114</v>
      </c>
      <c r="AF498">
        <v>0</v>
      </c>
      <c r="AG498">
        <v>115.31896551724139</v>
      </c>
      <c r="AH498">
        <v>350</v>
      </c>
      <c r="AI498">
        <v>0</v>
      </c>
      <c r="AJ498">
        <v>48</v>
      </c>
      <c r="AK498">
        <v>116.45</v>
      </c>
      <c r="AL498">
        <v>617</v>
      </c>
      <c r="AM498">
        <v>223</v>
      </c>
      <c r="AN498">
        <v>840</v>
      </c>
      <c r="AO498">
        <v>126</v>
      </c>
      <c r="AP498">
        <v>318</v>
      </c>
    </row>
    <row r="499" spans="1:42" x14ac:dyDescent="0.3">
      <c r="A499" t="s">
        <v>1333</v>
      </c>
      <c r="B499" t="s">
        <v>8</v>
      </c>
      <c r="C499" t="s">
        <v>1043</v>
      </c>
      <c r="D499" t="s">
        <v>12</v>
      </c>
      <c r="E499" t="s">
        <v>1036</v>
      </c>
      <c r="F499">
        <v>2014</v>
      </c>
      <c r="G499">
        <v>142.9</v>
      </c>
      <c r="H499">
        <v>4</v>
      </c>
      <c r="I499">
        <v>0</v>
      </c>
      <c r="J499">
        <v>21</v>
      </c>
      <c r="K499">
        <v>30</v>
      </c>
      <c r="L499" t="s">
        <v>1327</v>
      </c>
      <c r="M499">
        <v>28.574712643678161</v>
      </c>
      <c r="N499">
        <v>209</v>
      </c>
      <c r="O499">
        <v>0</v>
      </c>
      <c r="P499">
        <v>31.203883495145629</v>
      </c>
      <c r="Q499">
        <v>120.5689320388349</v>
      </c>
      <c r="R499">
        <v>2.629170851467471</v>
      </c>
      <c r="S499">
        <v>162</v>
      </c>
      <c r="T499">
        <v>0</v>
      </c>
      <c r="U499">
        <v>28.567567567567568</v>
      </c>
      <c r="V499">
        <v>74</v>
      </c>
      <c r="W499">
        <v>0</v>
      </c>
      <c r="X499">
        <v>26.556862745098041</v>
      </c>
      <c r="Y499">
        <v>109</v>
      </c>
      <c r="Z499">
        <v>0</v>
      </c>
      <c r="AA499">
        <v>114.6301960784314</v>
      </c>
      <c r="AB499">
        <v>350</v>
      </c>
      <c r="AC499">
        <v>0</v>
      </c>
      <c r="AD499">
        <v>26.732758620689651</v>
      </c>
      <c r="AE499">
        <v>114</v>
      </c>
      <c r="AF499">
        <v>0</v>
      </c>
      <c r="AG499">
        <v>115.31896551724139</v>
      </c>
      <c r="AH499">
        <v>350</v>
      </c>
      <c r="AI499">
        <v>0</v>
      </c>
      <c r="AJ499">
        <v>58</v>
      </c>
      <c r="AK499">
        <v>150.25</v>
      </c>
      <c r="AL499">
        <v>613</v>
      </c>
      <c r="AM499">
        <v>223</v>
      </c>
      <c r="AN499">
        <v>836</v>
      </c>
      <c r="AO499">
        <v>122</v>
      </c>
      <c r="AP499">
        <v>314</v>
      </c>
    </row>
    <row r="500" spans="1:42" x14ac:dyDescent="0.3">
      <c r="A500" t="s">
        <v>1439</v>
      </c>
      <c r="B500" t="s">
        <v>40</v>
      </c>
      <c r="C500" t="s">
        <v>1043</v>
      </c>
      <c r="D500" t="s">
        <v>173</v>
      </c>
      <c r="E500" t="s">
        <v>1036</v>
      </c>
      <c r="F500">
        <v>2014</v>
      </c>
      <c r="G500">
        <v>90</v>
      </c>
      <c r="H500">
        <v>2</v>
      </c>
      <c r="I500">
        <v>0</v>
      </c>
      <c r="J500">
        <v>20</v>
      </c>
      <c r="K500">
        <v>18</v>
      </c>
      <c r="L500" t="s">
        <v>1327</v>
      </c>
      <c r="M500">
        <v>28.61538461538462</v>
      </c>
      <c r="N500">
        <v>209</v>
      </c>
      <c r="O500">
        <v>0</v>
      </c>
      <c r="P500">
        <v>36.388888888888893</v>
      </c>
      <c r="Q500">
        <v>93.683333333333337</v>
      </c>
      <c r="R500">
        <v>7.773504273504269</v>
      </c>
      <c r="S500">
        <v>208</v>
      </c>
      <c r="T500">
        <v>0</v>
      </c>
      <c r="U500">
        <v>28.12903225806452</v>
      </c>
      <c r="V500">
        <v>79</v>
      </c>
      <c r="W500">
        <v>0</v>
      </c>
      <c r="X500">
        <v>26.556862745098041</v>
      </c>
      <c r="Y500">
        <v>109</v>
      </c>
      <c r="Z500">
        <v>0</v>
      </c>
      <c r="AA500">
        <v>114.6301960784314</v>
      </c>
      <c r="AB500">
        <v>350</v>
      </c>
      <c r="AC500">
        <v>0</v>
      </c>
      <c r="AD500">
        <v>26.732758620689651</v>
      </c>
      <c r="AE500">
        <v>114</v>
      </c>
      <c r="AF500">
        <v>0</v>
      </c>
      <c r="AG500">
        <v>115.31896551724139</v>
      </c>
      <c r="AH500">
        <v>350</v>
      </c>
      <c r="AI500">
        <v>0</v>
      </c>
      <c r="AJ500">
        <v>40</v>
      </c>
      <c r="AK500">
        <v>210.5</v>
      </c>
      <c r="AL500">
        <v>611</v>
      </c>
      <c r="AM500">
        <v>223</v>
      </c>
      <c r="AN500">
        <v>834</v>
      </c>
      <c r="AO500">
        <v>28</v>
      </c>
      <c r="AP500">
        <v>312</v>
      </c>
    </row>
    <row r="501" spans="1:42" x14ac:dyDescent="0.3">
      <c r="A501" t="s">
        <v>1275</v>
      </c>
      <c r="B501" t="s">
        <v>4</v>
      </c>
      <c r="C501" t="s">
        <v>1043</v>
      </c>
      <c r="D501" t="s">
        <v>41</v>
      </c>
      <c r="E501" t="s">
        <v>1036</v>
      </c>
      <c r="F501">
        <v>2014</v>
      </c>
      <c r="G501">
        <v>210.5</v>
      </c>
      <c r="H501">
        <v>3</v>
      </c>
      <c r="I501">
        <v>4</v>
      </c>
      <c r="J501">
        <v>19</v>
      </c>
      <c r="K501">
        <v>40</v>
      </c>
      <c r="L501" t="s">
        <v>979</v>
      </c>
      <c r="M501">
        <v>28.571428571428569</v>
      </c>
      <c r="N501">
        <v>209</v>
      </c>
      <c r="O501">
        <v>0</v>
      </c>
      <c r="P501">
        <v>34.043478260869563</v>
      </c>
      <c r="Q501">
        <v>108.0891304347826</v>
      </c>
      <c r="R501">
        <v>5.4720496894409898</v>
      </c>
      <c r="S501">
        <v>95</v>
      </c>
      <c r="T501">
        <v>0</v>
      </c>
      <c r="U501">
        <v>20.68965517241379</v>
      </c>
      <c r="V501">
        <v>73</v>
      </c>
      <c r="W501">
        <v>0</v>
      </c>
      <c r="X501">
        <v>26.556862745098041</v>
      </c>
      <c r="Y501">
        <v>109</v>
      </c>
      <c r="Z501">
        <v>0</v>
      </c>
      <c r="AA501">
        <v>114.6301960784314</v>
      </c>
      <c r="AB501">
        <v>350</v>
      </c>
      <c r="AC501">
        <v>0</v>
      </c>
      <c r="AD501">
        <v>26.732758620689651</v>
      </c>
      <c r="AE501">
        <v>114</v>
      </c>
      <c r="AF501">
        <v>0</v>
      </c>
      <c r="AG501">
        <v>115.31896551724139</v>
      </c>
      <c r="AH501">
        <v>350</v>
      </c>
      <c r="AI501">
        <v>0</v>
      </c>
      <c r="AJ501">
        <v>51</v>
      </c>
      <c r="AK501">
        <v>113.3</v>
      </c>
      <c r="AL501">
        <v>608</v>
      </c>
      <c r="AM501">
        <v>219</v>
      </c>
      <c r="AN501">
        <v>827</v>
      </c>
      <c r="AO501">
        <v>20</v>
      </c>
      <c r="AP501">
        <v>305</v>
      </c>
    </row>
    <row r="502" spans="1:42" x14ac:dyDescent="0.3">
      <c r="A502" t="s">
        <v>1217</v>
      </c>
      <c r="B502" t="s">
        <v>11</v>
      </c>
      <c r="C502" t="s">
        <v>1043</v>
      </c>
      <c r="D502" t="s">
        <v>78</v>
      </c>
      <c r="E502" t="s">
        <v>1036</v>
      </c>
      <c r="F502">
        <v>2014</v>
      </c>
      <c r="G502">
        <v>113.3</v>
      </c>
      <c r="H502">
        <v>4</v>
      </c>
      <c r="I502">
        <v>2</v>
      </c>
      <c r="J502">
        <v>45</v>
      </c>
      <c r="K502">
        <v>51</v>
      </c>
      <c r="L502" t="s">
        <v>979</v>
      </c>
      <c r="M502">
        <v>28.484496124031011</v>
      </c>
      <c r="N502">
        <v>209</v>
      </c>
      <c r="O502">
        <v>0</v>
      </c>
      <c r="P502">
        <v>44.222222222222221</v>
      </c>
      <c r="Q502">
        <v>102.3</v>
      </c>
      <c r="R502">
        <v>15.73772609819121</v>
      </c>
      <c r="S502">
        <v>119</v>
      </c>
      <c r="T502">
        <v>1</v>
      </c>
      <c r="U502">
        <v>31.852941176470591</v>
      </c>
      <c r="V502">
        <v>109</v>
      </c>
      <c r="W502">
        <v>0</v>
      </c>
      <c r="X502">
        <v>26.556862745098041</v>
      </c>
      <c r="Y502">
        <v>109</v>
      </c>
      <c r="Z502">
        <v>0</v>
      </c>
      <c r="AA502">
        <v>114.6301960784314</v>
      </c>
      <c r="AB502">
        <v>350</v>
      </c>
      <c r="AC502">
        <v>0</v>
      </c>
      <c r="AD502">
        <v>26.732758620689651</v>
      </c>
      <c r="AE502">
        <v>114</v>
      </c>
      <c r="AF502">
        <v>0</v>
      </c>
      <c r="AG502">
        <v>115.31896551724139</v>
      </c>
      <c r="AH502">
        <v>350</v>
      </c>
      <c r="AI502">
        <v>0</v>
      </c>
      <c r="AJ502">
        <v>33</v>
      </c>
      <c r="AK502">
        <v>166.65</v>
      </c>
      <c r="AL502">
        <v>604</v>
      </c>
      <c r="AM502">
        <v>217</v>
      </c>
      <c r="AN502">
        <v>821</v>
      </c>
      <c r="AO502">
        <v>11</v>
      </c>
      <c r="AP502">
        <v>299</v>
      </c>
    </row>
    <row r="503" spans="1:42" x14ac:dyDescent="0.3">
      <c r="A503" t="s">
        <v>1483</v>
      </c>
      <c r="B503" t="s">
        <v>53</v>
      </c>
      <c r="C503" t="s">
        <v>1043</v>
      </c>
      <c r="D503" t="s">
        <v>54</v>
      </c>
      <c r="E503" t="s">
        <v>1036</v>
      </c>
      <c r="F503">
        <v>2014</v>
      </c>
      <c r="G503">
        <v>233.3</v>
      </c>
      <c r="H503">
        <v>3</v>
      </c>
      <c r="I503">
        <v>0</v>
      </c>
      <c r="J503">
        <v>6</v>
      </c>
      <c r="K503">
        <v>14</v>
      </c>
      <c r="L503" t="s">
        <v>1327</v>
      </c>
      <c r="M503">
        <v>28.54085603112841</v>
      </c>
      <c r="N503">
        <v>209</v>
      </c>
      <c r="O503">
        <v>0</v>
      </c>
      <c r="P503">
        <v>30</v>
      </c>
      <c r="Q503">
        <v>129.072</v>
      </c>
      <c r="R503">
        <v>1.4591439688715939</v>
      </c>
      <c r="S503">
        <v>76</v>
      </c>
      <c r="T503">
        <v>1</v>
      </c>
      <c r="U503">
        <v>19.375</v>
      </c>
      <c r="V503">
        <v>70</v>
      </c>
      <c r="W503">
        <v>1</v>
      </c>
      <c r="X503">
        <v>26.556862745098041</v>
      </c>
      <c r="Y503">
        <v>109</v>
      </c>
      <c r="Z503">
        <v>0</v>
      </c>
      <c r="AA503">
        <v>114.6301960784314</v>
      </c>
      <c r="AB503">
        <v>350</v>
      </c>
      <c r="AC503">
        <v>0</v>
      </c>
      <c r="AD503">
        <v>26.732758620689651</v>
      </c>
      <c r="AE503">
        <v>114</v>
      </c>
      <c r="AF503">
        <v>0</v>
      </c>
      <c r="AG503">
        <v>115.31896551724139</v>
      </c>
      <c r="AH503">
        <v>350</v>
      </c>
      <c r="AI503">
        <v>0</v>
      </c>
      <c r="AJ503">
        <v>19</v>
      </c>
      <c r="AK503">
        <v>100</v>
      </c>
      <c r="AL503">
        <v>601</v>
      </c>
      <c r="AM503">
        <v>217</v>
      </c>
      <c r="AN503">
        <v>818</v>
      </c>
      <c r="AO503">
        <v>44</v>
      </c>
      <c r="AP503">
        <v>296</v>
      </c>
    </row>
    <row r="504" spans="1:42" x14ac:dyDescent="0.3">
      <c r="A504" t="s">
        <v>1426</v>
      </c>
      <c r="B504" t="s">
        <v>56</v>
      </c>
      <c r="C504" t="s">
        <v>1043</v>
      </c>
      <c r="D504" t="s">
        <v>12</v>
      </c>
      <c r="E504" t="s">
        <v>1036</v>
      </c>
      <c r="F504">
        <v>2014</v>
      </c>
      <c r="G504">
        <v>100</v>
      </c>
      <c r="H504">
        <v>1</v>
      </c>
      <c r="I504">
        <v>0</v>
      </c>
      <c r="J504">
        <v>19</v>
      </c>
      <c r="K504">
        <v>19</v>
      </c>
      <c r="L504" t="s">
        <v>1327</v>
      </c>
      <c r="M504">
        <v>28.578125</v>
      </c>
      <c r="N504">
        <v>209</v>
      </c>
      <c r="O504">
        <v>0</v>
      </c>
      <c r="P504">
        <v>31.203883495145629</v>
      </c>
      <c r="Q504">
        <v>120.5689320388349</v>
      </c>
      <c r="R504">
        <v>2.6257584951456319</v>
      </c>
      <c r="S504">
        <v>162</v>
      </c>
      <c r="T504">
        <v>0</v>
      </c>
      <c r="U504">
        <v>25.6</v>
      </c>
      <c r="V504">
        <v>105</v>
      </c>
      <c r="W504">
        <v>0</v>
      </c>
      <c r="X504">
        <v>26.556862745098041</v>
      </c>
      <c r="Y504">
        <v>109</v>
      </c>
      <c r="Z504">
        <v>0</v>
      </c>
      <c r="AA504">
        <v>114.6301960784314</v>
      </c>
      <c r="AB504">
        <v>350</v>
      </c>
      <c r="AC504">
        <v>0</v>
      </c>
      <c r="AD504">
        <v>26.732758620689651</v>
      </c>
      <c r="AE504">
        <v>114</v>
      </c>
      <c r="AF504">
        <v>0</v>
      </c>
      <c r="AG504">
        <v>115.31896551724139</v>
      </c>
      <c r="AH504">
        <v>350</v>
      </c>
      <c r="AI504">
        <v>0</v>
      </c>
      <c r="AJ504">
        <v>59</v>
      </c>
      <c r="AK504">
        <v>168.6</v>
      </c>
      <c r="AL504">
        <v>600</v>
      </c>
      <c r="AM504">
        <v>217</v>
      </c>
      <c r="AN504">
        <v>817</v>
      </c>
      <c r="AO504">
        <v>121</v>
      </c>
      <c r="AP504">
        <v>295</v>
      </c>
    </row>
    <row r="505" spans="1:42" x14ac:dyDescent="0.3">
      <c r="A505" t="s">
        <v>1167</v>
      </c>
      <c r="B505" t="s">
        <v>60</v>
      </c>
      <c r="C505" t="s">
        <v>1043</v>
      </c>
      <c r="D505" t="s">
        <v>12</v>
      </c>
      <c r="E505" t="s">
        <v>1036</v>
      </c>
      <c r="F505">
        <v>2014</v>
      </c>
      <c r="G505">
        <v>168.6</v>
      </c>
      <c r="H505">
        <v>3</v>
      </c>
      <c r="I505">
        <v>4</v>
      </c>
      <c r="J505">
        <v>35</v>
      </c>
      <c r="K505">
        <v>59</v>
      </c>
      <c r="L505" t="s">
        <v>979</v>
      </c>
      <c r="M505">
        <v>28.45882352941176</v>
      </c>
      <c r="N505">
        <v>209</v>
      </c>
      <c r="O505">
        <v>0</v>
      </c>
      <c r="P505">
        <v>31.203883495145629</v>
      </c>
      <c r="Q505">
        <v>120.5689320388349</v>
      </c>
      <c r="R505">
        <v>2.7450599657338688</v>
      </c>
      <c r="S505">
        <v>162</v>
      </c>
      <c r="T505">
        <v>0</v>
      </c>
      <c r="U505">
        <v>25.96875</v>
      </c>
      <c r="V505">
        <v>94</v>
      </c>
      <c r="W505">
        <v>0</v>
      </c>
      <c r="X505">
        <v>26.556862745098041</v>
      </c>
      <c r="Y505">
        <v>109</v>
      </c>
      <c r="Z505">
        <v>0</v>
      </c>
      <c r="AA505">
        <v>114.6301960784314</v>
      </c>
      <c r="AB505">
        <v>350</v>
      </c>
      <c r="AC505">
        <v>0</v>
      </c>
      <c r="AD505">
        <v>26.732758620689651</v>
      </c>
      <c r="AE505">
        <v>114</v>
      </c>
      <c r="AF505">
        <v>0</v>
      </c>
      <c r="AG505">
        <v>115.31896551724139</v>
      </c>
      <c r="AH505">
        <v>350</v>
      </c>
      <c r="AI505">
        <v>0</v>
      </c>
      <c r="AJ505">
        <v>39</v>
      </c>
      <c r="AK505">
        <v>114.7</v>
      </c>
      <c r="AL505">
        <v>597</v>
      </c>
      <c r="AM505">
        <v>213</v>
      </c>
      <c r="AN505">
        <v>810</v>
      </c>
      <c r="AO505">
        <v>114</v>
      </c>
      <c r="AP505">
        <v>288</v>
      </c>
    </row>
    <row r="506" spans="1:42" x14ac:dyDescent="0.3">
      <c r="A506" t="s">
        <v>1278</v>
      </c>
      <c r="B506" t="s">
        <v>40</v>
      </c>
      <c r="C506" t="s">
        <v>1043</v>
      </c>
      <c r="D506" t="s">
        <v>12</v>
      </c>
      <c r="E506" t="s">
        <v>1036</v>
      </c>
      <c r="F506">
        <v>2014</v>
      </c>
      <c r="G506">
        <v>114.7</v>
      </c>
      <c r="H506">
        <v>4</v>
      </c>
      <c r="I506">
        <v>2</v>
      </c>
      <c r="J506">
        <v>34</v>
      </c>
      <c r="K506">
        <v>39</v>
      </c>
      <c r="L506" t="s">
        <v>979</v>
      </c>
      <c r="M506">
        <v>28.41732283464567</v>
      </c>
      <c r="N506">
        <v>209</v>
      </c>
      <c r="O506">
        <v>0</v>
      </c>
      <c r="P506">
        <v>31.203883495145629</v>
      </c>
      <c r="Q506">
        <v>120.5689320388349</v>
      </c>
      <c r="R506">
        <v>2.786560660499962</v>
      </c>
      <c r="S506">
        <v>162</v>
      </c>
      <c r="T506">
        <v>0</v>
      </c>
      <c r="U506">
        <v>28.12903225806452</v>
      </c>
      <c r="V506">
        <v>79</v>
      </c>
      <c r="W506">
        <v>0</v>
      </c>
      <c r="X506">
        <v>26.556862745098041</v>
      </c>
      <c r="Y506">
        <v>109</v>
      </c>
      <c r="Z506">
        <v>0</v>
      </c>
      <c r="AA506">
        <v>114.6301960784314</v>
      </c>
      <c r="AB506">
        <v>350</v>
      </c>
      <c r="AC506">
        <v>0</v>
      </c>
      <c r="AD506">
        <v>26.732758620689651</v>
      </c>
      <c r="AE506">
        <v>114</v>
      </c>
      <c r="AF506">
        <v>0</v>
      </c>
      <c r="AG506">
        <v>115.31896551724139</v>
      </c>
      <c r="AH506">
        <v>350</v>
      </c>
      <c r="AI506">
        <v>0</v>
      </c>
      <c r="AJ506">
        <v>1</v>
      </c>
      <c r="AK506">
        <v>20</v>
      </c>
      <c r="AL506">
        <v>593</v>
      </c>
      <c r="AM506">
        <v>211</v>
      </c>
      <c r="AN506">
        <v>804</v>
      </c>
      <c r="AO506">
        <v>108</v>
      </c>
      <c r="AP506">
        <v>282</v>
      </c>
    </row>
    <row r="507" spans="1:42" x14ac:dyDescent="0.3">
      <c r="A507" t="s">
        <v>1712</v>
      </c>
      <c r="B507" t="s">
        <v>53</v>
      </c>
      <c r="C507" t="s">
        <v>1043</v>
      </c>
      <c r="D507" t="s">
        <v>67</v>
      </c>
      <c r="E507" t="s">
        <v>1047</v>
      </c>
      <c r="F507">
        <v>2014</v>
      </c>
      <c r="G507">
        <v>20</v>
      </c>
      <c r="H507">
        <v>0</v>
      </c>
      <c r="I507">
        <v>0</v>
      </c>
      <c r="J507">
        <v>5</v>
      </c>
      <c r="K507">
        <v>1</v>
      </c>
      <c r="L507" t="s">
        <v>1327</v>
      </c>
      <c r="M507">
        <v>28.525691699604739</v>
      </c>
      <c r="N507">
        <v>209</v>
      </c>
      <c r="O507">
        <v>0</v>
      </c>
      <c r="P507">
        <v>35.03846153846154</v>
      </c>
      <c r="Q507">
        <v>104.65</v>
      </c>
      <c r="R507">
        <v>6.5127698388567978</v>
      </c>
      <c r="S507">
        <v>111</v>
      </c>
      <c r="T507">
        <v>0</v>
      </c>
      <c r="U507">
        <v>19.375</v>
      </c>
      <c r="V507">
        <v>70</v>
      </c>
      <c r="W507">
        <v>1</v>
      </c>
      <c r="X507">
        <v>26.556862745098041</v>
      </c>
      <c r="Y507">
        <v>109</v>
      </c>
      <c r="Z507">
        <v>0</v>
      </c>
      <c r="AA507">
        <v>114.6301960784314</v>
      </c>
      <c r="AB507">
        <v>350</v>
      </c>
      <c r="AC507">
        <v>0</v>
      </c>
      <c r="AD507">
        <v>27.9758064516129</v>
      </c>
      <c r="AE507">
        <v>105</v>
      </c>
      <c r="AF507">
        <v>0</v>
      </c>
      <c r="AG507">
        <v>110.46935483870971</v>
      </c>
      <c r="AH507">
        <v>280</v>
      </c>
      <c r="AI507">
        <v>0</v>
      </c>
      <c r="AJ507">
        <v>54</v>
      </c>
      <c r="AK507">
        <v>101</v>
      </c>
      <c r="AL507">
        <v>593</v>
      </c>
      <c r="AM507">
        <v>211</v>
      </c>
      <c r="AN507">
        <v>804</v>
      </c>
      <c r="AO507">
        <v>5</v>
      </c>
      <c r="AP507">
        <v>282</v>
      </c>
    </row>
    <row r="508" spans="1:42" x14ac:dyDescent="0.3">
      <c r="A508" t="s">
        <v>1654</v>
      </c>
      <c r="B508" t="s">
        <v>8</v>
      </c>
      <c r="C508" t="s">
        <v>1043</v>
      </c>
      <c r="D508" t="s">
        <v>338</v>
      </c>
      <c r="E508" t="s">
        <v>1047</v>
      </c>
      <c r="F508">
        <v>2014</v>
      </c>
      <c r="G508">
        <v>80</v>
      </c>
      <c r="H508">
        <v>0</v>
      </c>
      <c r="I508">
        <v>0</v>
      </c>
      <c r="J508">
        <v>5</v>
      </c>
      <c r="K508">
        <v>4</v>
      </c>
      <c r="L508" t="s">
        <v>1327</v>
      </c>
      <c r="M508">
        <v>28.62301587301587</v>
      </c>
      <c r="N508">
        <v>209</v>
      </c>
      <c r="O508">
        <v>0</v>
      </c>
      <c r="P508">
        <v>8.6</v>
      </c>
      <c r="Q508">
        <v>99.26</v>
      </c>
      <c r="R508">
        <v>-20.023015873015868</v>
      </c>
      <c r="S508">
        <v>22</v>
      </c>
      <c r="T508">
        <v>4</v>
      </c>
      <c r="U508">
        <v>28.567567567567568</v>
      </c>
      <c r="V508">
        <v>74</v>
      </c>
      <c r="W508">
        <v>0</v>
      </c>
      <c r="X508">
        <v>26.556862745098041</v>
      </c>
      <c r="Y508">
        <v>109</v>
      </c>
      <c r="Z508">
        <v>0</v>
      </c>
      <c r="AA508">
        <v>114.6301960784314</v>
      </c>
      <c r="AB508">
        <v>350</v>
      </c>
      <c r="AC508">
        <v>0</v>
      </c>
      <c r="AD508">
        <v>27.9758064516129</v>
      </c>
      <c r="AE508">
        <v>105</v>
      </c>
      <c r="AF508">
        <v>0</v>
      </c>
      <c r="AG508">
        <v>110.46935483870971</v>
      </c>
      <c r="AH508">
        <v>280</v>
      </c>
      <c r="AI508">
        <v>0</v>
      </c>
      <c r="AJ508">
        <v>50</v>
      </c>
      <c r="AK508">
        <v>122</v>
      </c>
      <c r="AL508">
        <v>593</v>
      </c>
      <c r="AM508">
        <v>211</v>
      </c>
      <c r="AN508">
        <v>804</v>
      </c>
      <c r="AP508">
        <v>282</v>
      </c>
    </row>
    <row r="509" spans="1:42" x14ac:dyDescent="0.3">
      <c r="A509" t="s">
        <v>1223</v>
      </c>
      <c r="B509" t="s">
        <v>56</v>
      </c>
      <c r="C509" t="s">
        <v>1043</v>
      </c>
      <c r="D509" t="s">
        <v>67</v>
      </c>
      <c r="E509" t="s">
        <v>1047</v>
      </c>
      <c r="F509">
        <v>2014</v>
      </c>
      <c r="G509">
        <v>122</v>
      </c>
      <c r="H509">
        <v>3</v>
      </c>
      <c r="I509">
        <v>2</v>
      </c>
      <c r="J509">
        <v>41</v>
      </c>
      <c r="K509">
        <v>50</v>
      </c>
      <c r="L509" t="s">
        <v>979</v>
      </c>
      <c r="M509">
        <v>28.53784860557769</v>
      </c>
      <c r="N509">
        <v>209</v>
      </c>
      <c r="O509">
        <v>0</v>
      </c>
      <c r="P509">
        <v>35.03846153846154</v>
      </c>
      <c r="Q509">
        <v>104.65</v>
      </c>
      <c r="R509">
        <v>6.5006129328838496</v>
      </c>
      <c r="S509">
        <v>111</v>
      </c>
      <c r="T509">
        <v>0</v>
      </c>
      <c r="U509">
        <v>25.6</v>
      </c>
      <c r="V509">
        <v>105</v>
      </c>
      <c r="W509">
        <v>0</v>
      </c>
      <c r="X509">
        <v>26.556862745098041</v>
      </c>
      <c r="Y509">
        <v>109</v>
      </c>
      <c r="Z509">
        <v>0</v>
      </c>
      <c r="AA509">
        <v>114.6301960784314</v>
      </c>
      <c r="AB509">
        <v>350</v>
      </c>
      <c r="AC509">
        <v>0</v>
      </c>
      <c r="AD509">
        <v>27.9758064516129</v>
      </c>
      <c r="AE509">
        <v>105</v>
      </c>
      <c r="AF509">
        <v>0</v>
      </c>
      <c r="AG509">
        <v>110.46935483870971</v>
      </c>
      <c r="AH509">
        <v>280</v>
      </c>
      <c r="AI509">
        <v>0</v>
      </c>
      <c r="AL509">
        <v>590</v>
      </c>
      <c r="AM509">
        <v>209</v>
      </c>
      <c r="AN509">
        <v>799</v>
      </c>
      <c r="AO509">
        <v>0</v>
      </c>
      <c r="AP509">
        <v>277</v>
      </c>
    </row>
    <row r="510" spans="1:42" x14ac:dyDescent="0.3">
      <c r="A510" t="s">
        <v>1694</v>
      </c>
      <c r="B510" t="s">
        <v>60</v>
      </c>
      <c r="C510" t="s">
        <v>1043</v>
      </c>
      <c r="D510" t="s">
        <v>67</v>
      </c>
      <c r="E510" t="s">
        <v>1047</v>
      </c>
      <c r="F510">
        <v>2014</v>
      </c>
      <c r="G510">
        <v>40</v>
      </c>
      <c r="H510">
        <v>0</v>
      </c>
      <c r="I510">
        <v>0</v>
      </c>
      <c r="J510">
        <v>5</v>
      </c>
      <c r="K510">
        <v>2</v>
      </c>
      <c r="L510" t="s">
        <v>1327</v>
      </c>
      <c r="M510">
        <v>28.643999999999998</v>
      </c>
      <c r="N510">
        <v>209</v>
      </c>
      <c r="O510">
        <v>0</v>
      </c>
      <c r="P510">
        <v>35.03846153846154</v>
      </c>
      <c r="Q510">
        <v>104.65</v>
      </c>
      <c r="R510">
        <v>6.3944615384615417</v>
      </c>
      <c r="S510">
        <v>111</v>
      </c>
      <c r="T510">
        <v>0</v>
      </c>
      <c r="U510">
        <v>25.96875</v>
      </c>
      <c r="V510">
        <v>94</v>
      </c>
      <c r="W510">
        <v>0</v>
      </c>
      <c r="X510">
        <v>26.556862745098041</v>
      </c>
      <c r="Y510">
        <v>109</v>
      </c>
      <c r="Z510">
        <v>0</v>
      </c>
      <c r="AA510">
        <v>114.6301960784314</v>
      </c>
      <c r="AB510">
        <v>350</v>
      </c>
      <c r="AC510">
        <v>0</v>
      </c>
      <c r="AD510">
        <v>27.9758064516129</v>
      </c>
      <c r="AE510">
        <v>105</v>
      </c>
      <c r="AF510">
        <v>0</v>
      </c>
      <c r="AG510">
        <v>110.46935483870971</v>
      </c>
      <c r="AH510">
        <v>280</v>
      </c>
      <c r="AI510">
        <v>0</v>
      </c>
      <c r="AJ510">
        <v>27</v>
      </c>
      <c r="AK510">
        <v>135</v>
      </c>
      <c r="AL510">
        <v>590</v>
      </c>
      <c r="AM510">
        <v>209</v>
      </c>
      <c r="AN510">
        <v>799</v>
      </c>
      <c r="AP510">
        <v>277</v>
      </c>
    </row>
    <row r="511" spans="1:42" x14ac:dyDescent="0.3">
      <c r="A511" t="s">
        <v>1357</v>
      </c>
      <c r="B511" t="s">
        <v>11</v>
      </c>
      <c r="C511" t="s">
        <v>1043</v>
      </c>
      <c r="D511" t="s">
        <v>333</v>
      </c>
      <c r="E511" t="s">
        <v>1047</v>
      </c>
      <c r="F511">
        <v>2014</v>
      </c>
      <c r="G511">
        <v>135</v>
      </c>
      <c r="H511">
        <v>0</v>
      </c>
      <c r="I511">
        <v>1</v>
      </c>
      <c r="J511">
        <v>20</v>
      </c>
      <c r="K511">
        <v>27</v>
      </c>
      <c r="L511" t="s">
        <v>1327</v>
      </c>
      <c r="M511">
        <v>28.650602409638559</v>
      </c>
      <c r="N511">
        <v>209</v>
      </c>
      <c r="O511">
        <v>0</v>
      </c>
      <c r="P511">
        <v>36.090909090909093</v>
      </c>
      <c r="Q511">
        <v>121.42727272727269</v>
      </c>
      <c r="R511">
        <v>7.4403066812705383</v>
      </c>
      <c r="S511">
        <v>80</v>
      </c>
      <c r="T511">
        <v>5</v>
      </c>
      <c r="U511">
        <v>31.852941176470591</v>
      </c>
      <c r="V511">
        <v>109</v>
      </c>
      <c r="W511">
        <v>0</v>
      </c>
      <c r="X511">
        <v>26.556862745098041</v>
      </c>
      <c r="Y511">
        <v>109</v>
      </c>
      <c r="Z511">
        <v>0</v>
      </c>
      <c r="AA511">
        <v>114.6301960784314</v>
      </c>
      <c r="AB511">
        <v>350</v>
      </c>
      <c r="AC511">
        <v>0</v>
      </c>
      <c r="AD511">
        <v>27.9758064516129</v>
      </c>
      <c r="AE511">
        <v>105</v>
      </c>
      <c r="AF511">
        <v>0</v>
      </c>
      <c r="AG511">
        <v>110.46935483870971</v>
      </c>
      <c r="AH511">
        <v>280</v>
      </c>
      <c r="AI511">
        <v>0</v>
      </c>
      <c r="AL511">
        <v>590</v>
      </c>
      <c r="AM511">
        <v>208</v>
      </c>
      <c r="AN511">
        <v>798</v>
      </c>
      <c r="AP511">
        <v>276</v>
      </c>
    </row>
    <row r="512" spans="1:42" x14ac:dyDescent="0.3">
      <c r="A512" t="s">
        <v>1339</v>
      </c>
      <c r="B512" t="s">
        <v>115</v>
      </c>
      <c r="C512" t="s">
        <v>5</v>
      </c>
      <c r="D512" t="s">
        <v>259</v>
      </c>
      <c r="E512" t="s">
        <v>1047</v>
      </c>
      <c r="F512">
        <v>2014</v>
      </c>
      <c r="G512">
        <v>111.5</v>
      </c>
      <c r="H512">
        <v>3</v>
      </c>
      <c r="I512">
        <v>0</v>
      </c>
      <c r="J512">
        <v>26</v>
      </c>
      <c r="K512">
        <v>29</v>
      </c>
      <c r="L512" t="s">
        <v>1327</v>
      </c>
      <c r="M512">
        <v>28.6491935483871</v>
      </c>
      <c r="N512">
        <v>209</v>
      </c>
      <c r="O512">
        <v>0</v>
      </c>
      <c r="P512">
        <v>31</v>
      </c>
      <c r="Q512">
        <v>95.613043478260863</v>
      </c>
      <c r="R512">
        <v>2.3508064516129039</v>
      </c>
      <c r="S512">
        <v>83</v>
      </c>
      <c r="T512">
        <v>0</v>
      </c>
      <c r="U512">
        <v>38.236842105263158</v>
      </c>
      <c r="V512">
        <v>264</v>
      </c>
      <c r="W512">
        <v>0</v>
      </c>
      <c r="X512">
        <v>28.189024390243901</v>
      </c>
      <c r="Y512">
        <v>121</v>
      </c>
      <c r="Z512">
        <v>0</v>
      </c>
      <c r="AA512">
        <v>116.45060975609761</v>
      </c>
      <c r="AB512">
        <v>274.39999999999998</v>
      </c>
      <c r="AC512">
        <v>0</v>
      </c>
      <c r="AD512">
        <v>27.9758064516129</v>
      </c>
      <c r="AE512">
        <v>105</v>
      </c>
      <c r="AF512">
        <v>0</v>
      </c>
      <c r="AG512">
        <v>110.46935483870971</v>
      </c>
      <c r="AH512">
        <v>280</v>
      </c>
      <c r="AI512">
        <v>0</v>
      </c>
      <c r="AJ512">
        <v>24</v>
      </c>
      <c r="AK512">
        <v>184.6</v>
      </c>
      <c r="AL512">
        <v>587</v>
      </c>
      <c r="AM512">
        <v>208</v>
      </c>
      <c r="AN512">
        <v>795</v>
      </c>
      <c r="AO512">
        <v>45</v>
      </c>
      <c r="AP512">
        <v>121</v>
      </c>
    </row>
    <row r="513" spans="1:42" x14ac:dyDescent="0.3">
      <c r="A513" t="s">
        <v>1384</v>
      </c>
      <c r="B513" t="s">
        <v>24</v>
      </c>
      <c r="C513" t="s">
        <v>5</v>
      </c>
      <c r="D513" t="s">
        <v>259</v>
      </c>
      <c r="E513" t="s">
        <v>1047</v>
      </c>
      <c r="F513">
        <v>2014</v>
      </c>
      <c r="G513">
        <v>184.6</v>
      </c>
      <c r="H513">
        <v>4</v>
      </c>
      <c r="I513">
        <v>1</v>
      </c>
      <c r="J513">
        <v>13</v>
      </c>
      <c r="K513">
        <v>24</v>
      </c>
      <c r="L513" t="s">
        <v>1327</v>
      </c>
      <c r="M513">
        <v>28.66801619433198</v>
      </c>
      <c r="N513">
        <v>209</v>
      </c>
      <c r="O513">
        <v>0</v>
      </c>
      <c r="P513">
        <v>31</v>
      </c>
      <c r="Q513">
        <v>95.613043478260863</v>
      </c>
      <c r="R513">
        <v>2.3319838056680169</v>
      </c>
      <c r="S513">
        <v>83</v>
      </c>
      <c r="T513">
        <v>0</v>
      </c>
      <c r="U513">
        <v>37.163636363636357</v>
      </c>
      <c r="V513">
        <v>303</v>
      </c>
      <c r="W513">
        <v>0</v>
      </c>
      <c r="X513">
        <v>28.189024390243901</v>
      </c>
      <c r="Y513">
        <v>121</v>
      </c>
      <c r="Z513">
        <v>0</v>
      </c>
      <c r="AA513">
        <v>116.45060975609761</v>
      </c>
      <c r="AB513">
        <v>274.39999999999998</v>
      </c>
      <c r="AC513">
        <v>0</v>
      </c>
      <c r="AD513">
        <v>27.9758064516129</v>
      </c>
      <c r="AE513">
        <v>105</v>
      </c>
      <c r="AF513">
        <v>0</v>
      </c>
      <c r="AG513">
        <v>110.46935483870971</v>
      </c>
      <c r="AH513">
        <v>280</v>
      </c>
      <c r="AI513">
        <v>0</v>
      </c>
      <c r="AJ513">
        <v>5</v>
      </c>
      <c r="AK513">
        <v>166.7</v>
      </c>
      <c r="AL513">
        <v>583</v>
      </c>
      <c r="AM513">
        <v>207</v>
      </c>
      <c r="AN513">
        <v>790</v>
      </c>
      <c r="AO513">
        <v>40</v>
      </c>
      <c r="AP513">
        <v>116</v>
      </c>
    </row>
    <row r="514" spans="1:42" x14ac:dyDescent="0.3">
      <c r="A514" t="s">
        <v>1633</v>
      </c>
      <c r="B514" t="s">
        <v>32</v>
      </c>
      <c r="C514" t="s">
        <v>5</v>
      </c>
      <c r="D514" t="s">
        <v>259</v>
      </c>
      <c r="E514" t="s">
        <v>1016</v>
      </c>
      <c r="F514">
        <v>2014</v>
      </c>
      <c r="G514">
        <v>166.7</v>
      </c>
      <c r="H514">
        <v>1</v>
      </c>
      <c r="I514">
        <v>0</v>
      </c>
      <c r="J514">
        <v>3</v>
      </c>
      <c r="K514">
        <v>5</v>
      </c>
      <c r="L514" t="s">
        <v>1327</v>
      </c>
      <c r="M514">
        <v>28.76422764227642</v>
      </c>
      <c r="N514">
        <v>209</v>
      </c>
      <c r="O514">
        <v>0</v>
      </c>
      <c r="P514">
        <v>31</v>
      </c>
      <c r="Q514">
        <v>95.613043478260863</v>
      </c>
      <c r="R514">
        <v>2.235772357723576</v>
      </c>
      <c r="S514">
        <v>83</v>
      </c>
      <c r="T514">
        <v>0</v>
      </c>
      <c r="U514">
        <v>44.710843373493979</v>
      </c>
      <c r="V514">
        <v>209</v>
      </c>
      <c r="W514">
        <v>0</v>
      </c>
      <c r="X514">
        <v>28.189024390243901</v>
      </c>
      <c r="Y514">
        <v>121</v>
      </c>
      <c r="Z514">
        <v>0</v>
      </c>
      <c r="AA514">
        <v>116.45060975609761</v>
      </c>
      <c r="AB514">
        <v>274.39999999999998</v>
      </c>
      <c r="AC514">
        <v>0</v>
      </c>
      <c r="AD514">
        <v>34.313432835820898</v>
      </c>
      <c r="AE514">
        <v>137</v>
      </c>
      <c r="AF514">
        <v>0</v>
      </c>
      <c r="AG514">
        <v>101.9507462686567</v>
      </c>
      <c r="AH514">
        <v>216.7</v>
      </c>
      <c r="AI514">
        <v>0</v>
      </c>
      <c r="AJ514">
        <v>56</v>
      </c>
      <c r="AK514">
        <v>127.3</v>
      </c>
      <c r="AL514">
        <v>582</v>
      </c>
      <c r="AM514">
        <v>207</v>
      </c>
      <c r="AN514">
        <v>789</v>
      </c>
      <c r="AO514">
        <v>39</v>
      </c>
      <c r="AP514">
        <v>115</v>
      </c>
    </row>
    <row r="515" spans="1:42" x14ac:dyDescent="0.3">
      <c r="A515" t="s">
        <v>1190</v>
      </c>
      <c r="B515" t="s">
        <v>73</v>
      </c>
      <c r="C515" t="s">
        <v>5</v>
      </c>
      <c r="D515" t="s">
        <v>259</v>
      </c>
      <c r="E515" t="s">
        <v>1016</v>
      </c>
      <c r="F515">
        <v>2014</v>
      </c>
      <c r="G515">
        <v>127.3</v>
      </c>
      <c r="H515">
        <v>5</v>
      </c>
      <c r="I515">
        <v>1</v>
      </c>
      <c r="J515">
        <v>44</v>
      </c>
      <c r="K515">
        <v>56</v>
      </c>
      <c r="L515" t="s">
        <v>979</v>
      </c>
      <c r="M515">
        <v>28.6530612244898</v>
      </c>
      <c r="N515">
        <v>209</v>
      </c>
      <c r="O515">
        <v>0</v>
      </c>
      <c r="P515">
        <v>31</v>
      </c>
      <c r="Q515">
        <v>95.613043478260863</v>
      </c>
      <c r="R515">
        <v>2.3469387755102029</v>
      </c>
      <c r="S515">
        <v>83</v>
      </c>
      <c r="T515">
        <v>0</v>
      </c>
      <c r="U515">
        <v>38.228571428571428</v>
      </c>
      <c r="V515">
        <v>137</v>
      </c>
      <c r="W515">
        <v>0</v>
      </c>
      <c r="X515">
        <v>28.189024390243901</v>
      </c>
      <c r="Y515">
        <v>121</v>
      </c>
      <c r="Z515">
        <v>0</v>
      </c>
      <c r="AA515">
        <v>116.45060975609761</v>
      </c>
      <c r="AB515">
        <v>274.39999999999998</v>
      </c>
      <c r="AC515">
        <v>0</v>
      </c>
      <c r="AD515">
        <v>34.313432835820898</v>
      </c>
      <c r="AE515">
        <v>137</v>
      </c>
      <c r="AF515">
        <v>0</v>
      </c>
      <c r="AG515">
        <v>101.9507462686567</v>
      </c>
      <c r="AH515">
        <v>216.7</v>
      </c>
      <c r="AI515">
        <v>0</v>
      </c>
      <c r="AJ515">
        <v>62</v>
      </c>
      <c r="AK515">
        <v>112.7</v>
      </c>
      <c r="AL515">
        <v>577</v>
      </c>
      <c r="AM515">
        <v>206</v>
      </c>
      <c r="AN515">
        <v>783</v>
      </c>
      <c r="AO515">
        <v>33</v>
      </c>
      <c r="AP515">
        <v>109</v>
      </c>
    </row>
    <row r="516" spans="1:42" x14ac:dyDescent="0.3">
      <c r="A516" t="s">
        <v>1158</v>
      </c>
      <c r="B516" t="s">
        <v>208</v>
      </c>
      <c r="C516" t="s">
        <v>5</v>
      </c>
      <c r="D516" t="s">
        <v>259</v>
      </c>
      <c r="E516" t="s">
        <v>1016</v>
      </c>
      <c r="F516">
        <v>2014</v>
      </c>
      <c r="G516">
        <v>112.7</v>
      </c>
      <c r="H516">
        <v>5</v>
      </c>
      <c r="I516">
        <v>2</v>
      </c>
      <c r="J516">
        <v>55</v>
      </c>
      <c r="K516">
        <v>62</v>
      </c>
      <c r="L516" t="s">
        <v>979</v>
      </c>
      <c r="M516">
        <v>28.516393442622949</v>
      </c>
      <c r="N516">
        <v>209</v>
      </c>
      <c r="O516">
        <v>0</v>
      </c>
      <c r="P516">
        <v>31</v>
      </c>
      <c r="Q516">
        <v>95.613043478260863</v>
      </c>
      <c r="R516">
        <v>2.4836065573770481</v>
      </c>
      <c r="S516">
        <v>83</v>
      </c>
      <c r="T516">
        <v>0</v>
      </c>
      <c r="U516">
        <v>47.081967213114751</v>
      </c>
      <c r="V516">
        <v>177</v>
      </c>
      <c r="W516">
        <v>0</v>
      </c>
      <c r="X516">
        <v>28.189024390243901</v>
      </c>
      <c r="Y516">
        <v>121</v>
      </c>
      <c r="Z516">
        <v>0</v>
      </c>
      <c r="AA516">
        <v>116.45060975609761</v>
      </c>
      <c r="AB516">
        <v>274.39999999999998</v>
      </c>
      <c r="AC516">
        <v>0</v>
      </c>
      <c r="AD516">
        <v>34.313432835820898</v>
      </c>
      <c r="AE516">
        <v>137</v>
      </c>
      <c r="AF516">
        <v>0</v>
      </c>
      <c r="AG516">
        <v>101.9507462686567</v>
      </c>
      <c r="AH516">
        <v>216.7</v>
      </c>
      <c r="AI516">
        <v>0</v>
      </c>
      <c r="AJ516">
        <v>24</v>
      </c>
      <c r="AK516">
        <v>114.3</v>
      </c>
      <c r="AL516">
        <v>572</v>
      </c>
      <c r="AM516">
        <v>204</v>
      </c>
      <c r="AN516">
        <v>776</v>
      </c>
      <c r="AO516">
        <v>26</v>
      </c>
      <c r="AP516">
        <v>102</v>
      </c>
    </row>
    <row r="517" spans="1:42" x14ac:dyDescent="0.3">
      <c r="A517" t="s">
        <v>1385</v>
      </c>
      <c r="B517" t="s">
        <v>71</v>
      </c>
      <c r="C517" t="s">
        <v>5</v>
      </c>
      <c r="D517" t="s">
        <v>259</v>
      </c>
      <c r="E517" t="s">
        <v>1016</v>
      </c>
      <c r="F517">
        <v>2014</v>
      </c>
      <c r="G517">
        <v>114.3</v>
      </c>
      <c r="H517">
        <v>1</v>
      </c>
      <c r="I517">
        <v>2</v>
      </c>
      <c r="J517">
        <v>21</v>
      </c>
      <c r="K517">
        <v>24</v>
      </c>
      <c r="L517" t="s">
        <v>1327</v>
      </c>
      <c r="M517">
        <v>28.534979423868311</v>
      </c>
      <c r="N517">
        <v>209</v>
      </c>
      <c r="O517">
        <v>0</v>
      </c>
      <c r="P517">
        <v>31</v>
      </c>
      <c r="Q517">
        <v>95.613043478260863</v>
      </c>
      <c r="R517">
        <v>2.465020576131689</v>
      </c>
      <c r="S517">
        <v>83</v>
      </c>
      <c r="T517">
        <v>0</v>
      </c>
      <c r="U517">
        <v>33.333333333333343</v>
      </c>
      <c r="V517">
        <v>140</v>
      </c>
      <c r="W517">
        <v>0</v>
      </c>
      <c r="X517">
        <v>28.189024390243901</v>
      </c>
      <c r="Y517">
        <v>121</v>
      </c>
      <c r="Z517">
        <v>0</v>
      </c>
      <c r="AA517">
        <v>116.45060975609761</v>
      </c>
      <c r="AB517">
        <v>274.39999999999998</v>
      </c>
      <c r="AC517">
        <v>0</v>
      </c>
      <c r="AD517">
        <v>34.313432835820898</v>
      </c>
      <c r="AE517">
        <v>137</v>
      </c>
      <c r="AF517">
        <v>0</v>
      </c>
      <c r="AG517">
        <v>101.9507462686567</v>
      </c>
      <c r="AH517">
        <v>216.7</v>
      </c>
      <c r="AI517">
        <v>0</v>
      </c>
      <c r="AL517">
        <v>571</v>
      </c>
      <c r="AM517">
        <v>202</v>
      </c>
      <c r="AN517">
        <v>773</v>
      </c>
      <c r="AO517">
        <v>23</v>
      </c>
      <c r="AP517">
        <v>99</v>
      </c>
    </row>
    <row r="518" spans="1:42" x14ac:dyDescent="0.3">
      <c r="A518" t="s">
        <v>1440</v>
      </c>
      <c r="B518" t="s">
        <v>130</v>
      </c>
      <c r="C518" t="s">
        <v>16</v>
      </c>
      <c r="D518" t="s">
        <v>259</v>
      </c>
      <c r="E518" t="s">
        <v>1016</v>
      </c>
      <c r="F518">
        <v>2014</v>
      </c>
      <c r="G518">
        <v>75</v>
      </c>
      <c r="H518">
        <v>1</v>
      </c>
      <c r="I518">
        <v>0</v>
      </c>
      <c r="J518">
        <v>24</v>
      </c>
      <c r="K518">
        <v>18</v>
      </c>
      <c r="L518" t="s">
        <v>1327</v>
      </c>
      <c r="M518">
        <v>28.578512396694219</v>
      </c>
      <c r="N518">
        <v>209</v>
      </c>
      <c r="O518">
        <v>0</v>
      </c>
      <c r="P518">
        <v>31</v>
      </c>
      <c r="Q518">
        <v>95.613043478260863</v>
      </c>
      <c r="R518">
        <v>2.4214876033057848</v>
      </c>
      <c r="S518">
        <v>83</v>
      </c>
      <c r="T518">
        <v>0</v>
      </c>
      <c r="U518">
        <v>43.25</v>
      </c>
      <c r="V518">
        <v>131</v>
      </c>
      <c r="W518">
        <v>0</v>
      </c>
      <c r="X518">
        <v>42.251824817518248</v>
      </c>
      <c r="Y518">
        <v>264</v>
      </c>
      <c r="Z518">
        <v>0</v>
      </c>
      <c r="AA518">
        <v>77.646715328467153</v>
      </c>
      <c r="AB518">
        <v>200</v>
      </c>
      <c r="AC518">
        <v>0</v>
      </c>
      <c r="AD518">
        <v>34.313432835820898</v>
      </c>
      <c r="AE518">
        <v>137</v>
      </c>
      <c r="AF518">
        <v>0</v>
      </c>
      <c r="AG518">
        <v>101.9507462686567</v>
      </c>
      <c r="AH518">
        <v>216.7</v>
      </c>
      <c r="AI518">
        <v>0</v>
      </c>
      <c r="AJ518">
        <v>69</v>
      </c>
      <c r="AK518">
        <v>71.5</v>
      </c>
      <c r="AL518">
        <v>570</v>
      </c>
      <c r="AM518">
        <v>202</v>
      </c>
      <c r="AN518">
        <v>772</v>
      </c>
      <c r="AO518">
        <v>22</v>
      </c>
      <c r="AP518">
        <v>339</v>
      </c>
    </row>
    <row r="519" spans="1:42" x14ac:dyDescent="0.3">
      <c r="A519" t="s">
        <v>1191</v>
      </c>
      <c r="B519" t="s">
        <v>71</v>
      </c>
      <c r="C519" t="s">
        <v>16</v>
      </c>
      <c r="D519" t="s">
        <v>259</v>
      </c>
      <c r="E519" t="s">
        <v>1016</v>
      </c>
      <c r="F519">
        <v>2014</v>
      </c>
      <c r="G519">
        <v>96.6</v>
      </c>
      <c r="H519">
        <v>7</v>
      </c>
      <c r="I519">
        <v>2</v>
      </c>
      <c r="J519">
        <v>58</v>
      </c>
      <c r="K519">
        <v>56</v>
      </c>
      <c r="L519" t="s">
        <v>979</v>
      </c>
      <c r="M519">
        <v>28.46473029045643</v>
      </c>
      <c r="N519">
        <v>209</v>
      </c>
      <c r="O519">
        <v>0</v>
      </c>
      <c r="P519">
        <v>31</v>
      </c>
      <c r="Q519">
        <v>95.613043478260863</v>
      </c>
      <c r="R519">
        <v>2.5352697095435701</v>
      </c>
      <c r="S519">
        <v>83</v>
      </c>
      <c r="T519">
        <v>0</v>
      </c>
      <c r="U519">
        <v>33.333333333333343</v>
      </c>
      <c r="V519">
        <v>140</v>
      </c>
      <c r="W519">
        <v>0</v>
      </c>
      <c r="X519">
        <v>42.251824817518248</v>
      </c>
      <c r="Y519">
        <v>264</v>
      </c>
      <c r="Z519">
        <v>0</v>
      </c>
      <c r="AA519">
        <v>77.646715328467153</v>
      </c>
      <c r="AB519">
        <v>200</v>
      </c>
      <c r="AC519">
        <v>0</v>
      </c>
      <c r="AD519">
        <v>34.313432835820898</v>
      </c>
      <c r="AE519">
        <v>137</v>
      </c>
      <c r="AF519">
        <v>0</v>
      </c>
      <c r="AG519">
        <v>101.9507462686567</v>
      </c>
      <c r="AH519">
        <v>216.7</v>
      </c>
      <c r="AI519">
        <v>0</v>
      </c>
      <c r="AJ519">
        <v>34</v>
      </c>
      <c r="AK519">
        <v>59.400000000000013</v>
      </c>
      <c r="AL519">
        <v>563</v>
      </c>
      <c r="AM519">
        <v>200</v>
      </c>
      <c r="AN519">
        <v>763</v>
      </c>
      <c r="AO519">
        <v>13</v>
      </c>
      <c r="AP519">
        <v>330</v>
      </c>
    </row>
    <row r="520" spans="1:42" x14ac:dyDescent="0.3">
      <c r="A520" t="s">
        <v>1496</v>
      </c>
      <c r="B520" t="s">
        <v>115</v>
      </c>
      <c r="C520" t="s">
        <v>16</v>
      </c>
      <c r="D520" t="s">
        <v>662</v>
      </c>
      <c r="E520" t="s">
        <v>990</v>
      </c>
      <c r="F520">
        <v>2014</v>
      </c>
      <c r="G520">
        <v>46.4</v>
      </c>
      <c r="H520">
        <v>1</v>
      </c>
      <c r="I520">
        <v>0</v>
      </c>
      <c r="J520">
        <v>28</v>
      </c>
      <c r="K520">
        <v>13</v>
      </c>
      <c r="L520" t="s">
        <v>1327</v>
      </c>
      <c r="M520">
        <v>28.529166666666669</v>
      </c>
      <c r="N520">
        <v>209</v>
      </c>
      <c r="O520">
        <v>0</v>
      </c>
      <c r="P520">
        <v>13.33333333333333</v>
      </c>
      <c r="Q520">
        <v>61.8</v>
      </c>
      <c r="R520">
        <v>-15.195833333333329</v>
      </c>
      <c r="S520">
        <v>21</v>
      </c>
      <c r="T520">
        <v>6</v>
      </c>
      <c r="U520">
        <v>38.236842105263158</v>
      </c>
      <c r="V520">
        <v>264</v>
      </c>
      <c r="W520">
        <v>0</v>
      </c>
      <c r="X520">
        <v>42.251824817518248</v>
      </c>
      <c r="Y520">
        <v>264</v>
      </c>
      <c r="Z520">
        <v>0</v>
      </c>
      <c r="AA520">
        <v>77.646715328467153</v>
      </c>
      <c r="AB520">
        <v>200</v>
      </c>
      <c r="AC520">
        <v>0</v>
      </c>
      <c r="AD520">
        <v>31.115942028985511</v>
      </c>
      <c r="AE520">
        <v>187</v>
      </c>
      <c r="AF520">
        <v>0</v>
      </c>
      <c r="AG520">
        <v>73.336956521739125</v>
      </c>
      <c r="AH520">
        <v>233.3</v>
      </c>
      <c r="AI520">
        <v>0</v>
      </c>
      <c r="AJ520">
        <v>21</v>
      </c>
      <c r="AK520">
        <v>72.400000000000006</v>
      </c>
      <c r="AL520">
        <v>562</v>
      </c>
      <c r="AM520">
        <v>200</v>
      </c>
      <c r="AN520">
        <v>762</v>
      </c>
      <c r="AO520">
        <v>2</v>
      </c>
      <c r="AP520">
        <v>329</v>
      </c>
    </row>
    <row r="521" spans="1:42" x14ac:dyDescent="0.3">
      <c r="A521" t="s">
        <v>1407</v>
      </c>
      <c r="B521" t="s">
        <v>73</v>
      </c>
      <c r="C521" t="s">
        <v>16</v>
      </c>
      <c r="D521" t="s">
        <v>662</v>
      </c>
      <c r="E521" t="s">
        <v>990</v>
      </c>
      <c r="F521">
        <v>2014</v>
      </c>
      <c r="G521">
        <v>72.400000000000006</v>
      </c>
      <c r="H521">
        <v>1</v>
      </c>
      <c r="I521">
        <v>1</v>
      </c>
      <c r="J521">
        <v>29</v>
      </c>
      <c r="K521">
        <v>21</v>
      </c>
      <c r="L521" t="s">
        <v>1327</v>
      </c>
      <c r="M521">
        <v>28.56066945606695</v>
      </c>
      <c r="N521">
        <v>209</v>
      </c>
      <c r="O521">
        <v>0</v>
      </c>
      <c r="P521">
        <v>13.33333333333333</v>
      </c>
      <c r="Q521">
        <v>61.8</v>
      </c>
      <c r="R521">
        <v>-15.227336122733609</v>
      </c>
      <c r="S521">
        <v>21</v>
      </c>
      <c r="T521">
        <v>6</v>
      </c>
      <c r="U521">
        <v>38.228571428571428</v>
      </c>
      <c r="V521">
        <v>137</v>
      </c>
      <c r="W521">
        <v>0</v>
      </c>
      <c r="X521">
        <v>42.251824817518248</v>
      </c>
      <c r="Y521">
        <v>264</v>
      </c>
      <c r="Z521">
        <v>0</v>
      </c>
      <c r="AA521">
        <v>77.646715328467153</v>
      </c>
      <c r="AB521">
        <v>200</v>
      </c>
      <c r="AC521">
        <v>0</v>
      </c>
      <c r="AD521">
        <v>31.115942028985511</v>
      </c>
      <c r="AE521">
        <v>187</v>
      </c>
      <c r="AF521">
        <v>0</v>
      </c>
      <c r="AG521">
        <v>73.336956521739125</v>
      </c>
      <c r="AH521">
        <v>233.3</v>
      </c>
      <c r="AI521">
        <v>0</v>
      </c>
      <c r="AL521">
        <v>561</v>
      </c>
      <c r="AM521">
        <v>199</v>
      </c>
      <c r="AN521">
        <v>760</v>
      </c>
      <c r="AP521">
        <v>327</v>
      </c>
    </row>
    <row r="522" spans="1:42" x14ac:dyDescent="0.3">
      <c r="A522" t="s">
        <v>1325</v>
      </c>
      <c r="B522" t="s">
        <v>15</v>
      </c>
      <c r="C522" t="s">
        <v>83</v>
      </c>
      <c r="D522" t="s">
        <v>470</v>
      </c>
      <c r="E522" t="s">
        <v>990</v>
      </c>
      <c r="F522">
        <v>2014</v>
      </c>
      <c r="G522">
        <v>31.9</v>
      </c>
      <c r="H522">
        <v>4</v>
      </c>
      <c r="I522">
        <v>0</v>
      </c>
      <c r="J522">
        <v>56</v>
      </c>
      <c r="K522">
        <v>31</v>
      </c>
      <c r="L522" t="s">
        <v>979</v>
      </c>
      <c r="M522">
        <v>28.55042016806723</v>
      </c>
      <c r="N522">
        <v>209</v>
      </c>
      <c r="O522">
        <v>0</v>
      </c>
      <c r="P522">
        <v>9.5</v>
      </c>
      <c r="Q522">
        <v>23.8</v>
      </c>
      <c r="R522">
        <v>-19.05042016806723</v>
      </c>
      <c r="S522">
        <v>31</v>
      </c>
      <c r="T522">
        <v>1</v>
      </c>
      <c r="U522">
        <v>37.701754385964911</v>
      </c>
      <c r="V522">
        <v>147</v>
      </c>
      <c r="W522">
        <v>1</v>
      </c>
      <c r="X522">
        <v>65.166666666666671</v>
      </c>
      <c r="Y522">
        <v>303</v>
      </c>
      <c r="Z522">
        <v>1</v>
      </c>
      <c r="AA522">
        <v>55.904545454545449</v>
      </c>
      <c r="AB522">
        <v>161.6</v>
      </c>
      <c r="AC522">
        <v>16.600000000000001</v>
      </c>
      <c r="AD522">
        <v>31.115942028985511</v>
      </c>
      <c r="AE522">
        <v>187</v>
      </c>
      <c r="AF522">
        <v>0</v>
      </c>
      <c r="AG522">
        <v>73.336956521739125</v>
      </c>
      <c r="AH522">
        <v>233.3</v>
      </c>
      <c r="AI522">
        <v>0</v>
      </c>
      <c r="AL522">
        <v>557</v>
      </c>
      <c r="AM522">
        <v>199</v>
      </c>
      <c r="AN522">
        <v>756</v>
      </c>
      <c r="AO522">
        <v>0</v>
      </c>
      <c r="AP522">
        <v>54</v>
      </c>
    </row>
    <row r="523" spans="1:42" x14ac:dyDescent="0.3">
      <c r="A523" t="s">
        <v>1071</v>
      </c>
      <c r="B523" t="s">
        <v>15</v>
      </c>
      <c r="C523" t="s">
        <v>83</v>
      </c>
      <c r="D523" t="s">
        <v>407</v>
      </c>
      <c r="E523" t="s">
        <v>990</v>
      </c>
      <c r="F523">
        <v>2014</v>
      </c>
      <c r="G523">
        <v>46.1</v>
      </c>
      <c r="H523">
        <v>10</v>
      </c>
      <c r="I523">
        <v>1</v>
      </c>
      <c r="J523">
        <v>164</v>
      </c>
      <c r="K523">
        <v>91</v>
      </c>
      <c r="L523" t="s">
        <v>979</v>
      </c>
      <c r="M523">
        <v>28.286919831223631</v>
      </c>
      <c r="N523">
        <v>209</v>
      </c>
      <c r="O523">
        <v>0</v>
      </c>
      <c r="P523">
        <v>36.285714285714278</v>
      </c>
      <c r="Q523">
        <v>100.7714285714286</v>
      </c>
      <c r="R523">
        <v>7.9987944544906568</v>
      </c>
      <c r="S523">
        <v>91</v>
      </c>
      <c r="T523">
        <v>7</v>
      </c>
      <c r="U523">
        <v>37.701754385964911</v>
      </c>
      <c r="V523">
        <v>147</v>
      </c>
      <c r="W523">
        <v>1</v>
      </c>
      <c r="X523">
        <v>65.166666666666671</v>
      </c>
      <c r="Y523">
        <v>303</v>
      </c>
      <c r="Z523">
        <v>1</v>
      </c>
      <c r="AA523">
        <v>55.904545454545449</v>
      </c>
      <c r="AB523">
        <v>161.6</v>
      </c>
      <c r="AC523">
        <v>16.600000000000001</v>
      </c>
      <c r="AD523">
        <v>31.115942028985511</v>
      </c>
      <c r="AE523">
        <v>187</v>
      </c>
      <c r="AF523">
        <v>0</v>
      </c>
      <c r="AG523">
        <v>73.336956521739125</v>
      </c>
      <c r="AH523">
        <v>233.3</v>
      </c>
      <c r="AI523">
        <v>0</v>
      </c>
      <c r="AL523">
        <v>547</v>
      </c>
      <c r="AM523">
        <v>198</v>
      </c>
      <c r="AN523">
        <v>745</v>
      </c>
      <c r="AO523">
        <v>7</v>
      </c>
      <c r="AP523">
        <v>43</v>
      </c>
    </row>
    <row r="524" spans="1:42" x14ac:dyDescent="0.3">
      <c r="A524" t="s">
        <v>1655</v>
      </c>
      <c r="B524" t="s">
        <v>15</v>
      </c>
      <c r="C524" t="s">
        <v>16</v>
      </c>
      <c r="D524" t="s">
        <v>470</v>
      </c>
      <c r="E524" t="s">
        <v>994</v>
      </c>
      <c r="F524">
        <v>2014</v>
      </c>
      <c r="G524">
        <v>30.8</v>
      </c>
      <c r="H524">
        <v>0</v>
      </c>
      <c r="I524">
        <v>0</v>
      </c>
      <c r="J524">
        <v>13</v>
      </c>
      <c r="K524">
        <v>4</v>
      </c>
      <c r="L524" t="s">
        <v>1327</v>
      </c>
      <c r="M524">
        <v>28.389830508474581</v>
      </c>
      <c r="N524">
        <v>209</v>
      </c>
      <c r="O524">
        <v>0</v>
      </c>
      <c r="P524">
        <v>9.5</v>
      </c>
      <c r="Q524">
        <v>23.8</v>
      </c>
      <c r="R524">
        <v>-18.889830508474581</v>
      </c>
      <c r="S524">
        <v>31</v>
      </c>
      <c r="T524">
        <v>1</v>
      </c>
      <c r="U524">
        <v>37.701754385964911</v>
      </c>
      <c r="V524">
        <v>147</v>
      </c>
      <c r="W524">
        <v>1</v>
      </c>
      <c r="X524">
        <v>42.251824817518248</v>
      </c>
      <c r="Y524">
        <v>264</v>
      </c>
      <c r="Z524">
        <v>0</v>
      </c>
      <c r="AA524">
        <v>77.646715328467153</v>
      </c>
      <c r="AB524">
        <v>200</v>
      </c>
      <c r="AC524">
        <v>0</v>
      </c>
      <c r="AD524">
        <v>47.472727272727283</v>
      </c>
      <c r="AE524">
        <v>171</v>
      </c>
      <c r="AF524">
        <v>0</v>
      </c>
      <c r="AG524">
        <v>81.038181818181826</v>
      </c>
      <c r="AH524">
        <v>175.4</v>
      </c>
      <c r="AI524">
        <v>0</v>
      </c>
      <c r="AJ524">
        <v>79</v>
      </c>
      <c r="AK524">
        <v>84</v>
      </c>
      <c r="AL524">
        <v>547</v>
      </c>
      <c r="AM524">
        <v>198</v>
      </c>
      <c r="AN524">
        <v>745</v>
      </c>
      <c r="AP524">
        <v>327</v>
      </c>
    </row>
    <row r="525" spans="1:42" x14ac:dyDescent="0.3">
      <c r="A525" t="s">
        <v>1091</v>
      </c>
      <c r="B525" t="s">
        <v>15</v>
      </c>
      <c r="C525" t="s">
        <v>16</v>
      </c>
      <c r="D525" t="s">
        <v>405</v>
      </c>
      <c r="E525" t="s">
        <v>994</v>
      </c>
      <c r="F525">
        <v>2014</v>
      </c>
      <c r="G525">
        <v>84</v>
      </c>
      <c r="H525">
        <v>6</v>
      </c>
      <c r="I525">
        <v>4</v>
      </c>
      <c r="J525">
        <v>94</v>
      </c>
      <c r="K525">
        <v>79</v>
      </c>
      <c r="L525" t="s">
        <v>979</v>
      </c>
      <c r="M525">
        <v>28.17446808510638</v>
      </c>
      <c r="N525">
        <v>209</v>
      </c>
      <c r="O525">
        <v>0</v>
      </c>
      <c r="P525">
        <v>45.5</v>
      </c>
      <c r="Q525">
        <v>91.916666666666671</v>
      </c>
      <c r="R525">
        <v>17.32553191489362</v>
      </c>
      <c r="S525">
        <v>79</v>
      </c>
      <c r="T525">
        <v>7</v>
      </c>
      <c r="U525">
        <v>37.701754385964911</v>
      </c>
      <c r="V525">
        <v>147</v>
      </c>
      <c r="W525">
        <v>1</v>
      </c>
      <c r="X525">
        <v>42.251824817518248</v>
      </c>
      <c r="Y525">
        <v>264</v>
      </c>
      <c r="Z525">
        <v>0</v>
      </c>
      <c r="AA525">
        <v>77.646715328467153</v>
      </c>
      <c r="AB525">
        <v>200</v>
      </c>
      <c r="AC525">
        <v>0</v>
      </c>
      <c r="AD525">
        <v>47.472727272727283</v>
      </c>
      <c r="AE525">
        <v>171</v>
      </c>
      <c r="AF525">
        <v>0</v>
      </c>
      <c r="AG525">
        <v>81.038181818181826</v>
      </c>
      <c r="AH525">
        <v>175.4</v>
      </c>
      <c r="AI525">
        <v>0</v>
      </c>
      <c r="AJ525">
        <v>39</v>
      </c>
      <c r="AK525">
        <v>102.6</v>
      </c>
      <c r="AL525">
        <v>541</v>
      </c>
      <c r="AM525">
        <v>194</v>
      </c>
      <c r="AN525">
        <v>735</v>
      </c>
      <c r="AO525">
        <v>3</v>
      </c>
      <c r="AP525">
        <v>317</v>
      </c>
    </row>
    <row r="526" spans="1:42" x14ac:dyDescent="0.3">
      <c r="A526" t="s">
        <v>1279</v>
      </c>
      <c r="B526" t="s">
        <v>15</v>
      </c>
      <c r="C526" t="s">
        <v>16</v>
      </c>
      <c r="D526" t="s">
        <v>407</v>
      </c>
      <c r="E526" t="s">
        <v>994</v>
      </c>
      <c r="F526">
        <v>2014</v>
      </c>
      <c r="G526">
        <v>102.6</v>
      </c>
      <c r="H526">
        <v>1</v>
      </c>
      <c r="I526">
        <v>4</v>
      </c>
      <c r="J526">
        <v>38</v>
      </c>
      <c r="K526">
        <v>39</v>
      </c>
      <c r="L526" t="s">
        <v>979</v>
      </c>
      <c r="M526">
        <v>28.128205128205131</v>
      </c>
      <c r="N526">
        <v>209</v>
      </c>
      <c r="O526">
        <v>0</v>
      </c>
      <c r="P526">
        <v>36.285714285714278</v>
      </c>
      <c r="Q526">
        <v>100.7714285714286</v>
      </c>
      <c r="R526">
        <v>8.1575091575091569</v>
      </c>
      <c r="S526">
        <v>91</v>
      </c>
      <c r="T526">
        <v>7</v>
      </c>
      <c r="U526">
        <v>37.701754385964911</v>
      </c>
      <c r="V526">
        <v>147</v>
      </c>
      <c r="W526">
        <v>1</v>
      </c>
      <c r="X526">
        <v>42.251824817518248</v>
      </c>
      <c r="Y526">
        <v>264</v>
      </c>
      <c r="Z526">
        <v>0</v>
      </c>
      <c r="AA526">
        <v>77.646715328467153</v>
      </c>
      <c r="AB526">
        <v>200</v>
      </c>
      <c r="AC526">
        <v>0</v>
      </c>
      <c r="AD526">
        <v>47.472727272727283</v>
      </c>
      <c r="AE526">
        <v>171</v>
      </c>
      <c r="AF526">
        <v>0</v>
      </c>
      <c r="AG526">
        <v>81.038181818181826</v>
      </c>
      <c r="AH526">
        <v>175.4</v>
      </c>
      <c r="AI526">
        <v>0</v>
      </c>
      <c r="AJ526">
        <v>20</v>
      </c>
      <c r="AK526">
        <v>58.8</v>
      </c>
      <c r="AL526">
        <v>540</v>
      </c>
      <c r="AM526">
        <v>190</v>
      </c>
      <c r="AN526">
        <v>730</v>
      </c>
      <c r="AO526">
        <v>2</v>
      </c>
      <c r="AP526">
        <v>312</v>
      </c>
    </row>
    <row r="527" spans="1:42" x14ac:dyDescent="0.3">
      <c r="A527" t="s">
        <v>1417</v>
      </c>
      <c r="B527" t="s">
        <v>15</v>
      </c>
      <c r="C527" t="s">
        <v>16</v>
      </c>
      <c r="D527" t="s">
        <v>405</v>
      </c>
      <c r="E527" t="s">
        <v>994</v>
      </c>
      <c r="F527">
        <v>2014</v>
      </c>
      <c r="G527">
        <v>58.8</v>
      </c>
      <c r="H527">
        <v>2</v>
      </c>
      <c r="I527">
        <v>1</v>
      </c>
      <c r="J527">
        <v>34</v>
      </c>
      <c r="K527">
        <v>20</v>
      </c>
      <c r="L527" t="s">
        <v>1327</v>
      </c>
      <c r="M527">
        <v>28.163090128755361</v>
      </c>
      <c r="N527">
        <v>209</v>
      </c>
      <c r="O527">
        <v>0</v>
      </c>
      <c r="P527">
        <v>45.5</v>
      </c>
      <c r="Q527">
        <v>91.916666666666671</v>
      </c>
      <c r="R527">
        <v>17.336909871244639</v>
      </c>
      <c r="S527">
        <v>79</v>
      </c>
      <c r="T527">
        <v>7</v>
      </c>
      <c r="U527">
        <v>37.701754385964911</v>
      </c>
      <c r="V527">
        <v>147</v>
      </c>
      <c r="W527">
        <v>1</v>
      </c>
      <c r="X527">
        <v>42.251824817518248</v>
      </c>
      <c r="Y527">
        <v>264</v>
      </c>
      <c r="Z527">
        <v>0</v>
      </c>
      <c r="AA527">
        <v>77.646715328467153</v>
      </c>
      <c r="AB527">
        <v>200</v>
      </c>
      <c r="AC527">
        <v>0</v>
      </c>
      <c r="AD527">
        <v>47.472727272727283</v>
      </c>
      <c r="AE527">
        <v>171</v>
      </c>
      <c r="AF527">
        <v>0</v>
      </c>
      <c r="AG527">
        <v>81.038181818181826</v>
      </c>
      <c r="AH527">
        <v>175.4</v>
      </c>
      <c r="AI527">
        <v>0</v>
      </c>
      <c r="AJ527">
        <v>3</v>
      </c>
      <c r="AK527">
        <v>13</v>
      </c>
      <c r="AL527">
        <v>538</v>
      </c>
      <c r="AM527">
        <v>189</v>
      </c>
      <c r="AN527">
        <v>727</v>
      </c>
      <c r="AP527">
        <v>309</v>
      </c>
    </row>
    <row r="528" spans="1:42" x14ac:dyDescent="0.3">
      <c r="A528" t="s">
        <v>1674</v>
      </c>
      <c r="B528" t="s">
        <v>15</v>
      </c>
      <c r="C528" t="s">
        <v>16</v>
      </c>
      <c r="D528" t="s">
        <v>476</v>
      </c>
      <c r="E528" t="s">
        <v>994</v>
      </c>
      <c r="F528">
        <v>2014</v>
      </c>
      <c r="G528">
        <v>13</v>
      </c>
      <c r="H528">
        <v>0</v>
      </c>
      <c r="I528">
        <v>0</v>
      </c>
      <c r="J528">
        <v>23</v>
      </c>
      <c r="K528">
        <v>3</v>
      </c>
      <c r="L528" t="s">
        <v>1327</v>
      </c>
      <c r="M528">
        <v>28.271551724137929</v>
      </c>
      <c r="N528">
        <v>209</v>
      </c>
      <c r="O528">
        <v>0</v>
      </c>
      <c r="P528">
        <v>7</v>
      </c>
      <c r="Q528">
        <v>29.4</v>
      </c>
      <c r="R528">
        <v>-21.271551724137929</v>
      </c>
      <c r="S528">
        <v>11</v>
      </c>
      <c r="T528">
        <v>3</v>
      </c>
      <c r="U528">
        <v>37.701754385964911</v>
      </c>
      <c r="V528">
        <v>147</v>
      </c>
      <c r="W528">
        <v>1</v>
      </c>
      <c r="X528">
        <v>42.251824817518248</v>
      </c>
      <c r="Y528">
        <v>264</v>
      </c>
      <c r="Z528">
        <v>0</v>
      </c>
      <c r="AA528">
        <v>77.646715328467153</v>
      </c>
      <c r="AB528">
        <v>200</v>
      </c>
      <c r="AC528">
        <v>0</v>
      </c>
      <c r="AD528">
        <v>47.472727272727283</v>
      </c>
      <c r="AE528">
        <v>171</v>
      </c>
      <c r="AF528">
        <v>0</v>
      </c>
      <c r="AG528">
        <v>81.038181818181826</v>
      </c>
      <c r="AH528">
        <v>175.4</v>
      </c>
      <c r="AI528">
        <v>0</v>
      </c>
      <c r="AL528">
        <v>538</v>
      </c>
      <c r="AM528">
        <v>189</v>
      </c>
      <c r="AN528">
        <v>727</v>
      </c>
      <c r="AP528">
        <v>309</v>
      </c>
    </row>
    <row r="529" spans="1:42" x14ac:dyDescent="0.3">
      <c r="A529" t="s">
        <v>1371</v>
      </c>
      <c r="B529" t="s">
        <v>24</v>
      </c>
      <c r="C529" t="s">
        <v>83</v>
      </c>
      <c r="D529" t="s">
        <v>535</v>
      </c>
      <c r="E529" t="s">
        <v>987</v>
      </c>
      <c r="F529">
        <v>2013</v>
      </c>
      <c r="G529">
        <v>54.29999999999999</v>
      </c>
      <c r="H529">
        <v>2</v>
      </c>
      <c r="I529">
        <v>1</v>
      </c>
      <c r="J529">
        <v>45</v>
      </c>
      <c r="K529">
        <v>25</v>
      </c>
      <c r="L529" t="s">
        <v>1327</v>
      </c>
      <c r="M529">
        <v>28.285714285714281</v>
      </c>
      <c r="N529">
        <v>209</v>
      </c>
      <c r="O529">
        <v>0</v>
      </c>
      <c r="P529">
        <v>21.3</v>
      </c>
      <c r="Q529">
        <v>91.61</v>
      </c>
      <c r="R529">
        <v>-6.985714285714284</v>
      </c>
      <c r="S529">
        <v>53</v>
      </c>
      <c r="T529">
        <v>3</v>
      </c>
      <c r="U529">
        <v>37.163636363636357</v>
      </c>
      <c r="V529">
        <v>303</v>
      </c>
      <c r="W529">
        <v>0</v>
      </c>
      <c r="X529">
        <v>65.166666666666671</v>
      </c>
      <c r="Y529">
        <v>303</v>
      </c>
      <c r="Z529">
        <v>1</v>
      </c>
      <c r="AA529">
        <v>55.904545454545449</v>
      </c>
      <c r="AB529">
        <v>161.6</v>
      </c>
      <c r="AC529">
        <v>16.600000000000001</v>
      </c>
      <c r="AD529">
        <v>40.825000000000003</v>
      </c>
      <c r="AE529">
        <v>208</v>
      </c>
      <c r="AF529">
        <v>1</v>
      </c>
      <c r="AG529">
        <v>90.646250000000009</v>
      </c>
      <c r="AH529">
        <v>274.39999999999998</v>
      </c>
      <c r="AI529">
        <v>15.4</v>
      </c>
      <c r="AL529">
        <v>536</v>
      </c>
      <c r="AM529">
        <v>188</v>
      </c>
      <c r="AN529">
        <v>724</v>
      </c>
      <c r="AO529">
        <v>22</v>
      </c>
      <c r="AP529">
        <v>40</v>
      </c>
    </row>
    <row r="530" spans="1:42" x14ac:dyDescent="0.3">
      <c r="A530" t="s">
        <v>1418</v>
      </c>
      <c r="B530" t="s">
        <v>24</v>
      </c>
      <c r="C530" t="s">
        <v>83</v>
      </c>
      <c r="D530" t="s">
        <v>530</v>
      </c>
      <c r="E530" t="s">
        <v>987</v>
      </c>
      <c r="F530">
        <v>2013</v>
      </c>
      <c r="G530">
        <v>39.700000000000003</v>
      </c>
      <c r="H530">
        <v>2</v>
      </c>
      <c r="I530">
        <v>0</v>
      </c>
      <c r="J530">
        <v>36</v>
      </c>
      <c r="K530">
        <v>20</v>
      </c>
      <c r="L530" t="s">
        <v>1327</v>
      </c>
      <c r="M530">
        <v>28.321739130434779</v>
      </c>
      <c r="N530">
        <v>209</v>
      </c>
      <c r="O530">
        <v>0</v>
      </c>
      <c r="P530">
        <v>22.333333333333329</v>
      </c>
      <c r="Q530">
        <v>124.1333333333333</v>
      </c>
      <c r="R530">
        <v>-5.9884057971014499</v>
      </c>
      <c r="S530">
        <v>42</v>
      </c>
      <c r="T530">
        <v>5</v>
      </c>
      <c r="U530">
        <v>37.163636363636357</v>
      </c>
      <c r="V530">
        <v>303</v>
      </c>
      <c r="W530">
        <v>0</v>
      </c>
      <c r="X530">
        <v>65.166666666666671</v>
      </c>
      <c r="Y530">
        <v>303</v>
      </c>
      <c r="Z530">
        <v>1</v>
      </c>
      <c r="AA530">
        <v>55.904545454545449</v>
      </c>
      <c r="AB530">
        <v>161.6</v>
      </c>
      <c r="AC530">
        <v>16.600000000000001</v>
      </c>
      <c r="AD530">
        <v>40.825000000000003</v>
      </c>
      <c r="AE530">
        <v>208</v>
      </c>
      <c r="AF530">
        <v>1</v>
      </c>
      <c r="AG530">
        <v>90.646250000000009</v>
      </c>
      <c r="AH530">
        <v>274.39999999999998</v>
      </c>
      <c r="AI530">
        <v>15.4</v>
      </c>
      <c r="AL530">
        <v>534</v>
      </c>
      <c r="AM530">
        <v>188</v>
      </c>
      <c r="AN530">
        <v>722</v>
      </c>
      <c r="AO530">
        <v>19</v>
      </c>
      <c r="AP530">
        <v>38</v>
      </c>
    </row>
    <row r="531" spans="1:42" x14ac:dyDescent="0.3">
      <c r="A531" t="s">
        <v>1427</v>
      </c>
      <c r="B531" t="s">
        <v>24</v>
      </c>
      <c r="C531" t="s">
        <v>16</v>
      </c>
      <c r="D531" t="s">
        <v>535</v>
      </c>
      <c r="E531" t="s">
        <v>987</v>
      </c>
      <c r="F531">
        <v>2013</v>
      </c>
      <c r="G531">
        <v>73.099999999999994</v>
      </c>
      <c r="H531">
        <v>2</v>
      </c>
      <c r="I531">
        <v>0</v>
      </c>
      <c r="J531">
        <v>26</v>
      </c>
      <c r="K531">
        <v>19</v>
      </c>
      <c r="L531" t="s">
        <v>1327</v>
      </c>
      <c r="M531">
        <v>28.362445414847159</v>
      </c>
      <c r="N531">
        <v>209</v>
      </c>
      <c r="O531">
        <v>0</v>
      </c>
      <c r="P531">
        <v>21.3</v>
      </c>
      <c r="Q531">
        <v>91.61</v>
      </c>
      <c r="R531">
        <v>-7.0624454148471614</v>
      </c>
      <c r="S531">
        <v>53</v>
      </c>
      <c r="T531">
        <v>3</v>
      </c>
      <c r="U531">
        <v>37.163636363636357</v>
      </c>
      <c r="V531">
        <v>303</v>
      </c>
      <c r="W531">
        <v>0</v>
      </c>
      <c r="X531">
        <v>42.251824817518248</v>
      </c>
      <c r="Y531">
        <v>264</v>
      </c>
      <c r="Z531">
        <v>0</v>
      </c>
      <c r="AA531">
        <v>77.646715328467153</v>
      </c>
      <c r="AB531">
        <v>200</v>
      </c>
      <c r="AC531">
        <v>0</v>
      </c>
      <c r="AD531">
        <v>40.825000000000003</v>
      </c>
      <c r="AE531">
        <v>208</v>
      </c>
      <c r="AF531">
        <v>1</v>
      </c>
      <c r="AG531">
        <v>90.646250000000009</v>
      </c>
      <c r="AH531">
        <v>274.39999999999998</v>
      </c>
      <c r="AI531">
        <v>15.4</v>
      </c>
      <c r="AJ531">
        <v>18</v>
      </c>
      <c r="AK531">
        <v>41.9</v>
      </c>
      <c r="AL531">
        <v>532</v>
      </c>
      <c r="AM531">
        <v>188</v>
      </c>
      <c r="AN531">
        <v>720</v>
      </c>
      <c r="AO531">
        <v>20</v>
      </c>
      <c r="AP531">
        <v>307</v>
      </c>
    </row>
    <row r="532" spans="1:42" x14ac:dyDescent="0.3">
      <c r="A532" t="s">
        <v>1441</v>
      </c>
      <c r="B532" t="s">
        <v>24</v>
      </c>
      <c r="C532" t="s">
        <v>16</v>
      </c>
      <c r="D532" t="s">
        <v>530</v>
      </c>
      <c r="E532" t="s">
        <v>987</v>
      </c>
      <c r="F532">
        <v>2013</v>
      </c>
      <c r="G532">
        <v>41.9</v>
      </c>
      <c r="H532">
        <v>2</v>
      </c>
      <c r="I532">
        <v>0</v>
      </c>
      <c r="J532">
        <v>43</v>
      </c>
      <c r="K532">
        <v>18</v>
      </c>
      <c r="L532" t="s">
        <v>1327</v>
      </c>
      <c r="M532">
        <v>28.40789473684211</v>
      </c>
      <c r="N532">
        <v>209</v>
      </c>
      <c r="O532">
        <v>0</v>
      </c>
      <c r="P532">
        <v>22.333333333333329</v>
      </c>
      <c r="Q532">
        <v>124.1333333333333</v>
      </c>
      <c r="R532">
        <v>-6.074561403508774</v>
      </c>
      <c r="S532">
        <v>42</v>
      </c>
      <c r="T532">
        <v>5</v>
      </c>
      <c r="U532">
        <v>37.163636363636357</v>
      </c>
      <c r="V532">
        <v>303</v>
      </c>
      <c r="W532">
        <v>0</v>
      </c>
      <c r="X532">
        <v>42.251824817518248</v>
      </c>
      <c r="Y532">
        <v>264</v>
      </c>
      <c r="Z532">
        <v>0</v>
      </c>
      <c r="AA532">
        <v>77.646715328467153</v>
      </c>
      <c r="AB532">
        <v>200</v>
      </c>
      <c r="AC532">
        <v>0</v>
      </c>
      <c r="AD532">
        <v>40.825000000000003</v>
      </c>
      <c r="AE532">
        <v>208</v>
      </c>
      <c r="AF532">
        <v>1</v>
      </c>
      <c r="AG532">
        <v>90.646250000000009</v>
      </c>
      <c r="AH532">
        <v>274.39999999999998</v>
      </c>
      <c r="AI532">
        <v>15.4</v>
      </c>
      <c r="AL532">
        <v>530</v>
      </c>
      <c r="AM532">
        <v>188</v>
      </c>
      <c r="AN532">
        <v>718</v>
      </c>
      <c r="AO532">
        <v>17</v>
      </c>
      <c r="AP532">
        <v>305</v>
      </c>
    </row>
    <row r="533" spans="1:42" x14ac:dyDescent="0.3">
      <c r="A533" t="s">
        <v>1656</v>
      </c>
      <c r="B533" t="s">
        <v>208</v>
      </c>
      <c r="C533" t="s">
        <v>16</v>
      </c>
      <c r="D533" t="s">
        <v>107</v>
      </c>
      <c r="E533" t="s">
        <v>981</v>
      </c>
      <c r="F533">
        <v>2013</v>
      </c>
      <c r="G533">
        <v>28.6</v>
      </c>
      <c r="H533">
        <v>0</v>
      </c>
      <c r="I533">
        <v>0</v>
      </c>
      <c r="J533">
        <v>14</v>
      </c>
      <c r="K533">
        <v>4</v>
      </c>
      <c r="L533" t="s">
        <v>1327</v>
      </c>
      <c r="M533">
        <v>28.515418502202639</v>
      </c>
      <c r="N533">
        <v>209</v>
      </c>
      <c r="O533">
        <v>0</v>
      </c>
      <c r="P533">
        <v>70.428571428571431</v>
      </c>
      <c r="Q533">
        <v>102.42142857142861</v>
      </c>
      <c r="R533">
        <v>41.913152926368788</v>
      </c>
      <c r="S533">
        <v>150</v>
      </c>
      <c r="T533">
        <v>4</v>
      </c>
      <c r="U533">
        <v>47.081967213114751</v>
      </c>
      <c r="V533">
        <v>177</v>
      </c>
      <c r="W533">
        <v>0</v>
      </c>
      <c r="X533">
        <v>42.251824817518248</v>
      </c>
      <c r="Y533">
        <v>264</v>
      </c>
      <c r="Z533">
        <v>0</v>
      </c>
      <c r="AA533">
        <v>77.646715328467153</v>
      </c>
      <c r="AB533">
        <v>200</v>
      </c>
      <c r="AC533">
        <v>0</v>
      </c>
      <c r="AD533">
        <v>47.122448979591837</v>
      </c>
      <c r="AE533">
        <v>264</v>
      </c>
      <c r="AF533">
        <v>0</v>
      </c>
      <c r="AG533">
        <v>105.5040816326531</v>
      </c>
      <c r="AH533">
        <v>200</v>
      </c>
      <c r="AI533">
        <v>0</v>
      </c>
      <c r="AJ533">
        <v>12</v>
      </c>
      <c r="AK533">
        <v>63.2</v>
      </c>
      <c r="AL533">
        <v>530</v>
      </c>
      <c r="AM533">
        <v>188</v>
      </c>
      <c r="AN533">
        <v>718</v>
      </c>
      <c r="AO533">
        <v>3</v>
      </c>
      <c r="AP533">
        <v>305</v>
      </c>
    </row>
    <row r="534" spans="1:42" x14ac:dyDescent="0.3">
      <c r="A534" t="s">
        <v>1511</v>
      </c>
      <c r="B534" t="s">
        <v>208</v>
      </c>
      <c r="C534" t="s">
        <v>16</v>
      </c>
      <c r="D534" t="s">
        <v>25</v>
      </c>
      <c r="E534" t="s">
        <v>981</v>
      </c>
      <c r="F534">
        <v>2013</v>
      </c>
      <c r="G534">
        <v>63.2</v>
      </c>
      <c r="H534">
        <v>3</v>
      </c>
      <c r="I534">
        <v>0</v>
      </c>
      <c r="J534">
        <v>19</v>
      </c>
      <c r="K534">
        <v>12</v>
      </c>
      <c r="L534" t="s">
        <v>1327</v>
      </c>
      <c r="M534">
        <v>28.588495575221241</v>
      </c>
      <c r="N534">
        <v>209</v>
      </c>
      <c r="O534">
        <v>0</v>
      </c>
      <c r="P534">
        <v>56.375</v>
      </c>
      <c r="Q534">
        <v>92.453125</v>
      </c>
      <c r="R534">
        <v>27.786504424778759</v>
      </c>
      <c r="S534">
        <v>303</v>
      </c>
      <c r="T534">
        <v>4</v>
      </c>
      <c r="U534">
        <v>47.081967213114751</v>
      </c>
      <c r="V534">
        <v>177</v>
      </c>
      <c r="W534">
        <v>0</v>
      </c>
      <c r="X534">
        <v>42.251824817518248</v>
      </c>
      <c r="Y534">
        <v>264</v>
      </c>
      <c r="Z534">
        <v>0</v>
      </c>
      <c r="AA534">
        <v>77.646715328467153</v>
      </c>
      <c r="AB534">
        <v>200</v>
      </c>
      <c r="AC534">
        <v>0</v>
      </c>
      <c r="AD534">
        <v>47.122448979591837</v>
      </c>
      <c r="AE534">
        <v>264</v>
      </c>
      <c r="AF534">
        <v>0</v>
      </c>
      <c r="AG534">
        <v>105.5040816326531</v>
      </c>
      <c r="AH534">
        <v>200</v>
      </c>
      <c r="AI534">
        <v>0</v>
      </c>
      <c r="AJ534">
        <v>72</v>
      </c>
      <c r="AK534">
        <v>88.9</v>
      </c>
      <c r="AL534">
        <v>527</v>
      </c>
      <c r="AM534">
        <v>188</v>
      </c>
      <c r="AN534">
        <v>715</v>
      </c>
      <c r="AO534">
        <v>18</v>
      </c>
      <c r="AP534">
        <v>302</v>
      </c>
    </row>
    <row r="535" spans="1:42" x14ac:dyDescent="0.3">
      <c r="A535" t="s">
        <v>1116</v>
      </c>
      <c r="B535" t="s">
        <v>208</v>
      </c>
      <c r="C535" t="s">
        <v>16</v>
      </c>
      <c r="D535" t="s">
        <v>746</v>
      </c>
      <c r="E535" t="s">
        <v>981</v>
      </c>
      <c r="F535">
        <v>2013</v>
      </c>
      <c r="G535">
        <v>88.9</v>
      </c>
      <c r="H535">
        <v>8</v>
      </c>
      <c r="I535">
        <v>1</v>
      </c>
      <c r="J535">
        <v>81</v>
      </c>
      <c r="K535">
        <v>72</v>
      </c>
      <c r="L535" t="s">
        <v>979</v>
      </c>
      <c r="M535">
        <v>28.395555555555561</v>
      </c>
      <c r="N535">
        <v>209</v>
      </c>
      <c r="O535">
        <v>0</v>
      </c>
      <c r="P535">
        <v>72</v>
      </c>
      <c r="Q535">
        <v>88.9</v>
      </c>
      <c r="R535">
        <v>43.604444444444439</v>
      </c>
      <c r="S535">
        <v>72</v>
      </c>
      <c r="T535">
        <v>72</v>
      </c>
      <c r="U535">
        <v>47.081967213114751</v>
      </c>
      <c r="V535">
        <v>177</v>
      </c>
      <c r="W535">
        <v>0</v>
      </c>
      <c r="X535">
        <v>42.251824817518248</v>
      </c>
      <c r="Y535">
        <v>264</v>
      </c>
      <c r="Z535">
        <v>0</v>
      </c>
      <c r="AA535">
        <v>77.646715328467153</v>
      </c>
      <c r="AB535">
        <v>200</v>
      </c>
      <c r="AC535">
        <v>0</v>
      </c>
      <c r="AD535">
        <v>47.122448979591837</v>
      </c>
      <c r="AE535">
        <v>264</v>
      </c>
      <c r="AF535">
        <v>0</v>
      </c>
      <c r="AG535">
        <v>105.5040816326531</v>
      </c>
      <c r="AH535">
        <v>200</v>
      </c>
      <c r="AI535">
        <v>0</v>
      </c>
      <c r="AL535">
        <v>519</v>
      </c>
      <c r="AM535">
        <v>187</v>
      </c>
      <c r="AN535">
        <v>706</v>
      </c>
      <c r="AP535">
        <v>293</v>
      </c>
    </row>
    <row r="536" spans="1:42" x14ac:dyDescent="0.3">
      <c r="A536" t="s">
        <v>1041</v>
      </c>
      <c r="B536" t="s">
        <v>208</v>
      </c>
      <c r="C536" t="s">
        <v>83</v>
      </c>
      <c r="D536" t="s">
        <v>12</v>
      </c>
      <c r="E536" t="s">
        <v>981</v>
      </c>
      <c r="F536">
        <v>2013</v>
      </c>
      <c r="G536">
        <v>87.4</v>
      </c>
      <c r="H536">
        <v>11</v>
      </c>
      <c r="I536">
        <v>3</v>
      </c>
      <c r="J536">
        <v>200</v>
      </c>
      <c r="K536">
        <v>111</v>
      </c>
      <c r="L536" t="s">
        <v>979</v>
      </c>
      <c r="M536">
        <v>28.026785714285719</v>
      </c>
      <c r="N536">
        <v>209</v>
      </c>
      <c r="O536">
        <v>0</v>
      </c>
      <c r="P536">
        <v>31.203883495145629</v>
      </c>
      <c r="Q536">
        <v>120.5689320388349</v>
      </c>
      <c r="R536">
        <v>3.177097780859917</v>
      </c>
      <c r="S536">
        <v>162</v>
      </c>
      <c r="T536">
        <v>0</v>
      </c>
      <c r="U536">
        <v>47.081967213114751</v>
      </c>
      <c r="V536">
        <v>177</v>
      </c>
      <c r="W536">
        <v>0</v>
      </c>
      <c r="X536">
        <v>65.166666666666671</v>
      </c>
      <c r="Y536">
        <v>303</v>
      </c>
      <c r="Z536">
        <v>1</v>
      </c>
      <c r="AA536">
        <v>55.904545454545449</v>
      </c>
      <c r="AB536">
        <v>161.6</v>
      </c>
      <c r="AC536">
        <v>16.600000000000001</v>
      </c>
      <c r="AD536">
        <v>47.122448979591837</v>
      </c>
      <c r="AE536">
        <v>264</v>
      </c>
      <c r="AF536">
        <v>0</v>
      </c>
      <c r="AG536">
        <v>105.5040816326531</v>
      </c>
      <c r="AH536">
        <v>200</v>
      </c>
      <c r="AI536">
        <v>0</v>
      </c>
      <c r="AL536">
        <v>508</v>
      </c>
      <c r="AM536">
        <v>184</v>
      </c>
      <c r="AN536">
        <v>692</v>
      </c>
      <c r="AO536">
        <v>94</v>
      </c>
      <c r="AP536">
        <v>24</v>
      </c>
    </row>
    <row r="537" spans="1:42" x14ac:dyDescent="0.3">
      <c r="A537" t="s">
        <v>992</v>
      </c>
      <c r="B537" t="s">
        <v>208</v>
      </c>
      <c r="C537" t="s">
        <v>83</v>
      </c>
      <c r="D537" t="s">
        <v>139</v>
      </c>
      <c r="E537" t="s">
        <v>981</v>
      </c>
      <c r="F537">
        <v>2013</v>
      </c>
      <c r="G537">
        <v>58.8</v>
      </c>
      <c r="H537">
        <v>23</v>
      </c>
      <c r="I537">
        <v>1</v>
      </c>
      <c r="J537">
        <v>319</v>
      </c>
      <c r="K537">
        <v>177</v>
      </c>
      <c r="L537" t="s">
        <v>979</v>
      </c>
      <c r="M537">
        <v>27.358744394618839</v>
      </c>
      <c r="N537">
        <v>209</v>
      </c>
      <c r="O537">
        <v>0</v>
      </c>
      <c r="P537">
        <v>45.666666666666657</v>
      </c>
      <c r="Q537">
        <v>104.1166666666667</v>
      </c>
      <c r="R537">
        <v>18.307922272047829</v>
      </c>
      <c r="S537">
        <v>264</v>
      </c>
      <c r="T537">
        <v>0</v>
      </c>
      <c r="U537">
        <v>47.081967213114751</v>
      </c>
      <c r="V537">
        <v>177</v>
      </c>
      <c r="W537">
        <v>0</v>
      </c>
      <c r="X537">
        <v>65.166666666666671</v>
      </c>
      <c r="Y537">
        <v>303</v>
      </c>
      <c r="Z537">
        <v>1</v>
      </c>
      <c r="AA537">
        <v>55.904545454545449</v>
      </c>
      <c r="AB537">
        <v>161.6</v>
      </c>
      <c r="AC537">
        <v>16.600000000000001</v>
      </c>
      <c r="AD537">
        <v>47.122448979591837</v>
      </c>
      <c r="AE537">
        <v>264</v>
      </c>
      <c r="AF537">
        <v>0</v>
      </c>
      <c r="AG537">
        <v>105.5040816326531</v>
      </c>
      <c r="AH537">
        <v>200</v>
      </c>
      <c r="AI537">
        <v>0</v>
      </c>
      <c r="AJ537">
        <v>209</v>
      </c>
      <c r="AK537">
        <v>132.30000000000001</v>
      </c>
      <c r="AL537">
        <v>485</v>
      </c>
      <c r="AM537">
        <v>183</v>
      </c>
      <c r="AN537">
        <v>668</v>
      </c>
      <c r="AO537">
        <v>21</v>
      </c>
    </row>
    <row r="538" spans="1:42" x14ac:dyDescent="0.3">
      <c r="A538" t="s">
        <v>984</v>
      </c>
      <c r="B538" t="s">
        <v>32</v>
      </c>
      <c r="C538" t="s">
        <v>16</v>
      </c>
      <c r="D538" t="s">
        <v>103</v>
      </c>
      <c r="E538" t="s">
        <v>981</v>
      </c>
      <c r="F538">
        <v>2013</v>
      </c>
      <c r="G538">
        <v>132.30000000000001</v>
      </c>
      <c r="H538">
        <v>12</v>
      </c>
      <c r="I538">
        <v>16</v>
      </c>
      <c r="J538">
        <v>158</v>
      </c>
      <c r="K538">
        <v>209</v>
      </c>
      <c r="L538" t="s">
        <v>979</v>
      </c>
      <c r="M538">
        <v>26.54054054054054</v>
      </c>
      <c r="N538">
        <v>141</v>
      </c>
      <c r="O538">
        <v>0</v>
      </c>
      <c r="P538">
        <v>43.391304347826093</v>
      </c>
      <c r="Q538">
        <v>100.17391304347829</v>
      </c>
      <c r="R538">
        <v>16.850763807285549</v>
      </c>
      <c r="S538">
        <v>209</v>
      </c>
      <c r="T538">
        <v>0</v>
      </c>
      <c r="U538">
        <v>44.710843373493979</v>
      </c>
      <c r="V538">
        <v>209</v>
      </c>
      <c r="W538">
        <v>0</v>
      </c>
      <c r="X538">
        <v>42.251824817518248</v>
      </c>
      <c r="Y538">
        <v>264</v>
      </c>
      <c r="Z538">
        <v>0</v>
      </c>
      <c r="AA538">
        <v>77.646715328467153</v>
      </c>
      <c r="AB538">
        <v>200</v>
      </c>
      <c r="AC538">
        <v>0</v>
      </c>
      <c r="AD538">
        <v>47.122448979591837</v>
      </c>
      <c r="AE538">
        <v>264</v>
      </c>
      <c r="AF538">
        <v>0</v>
      </c>
      <c r="AG538">
        <v>105.5040816326531</v>
      </c>
      <c r="AH538">
        <v>200</v>
      </c>
      <c r="AI538">
        <v>0</v>
      </c>
      <c r="AJ538">
        <v>79</v>
      </c>
      <c r="AK538">
        <v>88.8</v>
      </c>
      <c r="AL538">
        <v>473</v>
      </c>
      <c r="AM538">
        <v>167</v>
      </c>
      <c r="AN538">
        <v>640</v>
      </c>
      <c r="AO538">
        <v>16</v>
      </c>
      <c r="AP538">
        <v>265</v>
      </c>
    </row>
    <row r="539" spans="1:42" x14ac:dyDescent="0.3">
      <c r="A539" t="s">
        <v>1092</v>
      </c>
      <c r="B539" t="s">
        <v>32</v>
      </c>
      <c r="C539" t="s">
        <v>16</v>
      </c>
      <c r="D539" t="s">
        <v>80</v>
      </c>
      <c r="E539" t="s">
        <v>977</v>
      </c>
      <c r="F539">
        <v>2013</v>
      </c>
      <c r="G539">
        <v>88.8</v>
      </c>
      <c r="H539">
        <v>7</v>
      </c>
      <c r="I539">
        <v>3</v>
      </c>
      <c r="J539">
        <v>89</v>
      </c>
      <c r="K539">
        <v>79</v>
      </c>
      <c r="L539" t="s">
        <v>979</v>
      </c>
      <c r="M539">
        <v>26.303167420814479</v>
      </c>
      <c r="N539">
        <v>141</v>
      </c>
      <c r="O539">
        <v>0</v>
      </c>
      <c r="P539">
        <v>45.785714285714278</v>
      </c>
      <c r="Q539">
        <v>80.371428571428552</v>
      </c>
      <c r="R539">
        <v>19.48254686489981</v>
      </c>
      <c r="S539">
        <v>125</v>
      </c>
      <c r="T539">
        <v>0</v>
      </c>
      <c r="U539">
        <v>44.710843373493979</v>
      </c>
      <c r="V539">
        <v>209</v>
      </c>
      <c r="W539">
        <v>0</v>
      </c>
      <c r="X539">
        <v>42.251824817518248</v>
      </c>
      <c r="Y539">
        <v>264</v>
      </c>
      <c r="Z539">
        <v>0</v>
      </c>
      <c r="AA539">
        <v>77.646715328467153</v>
      </c>
      <c r="AB539">
        <v>200</v>
      </c>
      <c r="AC539">
        <v>0</v>
      </c>
      <c r="AD539">
        <v>49.901639344262293</v>
      </c>
      <c r="AE539">
        <v>303</v>
      </c>
      <c r="AF539">
        <v>0</v>
      </c>
      <c r="AG539">
        <v>90.971311475409848</v>
      </c>
      <c r="AH539">
        <v>200</v>
      </c>
      <c r="AI539">
        <v>0</v>
      </c>
      <c r="AL539">
        <v>466</v>
      </c>
      <c r="AM539">
        <v>164</v>
      </c>
      <c r="AN539">
        <v>630</v>
      </c>
      <c r="AO539">
        <v>17</v>
      </c>
      <c r="AP539">
        <v>255</v>
      </c>
    </row>
    <row r="540" spans="1:42" x14ac:dyDescent="0.3">
      <c r="A540" t="s">
        <v>1560</v>
      </c>
      <c r="B540" t="s">
        <v>32</v>
      </c>
      <c r="C540" t="s">
        <v>16</v>
      </c>
      <c r="D540" t="s">
        <v>29</v>
      </c>
      <c r="E540" t="s">
        <v>977</v>
      </c>
      <c r="F540">
        <v>2013</v>
      </c>
      <c r="G540">
        <v>69.2</v>
      </c>
      <c r="H540">
        <v>1</v>
      </c>
      <c r="I540">
        <v>0</v>
      </c>
      <c r="J540">
        <v>13</v>
      </c>
      <c r="K540">
        <v>9</v>
      </c>
      <c r="L540" t="s">
        <v>1327</v>
      </c>
      <c r="M540">
        <v>26.381818181818179</v>
      </c>
      <c r="N540">
        <v>141</v>
      </c>
      <c r="O540">
        <v>0</v>
      </c>
      <c r="P540">
        <v>47.8</v>
      </c>
      <c r="Q540">
        <v>97.134999999999991</v>
      </c>
      <c r="R540">
        <v>21.418181818181811</v>
      </c>
      <c r="S540">
        <v>212</v>
      </c>
      <c r="T540">
        <v>9</v>
      </c>
      <c r="U540">
        <v>44.710843373493979</v>
      </c>
      <c r="V540">
        <v>209</v>
      </c>
      <c r="W540">
        <v>0</v>
      </c>
      <c r="X540">
        <v>42.251824817518248</v>
      </c>
      <c r="Y540">
        <v>264</v>
      </c>
      <c r="Z540">
        <v>0</v>
      </c>
      <c r="AA540">
        <v>77.646715328467153</v>
      </c>
      <c r="AB540">
        <v>200</v>
      </c>
      <c r="AC540">
        <v>0</v>
      </c>
      <c r="AD540">
        <v>49.901639344262293</v>
      </c>
      <c r="AE540">
        <v>303</v>
      </c>
      <c r="AF540">
        <v>0</v>
      </c>
      <c r="AG540">
        <v>90.971311475409848</v>
      </c>
      <c r="AH540">
        <v>200</v>
      </c>
      <c r="AI540">
        <v>0</v>
      </c>
      <c r="AJ540">
        <v>11</v>
      </c>
      <c r="AK540">
        <v>50</v>
      </c>
      <c r="AL540">
        <v>465</v>
      </c>
      <c r="AM540">
        <v>164</v>
      </c>
      <c r="AN540">
        <v>629</v>
      </c>
      <c r="AP540">
        <v>254</v>
      </c>
    </row>
    <row r="541" spans="1:42" x14ac:dyDescent="0.3">
      <c r="A541" t="s">
        <v>1532</v>
      </c>
      <c r="B541" t="s">
        <v>32</v>
      </c>
      <c r="C541" t="s">
        <v>16</v>
      </c>
      <c r="D541" t="s">
        <v>173</v>
      </c>
      <c r="E541" t="s">
        <v>977</v>
      </c>
      <c r="F541">
        <v>2013</v>
      </c>
      <c r="G541">
        <v>50</v>
      </c>
      <c r="H541">
        <v>2</v>
      </c>
      <c r="I541">
        <v>0</v>
      </c>
      <c r="J541">
        <v>22</v>
      </c>
      <c r="K541">
        <v>11</v>
      </c>
      <c r="L541" t="s">
        <v>1327</v>
      </c>
      <c r="M541">
        <v>26.452054794520549</v>
      </c>
      <c r="N541">
        <v>141</v>
      </c>
      <c r="O541">
        <v>0</v>
      </c>
      <c r="P541">
        <v>36.388888888888893</v>
      </c>
      <c r="Q541">
        <v>93.683333333333337</v>
      </c>
      <c r="R541">
        <v>9.9368340943683364</v>
      </c>
      <c r="S541">
        <v>208</v>
      </c>
      <c r="T541">
        <v>0</v>
      </c>
      <c r="U541">
        <v>44.710843373493979</v>
      </c>
      <c r="V541">
        <v>209</v>
      </c>
      <c r="W541">
        <v>0</v>
      </c>
      <c r="X541">
        <v>42.251824817518248</v>
      </c>
      <c r="Y541">
        <v>264</v>
      </c>
      <c r="Z541">
        <v>0</v>
      </c>
      <c r="AA541">
        <v>77.646715328467153</v>
      </c>
      <c r="AB541">
        <v>200</v>
      </c>
      <c r="AC541">
        <v>0</v>
      </c>
      <c r="AD541">
        <v>49.901639344262293</v>
      </c>
      <c r="AE541">
        <v>303</v>
      </c>
      <c r="AF541">
        <v>0</v>
      </c>
      <c r="AG541">
        <v>90.971311475409848</v>
      </c>
      <c r="AH541">
        <v>200</v>
      </c>
      <c r="AI541">
        <v>0</v>
      </c>
      <c r="AJ541">
        <v>141</v>
      </c>
      <c r="AK541">
        <v>114.6</v>
      </c>
      <c r="AL541">
        <v>463</v>
      </c>
      <c r="AM541">
        <v>164</v>
      </c>
      <c r="AN541">
        <v>627</v>
      </c>
      <c r="AO541">
        <v>26</v>
      </c>
      <c r="AP541">
        <v>252</v>
      </c>
    </row>
    <row r="542" spans="1:42" x14ac:dyDescent="0.3">
      <c r="A542" t="s">
        <v>1005</v>
      </c>
      <c r="B542" t="s">
        <v>32</v>
      </c>
      <c r="C542" t="s">
        <v>16</v>
      </c>
      <c r="D542" t="s">
        <v>46</v>
      </c>
      <c r="E542" t="s">
        <v>977</v>
      </c>
      <c r="F542">
        <v>2013</v>
      </c>
      <c r="G542">
        <v>114.6</v>
      </c>
      <c r="H542">
        <v>17</v>
      </c>
      <c r="I542">
        <v>4</v>
      </c>
      <c r="J542">
        <v>123</v>
      </c>
      <c r="K542">
        <v>141</v>
      </c>
      <c r="L542" t="s">
        <v>979</v>
      </c>
      <c r="M542">
        <v>25.926605504587151</v>
      </c>
      <c r="N542">
        <v>114</v>
      </c>
      <c r="O542">
        <v>0</v>
      </c>
      <c r="P542">
        <v>31.72727272727273</v>
      </c>
      <c r="Q542">
        <v>85.109090909090909</v>
      </c>
      <c r="R542">
        <v>5.800667222685572</v>
      </c>
      <c r="S542">
        <v>141</v>
      </c>
      <c r="T542">
        <v>0</v>
      </c>
      <c r="U542">
        <v>44.710843373493979</v>
      </c>
      <c r="V542">
        <v>209</v>
      </c>
      <c r="W542">
        <v>0</v>
      </c>
      <c r="X542">
        <v>42.251824817518248</v>
      </c>
      <c r="Y542">
        <v>264</v>
      </c>
      <c r="Z542">
        <v>0</v>
      </c>
      <c r="AA542">
        <v>77.646715328467153</v>
      </c>
      <c r="AB542">
        <v>200</v>
      </c>
      <c r="AC542">
        <v>0</v>
      </c>
      <c r="AD542">
        <v>49.901639344262293</v>
      </c>
      <c r="AE542">
        <v>303</v>
      </c>
      <c r="AF542">
        <v>0</v>
      </c>
      <c r="AG542">
        <v>90.971311475409848</v>
      </c>
      <c r="AH542">
        <v>200</v>
      </c>
      <c r="AI542">
        <v>0</v>
      </c>
      <c r="AJ542">
        <v>42</v>
      </c>
      <c r="AK542">
        <v>89.4</v>
      </c>
      <c r="AL542">
        <v>446</v>
      </c>
      <c r="AM542">
        <v>160</v>
      </c>
      <c r="AN542">
        <v>606</v>
      </c>
      <c r="AO542">
        <v>5</v>
      </c>
      <c r="AP542">
        <v>231</v>
      </c>
    </row>
    <row r="543" spans="1:42" x14ac:dyDescent="0.3">
      <c r="A543" t="s">
        <v>1265</v>
      </c>
      <c r="B543" t="s">
        <v>32</v>
      </c>
      <c r="C543" t="s">
        <v>16</v>
      </c>
      <c r="D543" t="s">
        <v>100</v>
      </c>
      <c r="E543" t="s">
        <v>977</v>
      </c>
      <c r="F543">
        <v>2013</v>
      </c>
      <c r="G543">
        <v>89.4</v>
      </c>
      <c r="H543">
        <v>6</v>
      </c>
      <c r="I543">
        <v>0</v>
      </c>
      <c r="J543">
        <v>47</v>
      </c>
      <c r="K543">
        <v>42</v>
      </c>
      <c r="L543" t="s">
        <v>979</v>
      </c>
      <c r="M543">
        <v>25.852534562211979</v>
      </c>
      <c r="N543">
        <v>114</v>
      </c>
      <c r="O543">
        <v>0</v>
      </c>
      <c r="P543">
        <v>25.444444444444439</v>
      </c>
      <c r="Q543">
        <v>86.627777777777794</v>
      </c>
      <c r="R543">
        <v>-0.40809011776753928</v>
      </c>
      <c r="S543">
        <v>85</v>
      </c>
      <c r="T543">
        <v>0</v>
      </c>
      <c r="U543">
        <v>44.710843373493979</v>
      </c>
      <c r="V543">
        <v>209</v>
      </c>
      <c r="W543">
        <v>0</v>
      </c>
      <c r="X543">
        <v>42.251824817518248</v>
      </c>
      <c r="Y543">
        <v>264</v>
      </c>
      <c r="Z543">
        <v>0</v>
      </c>
      <c r="AA543">
        <v>77.646715328467153</v>
      </c>
      <c r="AB543">
        <v>200</v>
      </c>
      <c r="AC543">
        <v>0</v>
      </c>
      <c r="AD543">
        <v>49.901639344262293</v>
      </c>
      <c r="AE543">
        <v>303</v>
      </c>
      <c r="AF543">
        <v>0</v>
      </c>
      <c r="AG543">
        <v>90.971311475409848</v>
      </c>
      <c r="AH543">
        <v>200</v>
      </c>
      <c r="AI543">
        <v>0</v>
      </c>
      <c r="AJ543">
        <v>8</v>
      </c>
      <c r="AK543">
        <v>100</v>
      </c>
      <c r="AL543">
        <v>440</v>
      </c>
      <c r="AM543">
        <v>160</v>
      </c>
      <c r="AN543">
        <v>600</v>
      </c>
      <c r="AO543">
        <v>3</v>
      </c>
      <c r="AP543">
        <v>225</v>
      </c>
    </row>
    <row r="544" spans="1:42" x14ac:dyDescent="0.3">
      <c r="A544" t="s">
        <v>1581</v>
      </c>
      <c r="B544" t="s">
        <v>32</v>
      </c>
      <c r="C544" t="s">
        <v>5</v>
      </c>
      <c r="D544" t="s">
        <v>19</v>
      </c>
      <c r="E544" t="s">
        <v>977</v>
      </c>
      <c r="F544">
        <v>2013</v>
      </c>
      <c r="G544">
        <v>100</v>
      </c>
      <c r="H544">
        <v>0</v>
      </c>
      <c r="I544">
        <v>1</v>
      </c>
      <c r="J544">
        <v>8</v>
      </c>
      <c r="K544">
        <v>8</v>
      </c>
      <c r="L544" t="s">
        <v>1327</v>
      </c>
      <c r="M544">
        <v>25.93518518518519</v>
      </c>
      <c r="N544">
        <v>114</v>
      </c>
      <c r="O544">
        <v>0</v>
      </c>
      <c r="P544">
        <v>47.6</v>
      </c>
      <c r="Q544">
        <v>101.29</v>
      </c>
      <c r="R544">
        <v>21.664814814814811</v>
      </c>
      <c r="S544">
        <v>150</v>
      </c>
      <c r="T544">
        <v>5</v>
      </c>
      <c r="U544">
        <v>44.710843373493979</v>
      </c>
      <c r="V544">
        <v>209</v>
      </c>
      <c r="W544">
        <v>0</v>
      </c>
      <c r="X544">
        <v>28.189024390243901</v>
      </c>
      <c r="Y544">
        <v>121</v>
      </c>
      <c r="Z544">
        <v>0</v>
      </c>
      <c r="AA544">
        <v>116.45060975609761</v>
      </c>
      <c r="AB544">
        <v>274.39999999999998</v>
      </c>
      <c r="AC544">
        <v>0</v>
      </c>
      <c r="AD544">
        <v>49.901639344262293</v>
      </c>
      <c r="AE544">
        <v>303</v>
      </c>
      <c r="AF544">
        <v>0</v>
      </c>
      <c r="AG544">
        <v>90.971311475409848</v>
      </c>
      <c r="AH544">
        <v>200</v>
      </c>
      <c r="AI544">
        <v>0</v>
      </c>
      <c r="AL544">
        <v>440</v>
      </c>
      <c r="AM544">
        <v>159</v>
      </c>
      <c r="AN544">
        <v>599</v>
      </c>
      <c r="AO544">
        <v>1</v>
      </c>
      <c r="AP544">
        <v>98</v>
      </c>
    </row>
    <row r="545" spans="1:42" x14ac:dyDescent="0.3">
      <c r="A545" t="s">
        <v>1148</v>
      </c>
      <c r="B545" t="s">
        <v>264</v>
      </c>
      <c r="C545" t="s">
        <v>16</v>
      </c>
      <c r="D545" t="s">
        <v>761</v>
      </c>
      <c r="E545" t="s">
        <v>1021</v>
      </c>
      <c r="F545">
        <v>2013</v>
      </c>
      <c r="G545">
        <v>71.099999999999994</v>
      </c>
      <c r="H545">
        <v>5</v>
      </c>
      <c r="I545">
        <v>1</v>
      </c>
      <c r="J545">
        <v>90</v>
      </c>
      <c r="K545">
        <v>64</v>
      </c>
      <c r="L545" t="s">
        <v>979</v>
      </c>
      <c r="M545">
        <v>25.758139534883721</v>
      </c>
      <c r="N545">
        <v>114</v>
      </c>
      <c r="O545">
        <v>0</v>
      </c>
      <c r="P545">
        <v>93</v>
      </c>
      <c r="Q545">
        <v>89.3</v>
      </c>
      <c r="R545">
        <v>67.241860465116275</v>
      </c>
      <c r="S545">
        <v>114</v>
      </c>
      <c r="T545">
        <v>64</v>
      </c>
      <c r="U545">
        <v>31.5</v>
      </c>
      <c r="V545">
        <v>114</v>
      </c>
      <c r="W545">
        <v>1</v>
      </c>
      <c r="X545">
        <v>42.251824817518248</v>
      </c>
      <c r="Y545">
        <v>264</v>
      </c>
      <c r="Z545">
        <v>0</v>
      </c>
      <c r="AA545">
        <v>77.646715328467153</v>
      </c>
      <c r="AB545">
        <v>200</v>
      </c>
      <c r="AC545">
        <v>0</v>
      </c>
      <c r="AD545">
        <v>37</v>
      </c>
      <c r="AE545">
        <v>124</v>
      </c>
      <c r="AF545">
        <v>0</v>
      </c>
      <c r="AG545">
        <v>84.736842105263165</v>
      </c>
      <c r="AH545">
        <v>221.4</v>
      </c>
      <c r="AI545">
        <v>0</v>
      </c>
      <c r="AJ545">
        <v>14</v>
      </c>
      <c r="AK545">
        <v>66.7</v>
      </c>
      <c r="AL545">
        <v>435</v>
      </c>
      <c r="AM545">
        <v>158</v>
      </c>
      <c r="AN545">
        <v>593</v>
      </c>
      <c r="AO545">
        <v>18</v>
      </c>
      <c r="AP545">
        <v>219</v>
      </c>
    </row>
    <row r="546" spans="1:42" x14ac:dyDescent="0.3">
      <c r="A546" t="s">
        <v>1484</v>
      </c>
      <c r="B546" t="s">
        <v>264</v>
      </c>
      <c r="C546" t="s">
        <v>16</v>
      </c>
      <c r="D546" t="s">
        <v>763</v>
      </c>
      <c r="E546" t="s">
        <v>1012</v>
      </c>
      <c r="F546">
        <v>2013</v>
      </c>
      <c r="G546">
        <v>66.7</v>
      </c>
      <c r="H546">
        <v>2</v>
      </c>
      <c r="I546">
        <v>0</v>
      </c>
      <c r="J546">
        <v>21</v>
      </c>
      <c r="K546">
        <v>14</v>
      </c>
      <c r="L546" t="s">
        <v>1327</v>
      </c>
      <c r="M546">
        <v>25.813084112149529</v>
      </c>
      <c r="N546">
        <v>114</v>
      </c>
      <c r="O546">
        <v>0</v>
      </c>
      <c r="P546">
        <v>15</v>
      </c>
      <c r="Q546">
        <v>54.95</v>
      </c>
      <c r="R546">
        <v>-10.81308411214953</v>
      </c>
      <c r="S546">
        <v>32</v>
      </c>
      <c r="T546">
        <v>1</v>
      </c>
      <c r="U546">
        <v>31.5</v>
      </c>
      <c r="V546">
        <v>114</v>
      </c>
      <c r="W546">
        <v>1</v>
      </c>
      <c r="X546">
        <v>42.251824817518248</v>
      </c>
      <c r="Y546">
        <v>264</v>
      </c>
      <c r="Z546">
        <v>0</v>
      </c>
      <c r="AA546">
        <v>77.646715328467153</v>
      </c>
      <c r="AB546">
        <v>200</v>
      </c>
      <c r="AC546">
        <v>0</v>
      </c>
      <c r="AD546">
        <v>37.228571428571428</v>
      </c>
      <c r="AE546">
        <v>137</v>
      </c>
      <c r="AF546">
        <v>0</v>
      </c>
      <c r="AG546">
        <v>73.452857142857127</v>
      </c>
      <c r="AH546">
        <v>178.6</v>
      </c>
      <c r="AI546">
        <v>0</v>
      </c>
      <c r="AJ546">
        <v>21</v>
      </c>
      <c r="AK546">
        <v>32.15</v>
      </c>
      <c r="AL546">
        <v>433</v>
      </c>
      <c r="AM546">
        <v>158</v>
      </c>
      <c r="AN546">
        <v>591</v>
      </c>
      <c r="AO546">
        <v>4</v>
      </c>
      <c r="AP546">
        <v>217</v>
      </c>
    </row>
    <row r="547" spans="1:42" x14ac:dyDescent="0.3">
      <c r="A547" t="s">
        <v>1713</v>
      </c>
      <c r="B547" t="s">
        <v>264</v>
      </c>
      <c r="C547" t="s">
        <v>16</v>
      </c>
      <c r="D547" t="s">
        <v>763</v>
      </c>
      <c r="E547" t="s">
        <v>1012</v>
      </c>
      <c r="F547">
        <v>2013</v>
      </c>
      <c r="G547">
        <v>14.3</v>
      </c>
      <c r="H547">
        <v>0</v>
      </c>
      <c r="I547">
        <v>0</v>
      </c>
      <c r="J547">
        <v>7</v>
      </c>
      <c r="K547">
        <v>1</v>
      </c>
      <c r="L547" t="s">
        <v>1327</v>
      </c>
      <c r="M547">
        <v>25.929577464788728</v>
      </c>
      <c r="N547">
        <v>114</v>
      </c>
      <c r="O547">
        <v>0</v>
      </c>
      <c r="P547">
        <v>15</v>
      </c>
      <c r="Q547">
        <v>54.95</v>
      </c>
      <c r="R547">
        <v>-10.92957746478873</v>
      </c>
      <c r="S547">
        <v>32</v>
      </c>
      <c r="T547">
        <v>1</v>
      </c>
      <c r="U547">
        <v>31.5</v>
      </c>
      <c r="V547">
        <v>114</v>
      </c>
      <c r="W547">
        <v>1</v>
      </c>
      <c r="X547">
        <v>42.251824817518248</v>
      </c>
      <c r="Y547">
        <v>264</v>
      </c>
      <c r="Z547">
        <v>0</v>
      </c>
      <c r="AA547">
        <v>77.646715328467153</v>
      </c>
      <c r="AB547">
        <v>200</v>
      </c>
      <c r="AC547">
        <v>0</v>
      </c>
      <c r="AD547">
        <v>37.228571428571428</v>
      </c>
      <c r="AE547">
        <v>137</v>
      </c>
      <c r="AF547">
        <v>0</v>
      </c>
      <c r="AG547">
        <v>73.452857142857127</v>
      </c>
      <c r="AH547">
        <v>178.6</v>
      </c>
      <c r="AI547">
        <v>0</v>
      </c>
      <c r="AJ547">
        <v>20</v>
      </c>
      <c r="AK547">
        <v>50</v>
      </c>
      <c r="AL547">
        <v>433</v>
      </c>
      <c r="AM547">
        <v>158</v>
      </c>
      <c r="AN547">
        <v>591</v>
      </c>
      <c r="AO547">
        <v>4</v>
      </c>
      <c r="AP547">
        <v>217</v>
      </c>
    </row>
    <row r="548" spans="1:42" x14ac:dyDescent="0.3">
      <c r="A548" t="s">
        <v>1419</v>
      </c>
      <c r="B548" t="s">
        <v>264</v>
      </c>
      <c r="C548" t="s">
        <v>16</v>
      </c>
      <c r="D548" t="s">
        <v>763</v>
      </c>
      <c r="E548" t="s">
        <v>1012</v>
      </c>
      <c r="F548">
        <v>2013</v>
      </c>
      <c r="G548">
        <v>50</v>
      </c>
      <c r="H548">
        <v>2</v>
      </c>
      <c r="I548">
        <v>0</v>
      </c>
      <c r="J548">
        <v>40</v>
      </c>
      <c r="K548">
        <v>20</v>
      </c>
      <c r="L548" t="s">
        <v>1327</v>
      </c>
      <c r="M548">
        <v>25.95754716981132</v>
      </c>
      <c r="N548">
        <v>114</v>
      </c>
      <c r="O548">
        <v>0</v>
      </c>
      <c r="P548">
        <v>15</v>
      </c>
      <c r="Q548">
        <v>54.95</v>
      </c>
      <c r="R548">
        <v>-10.95754716981132</v>
      </c>
      <c r="S548">
        <v>32</v>
      </c>
      <c r="T548">
        <v>1</v>
      </c>
      <c r="U548">
        <v>31.5</v>
      </c>
      <c r="V548">
        <v>114</v>
      </c>
      <c r="W548">
        <v>1</v>
      </c>
      <c r="X548">
        <v>42.251824817518248</v>
      </c>
      <c r="Y548">
        <v>264</v>
      </c>
      <c r="Z548">
        <v>0</v>
      </c>
      <c r="AA548">
        <v>77.646715328467153</v>
      </c>
      <c r="AB548">
        <v>200</v>
      </c>
      <c r="AC548">
        <v>0</v>
      </c>
      <c r="AD548">
        <v>37.228571428571428</v>
      </c>
      <c r="AE548">
        <v>137</v>
      </c>
      <c r="AF548">
        <v>0</v>
      </c>
      <c r="AG548">
        <v>73.452857142857127</v>
      </c>
      <c r="AH548">
        <v>178.6</v>
      </c>
      <c r="AI548">
        <v>0</v>
      </c>
      <c r="AL548">
        <v>431</v>
      </c>
      <c r="AM548">
        <v>158</v>
      </c>
      <c r="AN548">
        <v>589</v>
      </c>
      <c r="AO548">
        <v>2</v>
      </c>
      <c r="AP548">
        <v>215</v>
      </c>
    </row>
    <row r="549" spans="1:42" x14ac:dyDescent="0.3">
      <c r="A549" t="s">
        <v>1171</v>
      </c>
      <c r="B549" t="s">
        <v>115</v>
      </c>
      <c r="C549" t="s">
        <v>16</v>
      </c>
      <c r="D549" t="s">
        <v>210</v>
      </c>
      <c r="E549" t="s">
        <v>1012</v>
      </c>
      <c r="F549">
        <v>2013</v>
      </c>
      <c r="G549">
        <v>65.2</v>
      </c>
      <c r="H549">
        <v>5</v>
      </c>
      <c r="I549">
        <v>1</v>
      </c>
      <c r="J549">
        <v>89</v>
      </c>
      <c r="K549">
        <v>58</v>
      </c>
      <c r="L549" t="s">
        <v>979</v>
      </c>
      <c r="M549">
        <v>25.805687203791472</v>
      </c>
      <c r="N549">
        <v>114</v>
      </c>
      <c r="O549">
        <v>0</v>
      </c>
      <c r="P549">
        <v>46.444444444444443</v>
      </c>
      <c r="Q549">
        <v>83.111111111111114</v>
      </c>
      <c r="R549">
        <v>20.638757240652971</v>
      </c>
      <c r="S549">
        <v>137</v>
      </c>
      <c r="T549">
        <v>7</v>
      </c>
      <c r="U549">
        <v>38.236842105263158</v>
      </c>
      <c r="V549">
        <v>264</v>
      </c>
      <c r="W549">
        <v>0</v>
      </c>
      <c r="X549">
        <v>42.251824817518248</v>
      </c>
      <c r="Y549">
        <v>264</v>
      </c>
      <c r="Z549">
        <v>0</v>
      </c>
      <c r="AA549">
        <v>77.646715328467153</v>
      </c>
      <c r="AB549">
        <v>200</v>
      </c>
      <c r="AC549">
        <v>0</v>
      </c>
      <c r="AD549">
        <v>37.228571428571428</v>
      </c>
      <c r="AE549">
        <v>137</v>
      </c>
      <c r="AF549">
        <v>0</v>
      </c>
      <c r="AG549">
        <v>73.452857142857127</v>
      </c>
      <c r="AH549">
        <v>178.6</v>
      </c>
      <c r="AI549">
        <v>0</v>
      </c>
      <c r="AJ549">
        <v>48</v>
      </c>
      <c r="AK549">
        <v>57.8</v>
      </c>
      <c r="AL549">
        <v>426</v>
      </c>
      <c r="AM549">
        <v>157</v>
      </c>
      <c r="AN549">
        <v>583</v>
      </c>
      <c r="AO549">
        <v>15</v>
      </c>
      <c r="AP549">
        <v>209</v>
      </c>
    </row>
    <row r="550" spans="1:42" x14ac:dyDescent="0.3">
      <c r="A550" t="s">
        <v>1238</v>
      </c>
      <c r="B550" t="s">
        <v>115</v>
      </c>
      <c r="C550" t="s">
        <v>16</v>
      </c>
      <c r="D550" t="s">
        <v>210</v>
      </c>
      <c r="E550" t="s">
        <v>1012</v>
      </c>
      <c r="F550">
        <v>2013</v>
      </c>
      <c r="G550">
        <v>57.8</v>
      </c>
      <c r="H550">
        <v>2</v>
      </c>
      <c r="I550">
        <v>1</v>
      </c>
      <c r="J550">
        <v>83</v>
      </c>
      <c r="K550">
        <v>48</v>
      </c>
      <c r="L550" t="s">
        <v>979</v>
      </c>
      <c r="M550">
        <v>25.7</v>
      </c>
      <c r="N550">
        <v>114</v>
      </c>
      <c r="O550">
        <v>0</v>
      </c>
      <c r="P550">
        <v>46.444444444444443</v>
      </c>
      <c r="Q550">
        <v>83.111111111111114</v>
      </c>
      <c r="R550">
        <v>20.74444444444444</v>
      </c>
      <c r="S550">
        <v>137</v>
      </c>
      <c r="T550">
        <v>7</v>
      </c>
      <c r="U550">
        <v>38.236842105263158</v>
      </c>
      <c r="V550">
        <v>264</v>
      </c>
      <c r="W550">
        <v>0</v>
      </c>
      <c r="X550">
        <v>42.251824817518248</v>
      </c>
      <c r="Y550">
        <v>264</v>
      </c>
      <c r="Z550">
        <v>0</v>
      </c>
      <c r="AA550">
        <v>77.646715328467153</v>
      </c>
      <c r="AB550">
        <v>200</v>
      </c>
      <c r="AC550">
        <v>0</v>
      </c>
      <c r="AD550">
        <v>37.228571428571428</v>
      </c>
      <c r="AE550">
        <v>137</v>
      </c>
      <c r="AF550">
        <v>0</v>
      </c>
      <c r="AG550">
        <v>73.452857142857127</v>
      </c>
      <c r="AH550">
        <v>178.6</v>
      </c>
      <c r="AI550">
        <v>0</v>
      </c>
      <c r="AJ550">
        <v>46</v>
      </c>
      <c r="AK550">
        <v>59</v>
      </c>
      <c r="AL550">
        <v>424</v>
      </c>
      <c r="AM550">
        <v>156</v>
      </c>
      <c r="AN550">
        <v>580</v>
      </c>
      <c r="AO550">
        <v>12</v>
      </c>
      <c r="AP550">
        <v>206</v>
      </c>
    </row>
    <row r="551" spans="1:42" x14ac:dyDescent="0.3">
      <c r="A551" t="s">
        <v>1246</v>
      </c>
      <c r="B551" t="s">
        <v>208</v>
      </c>
      <c r="C551" t="s">
        <v>16</v>
      </c>
      <c r="D551" t="s">
        <v>210</v>
      </c>
      <c r="E551" t="s">
        <v>1012</v>
      </c>
      <c r="F551">
        <v>2013</v>
      </c>
      <c r="G551">
        <v>59</v>
      </c>
      <c r="H551">
        <v>5</v>
      </c>
      <c r="I551">
        <v>0</v>
      </c>
      <c r="J551">
        <v>78</v>
      </c>
      <c r="K551">
        <v>46</v>
      </c>
      <c r="L551" t="s">
        <v>979</v>
      </c>
      <c r="M551">
        <v>25.602870813397129</v>
      </c>
      <c r="N551">
        <v>114</v>
      </c>
      <c r="O551">
        <v>0</v>
      </c>
      <c r="P551">
        <v>46.444444444444443</v>
      </c>
      <c r="Q551">
        <v>83.111111111111114</v>
      </c>
      <c r="R551">
        <v>20.841573631047311</v>
      </c>
      <c r="S551">
        <v>137</v>
      </c>
      <c r="T551">
        <v>7</v>
      </c>
      <c r="U551">
        <v>47.081967213114751</v>
      </c>
      <c r="V551">
        <v>177</v>
      </c>
      <c r="W551">
        <v>0</v>
      </c>
      <c r="X551">
        <v>42.251824817518248</v>
      </c>
      <c r="Y551">
        <v>264</v>
      </c>
      <c r="Z551">
        <v>0</v>
      </c>
      <c r="AA551">
        <v>77.646715328467153</v>
      </c>
      <c r="AB551">
        <v>200</v>
      </c>
      <c r="AC551">
        <v>0</v>
      </c>
      <c r="AD551">
        <v>37.228571428571428</v>
      </c>
      <c r="AE551">
        <v>137</v>
      </c>
      <c r="AF551">
        <v>0</v>
      </c>
      <c r="AG551">
        <v>73.452857142857127</v>
      </c>
      <c r="AH551">
        <v>178.6</v>
      </c>
      <c r="AI551">
        <v>0</v>
      </c>
      <c r="AJ551">
        <v>65</v>
      </c>
      <c r="AK551">
        <v>52.95</v>
      </c>
      <c r="AL551">
        <v>419</v>
      </c>
      <c r="AM551">
        <v>156</v>
      </c>
      <c r="AN551">
        <v>575</v>
      </c>
      <c r="AO551">
        <v>7</v>
      </c>
      <c r="AP551">
        <v>201</v>
      </c>
    </row>
    <row r="552" spans="1:42" x14ac:dyDescent="0.3">
      <c r="A552" t="s">
        <v>1634</v>
      </c>
      <c r="B552" t="s">
        <v>115</v>
      </c>
      <c r="C552" t="s">
        <v>16</v>
      </c>
      <c r="D552" t="s">
        <v>770</v>
      </c>
      <c r="E552" t="s">
        <v>1012</v>
      </c>
      <c r="F552">
        <v>2013</v>
      </c>
      <c r="G552">
        <v>38.5</v>
      </c>
      <c r="H552">
        <v>0</v>
      </c>
      <c r="I552">
        <v>0</v>
      </c>
      <c r="J552">
        <v>13</v>
      </c>
      <c r="K552">
        <v>5</v>
      </c>
      <c r="L552" t="s">
        <v>1327</v>
      </c>
      <c r="M552">
        <v>25.70192307692308</v>
      </c>
      <c r="N552">
        <v>114</v>
      </c>
      <c r="O552">
        <v>0</v>
      </c>
      <c r="P552">
        <v>25.2</v>
      </c>
      <c r="Q552">
        <v>43.68</v>
      </c>
      <c r="R552">
        <v>-0.50192307692307736</v>
      </c>
      <c r="S552">
        <v>60</v>
      </c>
      <c r="T552">
        <v>0</v>
      </c>
      <c r="U552">
        <v>38.236842105263158</v>
      </c>
      <c r="V552">
        <v>264</v>
      </c>
      <c r="W552">
        <v>0</v>
      </c>
      <c r="X552">
        <v>42.251824817518248</v>
      </c>
      <c r="Y552">
        <v>264</v>
      </c>
      <c r="Z552">
        <v>0</v>
      </c>
      <c r="AA552">
        <v>77.646715328467153</v>
      </c>
      <c r="AB552">
        <v>200</v>
      </c>
      <c r="AC552">
        <v>0</v>
      </c>
      <c r="AD552">
        <v>37.228571428571428</v>
      </c>
      <c r="AE552">
        <v>137</v>
      </c>
      <c r="AF552">
        <v>0</v>
      </c>
      <c r="AG552">
        <v>73.452857142857127</v>
      </c>
      <c r="AH552">
        <v>178.6</v>
      </c>
      <c r="AI552">
        <v>0</v>
      </c>
      <c r="AJ552">
        <v>60</v>
      </c>
      <c r="AK552">
        <v>67.400000000000006</v>
      </c>
      <c r="AL552">
        <v>419</v>
      </c>
      <c r="AM552">
        <v>156</v>
      </c>
      <c r="AN552">
        <v>575</v>
      </c>
      <c r="AO552">
        <v>8</v>
      </c>
      <c r="AP552">
        <v>201</v>
      </c>
    </row>
    <row r="553" spans="1:42" x14ac:dyDescent="0.3">
      <c r="A553" t="s">
        <v>1165</v>
      </c>
      <c r="B553" t="s">
        <v>208</v>
      </c>
      <c r="C553" t="s">
        <v>16</v>
      </c>
      <c r="D553" t="s">
        <v>770</v>
      </c>
      <c r="E553" t="s">
        <v>1007</v>
      </c>
      <c r="F553">
        <v>2013</v>
      </c>
      <c r="G553">
        <v>67.400000000000006</v>
      </c>
      <c r="H553">
        <v>4</v>
      </c>
      <c r="I553">
        <v>1</v>
      </c>
      <c r="J553">
        <v>89</v>
      </c>
      <c r="K553">
        <v>60</v>
      </c>
      <c r="L553" t="s">
        <v>979</v>
      </c>
      <c r="M553">
        <v>25.536231884057969</v>
      </c>
      <c r="N553">
        <v>114</v>
      </c>
      <c r="O553">
        <v>0</v>
      </c>
      <c r="P553">
        <v>25.2</v>
      </c>
      <c r="Q553">
        <v>43.68</v>
      </c>
      <c r="R553">
        <v>-0.33623188405797322</v>
      </c>
      <c r="S553">
        <v>60</v>
      </c>
      <c r="T553">
        <v>0</v>
      </c>
      <c r="U553">
        <v>47.081967213114751</v>
      </c>
      <c r="V553">
        <v>177</v>
      </c>
      <c r="W553">
        <v>0</v>
      </c>
      <c r="X553">
        <v>42.251824817518248</v>
      </c>
      <c r="Y553">
        <v>264</v>
      </c>
      <c r="Z553">
        <v>0</v>
      </c>
      <c r="AA553">
        <v>77.646715328467153</v>
      </c>
      <c r="AB553">
        <v>200</v>
      </c>
      <c r="AC553">
        <v>0</v>
      </c>
      <c r="AD553">
        <v>37.180327868852459</v>
      </c>
      <c r="AE553">
        <v>140</v>
      </c>
      <c r="AF553">
        <v>0</v>
      </c>
      <c r="AG553">
        <v>82.911475409836058</v>
      </c>
      <c r="AH553">
        <v>224.4</v>
      </c>
      <c r="AI553">
        <v>0</v>
      </c>
      <c r="AL553">
        <v>415</v>
      </c>
      <c r="AM553">
        <v>155</v>
      </c>
      <c r="AN553">
        <v>570</v>
      </c>
      <c r="AO553">
        <v>3</v>
      </c>
      <c r="AP553">
        <v>196</v>
      </c>
    </row>
    <row r="554" spans="1:42" x14ac:dyDescent="0.3">
      <c r="A554" t="s">
        <v>1561</v>
      </c>
      <c r="B554" t="s">
        <v>76</v>
      </c>
      <c r="C554" t="s">
        <v>16</v>
      </c>
      <c r="D554" t="s">
        <v>292</v>
      </c>
      <c r="E554" t="s">
        <v>1007</v>
      </c>
      <c r="F554">
        <v>2013</v>
      </c>
      <c r="G554">
        <v>64.3</v>
      </c>
      <c r="H554">
        <v>1</v>
      </c>
      <c r="I554">
        <v>0</v>
      </c>
      <c r="J554">
        <v>14</v>
      </c>
      <c r="K554">
        <v>9</v>
      </c>
      <c r="L554" t="s">
        <v>1327</v>
      </c>
      <c r="M554">
        <v>25.61650485436893</v>
      </c>
      <c r="N554">
        <v>114</v>
      </c>
      <c r="O554">
        <v>0</v>
      </c>
      <c r="P554">
        <v>68.285714285714292</v>
      </c>
      <c r="Q554">
        <v>93.428571428571431</v>
      </c>
      <c r="R554">
        <v>42.669209431345358</v>
      </c>
      <c r="S554">
        <v>123</v>
      </c>
      <c r="T554">
        <v>9</v>
      </c>
      <c r="U554">
        <v>48.215686274509807</v>
      </c>
      <c r="V554">
        <v>187</v>
      </c>
      <c r="W554">
        <v>0</v>
      </c>
      <c r="X554">
        <v>42.251824817518248</v>
      </c>
      <c r="Y554">
        <v>264</v>
      </c>
      <c r="Z554">
        <v>0</v>
      </c>
      <c r="AA554">
        <v>77.646715328467153</v>
      </c>
      <c r="AB554">
        <v>200</v>
      </c>
      <c r="AC554">
        <v>0</v>
      </c>
      <c r="AD554">
        <v>37.180327868852459</v>
      </c>
      <c r="AE554">
        <v>140</v>
      </c>
      <c r="AF554">
        <v>0</v>
      </c>
      <c r="AG554">
        <v>82.911475409836058</v>
      </c>
      <c r="AH554">
        <v>224.4</v>
      </c>
      <c r="AI554">
        <v>0</v>
      </c>
      <c r="AJ554">
        <v>33</v>
      </c>
      <c r="AK554">
        <v>66</v>
      </c>
      <c r="AL554">
        <v>414</v>
      </c>
      <c r="AM554">
        <v>155</v>
      </c>
      <c r="AN554">
        <v>569</v>
      </c>
      <c r="AO554">
        <v>2</v>
      </c>
      <c r="AP554">
        <v>195</v>
      </c>
    </row>
    <row r="555" spans="1:42" x14ac:dyDescent="0.3">
      <c r="A555" t="s">
        <v>1311</v>
      </c>
      <c r="B555" t="s">
        <v>115</v>
      </c>
      <c r="C555" t="s">
        <v>16</v>
      </c>
      <c r="D555" t="s">
        <v>508</v>
      </c>
      <c r="E555" t="s">
        <v>1007</v>
      </c>
      <c r="F555">
        <v>2013</v>
      </c>
      <c r="G555">
        <v>66</v>
      </c>
      <c r="H555">
        <v>4</v>
      </c>
      <c r="I555">
        <v>0</v>
      </c>
      <c r="J555">
        <v>50</v>
      </c>
      <c r="K555">
        <v>33</v>
      </c>
      <c r="L555" t="s">
        <v>979</v>
      </c>
      <c r="M555">
        <v>25.58048780487805</v>
      </c>
      <c r="N555">
        <v>114</v>
      </c>
      <c r="O555">
        <v>0</v>
      </c>
      <c r="P555">
        <v>38.75</v>
      </c>
      <c r="Q555">
        <v>65.400000000000006</v>
      </c>
      <c r="R555">
        <v>13.16951219512195</v>
      </c>
      <c r="S555">
        <v>65</v>
      </c>
      <c r="T555">
        <v>5</v>
      </c>
      <c r="U555">
        <v>38.236842105263158</v>
      </c>
      <c r="V555">
        <v>264</v>
      </c>
      <c r="W555">
        <v>0</v>
      </c>
      <c r="X555">
        <v>42.251824817518248</v>
      </c>
      <c r="Y555">
        <v>264</v>
      </c>
      <c r="Z555">
        <v>0</v>
      </c>
      <c r="AA555">
        <v>77.646715328467153</v>
      </c>
      <c r="AB555">
        <v>200</v>
      </c>
      <c r="AC555">
        <v>0</v>
      </c>
      <c r="AD555">
        <v>37.180327868852459</v>
      </c>
      <c r="AE555">
        <v>140</v>
      </c>
      <c r="AF555">
        <v>0</v>
      </c>
      <c r="AG555">
        <v>82.911475409836058</v>
      </c>
      <c r="AH555">
        <v>224.4</v>
      </c>
      <c r="AI555">
        <v>0</v>
      </c>
      <c r="AJ555">
        <v>18</v>
      </c>
      <c r="AK555">
        <v>56.3</v>
      </c>
      <c r="AL555">
        <v>410</v>
      </c>
      <c r="AM555">
        <v>155</v>
      </c>
      <c r="AN555">
        <v>565</v>
      </c>
      <c r="AO555">
        <v>9</v>
      </c>
      <c r="AP555">
        <v>191</v>
      </c>
    </row>
    <row r="556" spans="1:42" x14ac:dyDescent="0.3">
      <c r="A556" t="s">
        <v>1442</v>
      </c>
      <c r="B556" t="s">
        <v>71</v>
      </c>
      <c r="C556" t="s">
        <v>16</v>
      </c>
      <c r="D556" t="s">
        <v>292</v>
      </c>
      <c r="E556" t="s">
        <v>1007</v>
      </c>
      <c r="F556">
        <v>2013</v>
      </c>
      <c r="G556">
        <v>56.3</v>
      </c>
      <c r="H556">
        <v>2</v>
      </c>
      <c r="I556">
        <v>0</v>
      </c>
      <c r="J556">
        <v>32</v>
      </c>
      <c r="K556">
        <v>18</v>
      </c>
      <c r="L556" t="s">
        <v>1327</v>
      </c>
      <c r="M556">
        <v>25.617647058823529</v>
      </c>
      <c r="N556">
        <v>114</v>
      </c>
      <c r="O556">
        <v>0</v>
      </c>
      <c r="P556">
        <v>68.285714285714292</v>
      </c>
      <c r="Q556">
        <v>93.428571428571431</v>
      </c>
      <c r="R556">
        <v>42.668067226890763</v>
      </c>
      <c r="S556">
        <v>123</v>
      </c>
      <c r="T556">
        <v>9</v>
      </c>
      <c r="U556">
        <v>33.333333333333343</v>
      </c>
      <c r="V556">
        <v>140</v>
      </c>
      <c r="W556">
        <v>0</v>
      </c>
      <c r="X556">
        <v>42.251824817518248</v>
      </c>
      <c r="Y556">
        <v>264</v>
      </c>
      <c r="Z556">
        <v>0</v>
      </c>
      <c r="AA556">
        <v>77.646715328467153</v>
      </c>
      <c r="AB556">
        <v>200</v>
      </c>
      <c r="AC556">
        <v>0</v>
      </c>
      <c r="AD556">
        <v>37.180327868852459</v>
      </c>
      <c r="AE556">
        <v>140</v>
      </c>
      <c r="AF556">
        <v>0</v>
      </c>
      <c r="AG556">
        <v>82.911475409836058</v>
      </c>
      <c r="AH556">
        <v>224.4</v>
      </c>
      <c r="AI556">
        <v>0</v>
      </c>
      <c r="AJ556">
        <v>52</v>
      </c>
      <c r="AK556">
        <v>92.9</v>
      </c>
      <c r="AL556">
        <v>408</v>
      </c>
      <c r="AM556">
        <v>155</v>
      </c>
      <c r="AN556">
        <v>563</v>
      </c>
      <c r="AP556">
        <v>189</v>
      </c>
    </row>
    <row r="557" spans="1:42" x14ac:dyDescent="0.3">
      <c r="A557" t="s">
        <v>1207</v>
      </c>
      <c r="B557" t="s">
        <v>208</v>
      </c>
      <c r="C557" t="s">
        <v>16</v>
      </c>
      <c r="D557" t="s">
        <v>218</v>
      </c>
      <c r="E557" t="s">
        <v>1007</v>
      </c>
      <c r="F557">
        <v>2013</v>
      </c>
      <c r="G557">
        <v>92.9</v>
      </c>
      <c r="H557">
        <v>7</v>
      </c>
      <c r="I557">
        <v>0</v>
      </c>
      <c r="J557">
        <v>56</v>
      </c>
      <c r="K557">
        <v>52</v>
      </c>
      <c r="L557" t="s">
        <v>979</v>
      </c>
      <c r="M557">
        <v>25.487684729064039</v>
      </c>
      <c r="N557">
        <v>114</v>
      </c>
      <c r="O557">
        <v>0</v>
      </c>
      <c r="P557">
        <v>46.46153846153846</v>
      </c>
      <c r="Q557">
        <v>74.492307692307705</v>
      </c>
      <c r="R557">
        <v>20.973853732474421</v>
      </c>
      <c r="S557">
        <v>138</v>
      </c>
      <c r="T557">
        <v>0</v>
      </c>
      <c r="U557">
        <v>47.081967213114751</v>
      </c>
      <c r="V557">
        <v>177</v>
      </c>
      <c r="W557">
        <v>0</v>
      </c>
      <c r="X557">
        <v>42.251824817518248</v>
      </c>
      <c r="Y557">
        <v>264</v>
      </c>
      <c r="Z557">
        <v>0</v>
      </c>
      <c r="AA557">
        <v>77.646715328467153</v>
      </c>
      <c r="AB557">
        <v>200</v>
      </c>
      <c r="AC557">
        <v>0</v>
      </c>
      <c r="AD557">
        <v>37.180327868852459</v>
      </c>
      <c r="AE557">
        <v>140</v>
      </c>
      <c r="AF557">
        <v>0</v>
      </c>
      <c r="AG557">
        <v>82.911475409836058</v>
      </c>
      <c r="AH557">
        <v>224.4</v>
      </c>
      <c r="AI557">
        <v>0</v>
      </c>
      <c r="AJ557">
        <v>65</v>
      </c>
      <c r="AK557">
        <v>80.2</v>
      </c>
      <c r="AL557">
        <v>401</v>
      </c>
      <c r="AM557">
        <v>155</v>
      </c>
      <c r="AN557">
        <v>556</v>
      </c>
      <c r="AO557">
        <v>2</v>
      </c>
      <c r="AP557">
        <v>182</v>
      </c>
    </row>
    <row r="558" spans="1:42" x14ac:dyDescent="0.3">
      <c r="A558" t="s">
        <v>1142</v>
      </c>
      <c r="B558" t="s">
        <v>24</v>
      </c>
      <c r="C558" t="s">
        <v>16</v>
      </c>
      <c r="D558" t="s">
        <v>508</v>
      </c>
      <c r="E558" t="s">
        <v>1007</v>
      </c>
      <c r="F558">
        <v>2013</v>
      </c>
      <c r="G558">
        <v>80.2</v>
      </c>
      <c r="H558">
        <v>8</v>
      </c>
      <c r="I558">
        <v>1</v>
      </c>
      <c r="J558">
        <v>81</v>
      </c>
      <c r="K558">
        <v>65</v>
      </c>
      <c r="L558" t="s">
        <v>979</v>
      </c>
      <c r="M558">
        <v>25.292079207920789</v>
      </c>
      <c r="N558">
        <v>114</v>
      </c>
      <c r="O558">
        <v>0</v>
      </c>
      <c r="P558">
        <v>38.75</v>
      </c>
      <c r="Q558">
        <v>65.400000000000006</v>
      </c>
      <c r="R558">
        <v>13.457920792079211</v>
      </c>
      <c r="S558">
        <v>65</v>
      </c>
      <c r="T558">
        <v>5</v>
      </c>
      <c r="U558">
        <v>37.163636363636357</v>
      </c>
      <c r="V558">
        <v>303</v>
      </c>
      <c r="W558">
        <v>0</v>
      </c>
      <c r="X558">
        <v>42.251824817518248</v>
      </c>
      <c r="Y558">
        <v>264</v>
      </c>
      <c r="Z558">
        <v>0</v>
      </c>
      <c r="AA558">
        <v>77.646715328467153</v>
      </c>
      <c r="AB558">
        <v>200</v>
      </c>
      <c r="AC558">
        <v>0</v>
      </c>
      <c r="AD558">
        <v>37.180327868852459</v>
      </c>
      <c r="AE558">
        <v>140</v>
      </c>
      <c r="AF558">
        <v>0</v>
      </c>
      <c r="AG558">
        <v>82.911475409836058</v>
      </c>
      <c r="AH558">
        <v>224.4</v>
      </c>
      <c r="AI558">
        <v>0</v>
      </c>
      <c r="AL558">
        <v>393</v>
      </c>
      <c r="AM558">
        <v>154</v>
      </c>
      <c r="AN558">
        <v>547</v>
      </c>
      <c r="AP558">
        <v>173</v>
      </c>
    </row>
    <row r="559" spans="1:42" x14ac:dyDescent="0.3">
      <c r="A559" t="s">
        <v>1695</v>
      </c>
      <c r="B559" t="s">
        <v>56</v>
      </c>
      <c r="C559" t="s">
        <v>1043</v>
      </c>
      <c r="D559" t="s">
        <v>139</v>
      </c>
      <c r="E559" t="s">
        <v>1036</v>
      </c>
      <c r="F559">
        <v>2013</v>
      </c>
      <c r="G559">
        <v>40</v>
      </c>
      <c r="H559">
        <v>0</v>
      </c>
      <c r="I559">
        <v>0</v>
      </c>
      <c r="J559">
        <v>5</v>
      </c>
      <c r="K559">
        <v>2</v>
      </c>
      <c r="L559" t="s">
        <v>1327</v>
      </c>
      <c r="M559">
        <v>25.407960199004979</v>
      </c>
      <c r="N559">
        <v>114</v>
      </c>
      <c r="O559">
        <v>0</v>
      </c>
      <c r="P559">
        <v>45.666666666666657</v>
      </c>
      <c r="Q559">
        <v>104.1166666666667</v>
      </c>
      <c r="R559">
        <v>20.258706467661689</v>
      </c>
      <c r="S559">
        <v>264</v>
      </c>
      <c r="T559">
        <v>0</v>
      </c>
      <c r="U559">
        <v>25.6</v>
      </c>
      <c r="V559">
        <v>105</v>
      </c>
      <c r="W559">
        <v>0</v>
      </c>
      <c r="X559">
        <v>26.556862745098041</v>
      </c>
      <c r="Y559">
        <v>109</v>
      </c>
      <c r="Z559">
        <v>0</v>
      </c>
      <c r="AA559">
        <v>114.6301960784314</v>
      </c>
      <c r="AB559">
        <v>350</v>
      </c>
      <c r="AC559">
        <v>0</v>
      </c>
      <c r="AD559">
        <v>26.732758620689651</v>
      </c>
      <c r="AE559">
        <v>114</v>
      </c>
      <c r="AF559">
        <v>0</v>
      </c>
      <c r="AG559">
        <v>115.31896551724139</v>
      </c>
      <c r="AH559">
        <v>350</v>
      </c>
      <c r="AI559">
        <v>0</v>
      </c>
      <c r="AJ559">
        <v>10</v>
      </c>
      <c r="AK559">
        <v>39.15</v>
      </c>
      <c r="AL559">
        <v>393</v>
      </c>
      <c r="AM559">
        <v>154</v>
      </c>
      <c r="AN559">
        <v>547</v>
      </c>
      <c r="AO559">
        <v>21</v>
      </c>
      <c r="AP559">
        <v>276</v>
      </c>
    </row>
    <row r="560" spans="1:42" x14ac:dyDescent="0.3">
      <c r="A560" t="s">
        <v>1696</v>
      </c>
      <c r="B560" t="s">
        <v>4</v>
      </c>
      <c r="C560" t="s">
        <v>1043</v>
      </c>
      <c r="D560" t="s">
        <v>139</v>
      </c>
      <c r="E560" t="s">
        <v>1036</v>
      </c>
      <c r="F560">
        <v>2013</v>
      </c>
      <c r="G560">
        <v>25</v>
      </c>
      <c r="H560">
        <v>0</v>
      </c>
      <c r="I560">
        <v>0</v>
      </c>
      <c r="J560">
        <v>8</v>
      </c>
      <c r="K560">
        <v>2</v>
      </c>
      <c r="L560" t="s">
        <v>1327</v>
      </c>
      <c r="M560">
        <v>25.524999999999999</v>
      </c>
      <c r="N560">
        <v>114</v>
      </c>
      <c r="O560">
        <v>0</v>
      </c>
      <c r="P560">
        <v>45.666666666666657</v>
      </c>
      <c r="Q560">
        <v>104.1166666666667</v>
      </c>
      <c r="R560">
        <v>20.141666666666669</v>
      </c>
      <c r="S560">
        <v>264</v>
      </c>
      <c r="T560">
        <v>0</v>
      </c>
      <c r="U560">
        <v>20.68965517241379</v>
      </c>
      <c r="V560">
        <v>73</v>
      </c>
      <c r="W560">
        <v>0</v>
      </c>
      <c r="X560">
        <v>26.556862745098041</v>
      </c>
      <c r="Y560">
        <v>109</v>
      </c>
      <c r="Z560">
        <v>0</v>
      </c>
      <c r="AA560">
        <v>114.6301960784314</v>
      </c>
      <c r="AB560">
        <v>350</v>
      </c>
      <c r="AC560">
        <v>0</v>
      </c>
      <c r="AD560">
        <v>26.732758620689651</v>
      </c>
      <c r="AE560">
        <v>114</v>
      </c>
      <c r="AF560">
        <v>0</v>
      </c>
      <c r="AG560">
        <v>115.31896551724139</v>
      </c>
      <c r="AH560">
        <v>350</v>
      </c>
      <c r="AI560">
        <v>0</v>
      </c>
      <c r="AJ560">
        <v>8</v>
      </c>
      <c r="AK560">
        <v>53.3</v>
      </c>
      <c r="AL560">
        <v>393</v>
      </c>
      <c r="AM560">
        <v>154</v>
      </c>
      <c r="AN560">
        <v>547</v>
      </c>
      <c r="AO560">
        <v>21</v>
      </c>
      <c r="AP560">
        <v>276</v>
      </c>
    </row>
    <row r="561" spans="1:42" x14ac:dyDescent="0.3">
      <c r="A561" t="s">
        <v>1582</v>
      </c>
      <c r="B561" t="s">
        <v>56</v>
      </c>
      <c r="C561" t="s">
        <v>1043</v>
      </c>
      <c r="D561" t="s">
        <v>9</v>
      </c>
      <c r="E561" t="s">
        <v>1036</v>
      </c>
      <c r="F561">
        <v>2013</v>
      </c>
      <c r="G561">
        <v>53.3</v>
      </c>
      <c r="H561">
        <v>0</v>
      </c>
      <c r="I561">
        <v>0</v>
      </c>
      <c r="J561">
        <v>15</v>
      </c>
      <c r="K561">
        <v>8</v>
      </c>
      <c r="L561" t="s">
        <v>1327</v>
      </c>
      <c r="M561">
        <v>25.613065326633169</v>
      </c>
      <c r="N561">
        <v>114</v>
      </c>
      <c r="O561">
        <v>0</v>
      </c>
      <c r="P561">
        <v>38.36</v>
      </c>
      <c r="Q561">
        <v>122.748</v>
      </c>
      <c r="R561">
        <v>12.74693467336683</v>
      </c>
      <c r="S561">
        <v>131</v>
      </c>
      <c r="T561">
        <v>1</v>
      </c>
      <c r="U561">
        <v>25.6</v>
      </c>
      <c r="V561">
        <v>105</v>
      </c>
      <c r="W561">
        <v>0</v>
      </c>
      <c r="X561">
        <v>26.556862745098041</v>
      </c>
      <c r="Y561">
        <v>109</v>
      </c>
      <c r="Z561">
        <v>0</v>
      </c>
      <c r="AA561">
        <v>114.6301960784314</v>
      </c>
      <c r="AB561">
        <v>350</v>
      </c>
      <c r="AC561">
        <v>0</v>
      </c>
      <c r="AD561">
        <v>26.732758620689651</v>
      </c>
      <c r="AE561">
        <v>114</v>
      </c>
      <c r="AF561">
        <v>0</v>
      </c>
      <c r="AG561">
        <v>115.31896551724139</v>
      </c>
      <c r="AH561">
        <v>350</v>
      </c>
      <c r="AI561">
        <v>0</v>
      </c>
      <c r="AJ561">
        <v>25</v>
      </c>
      <c r="AK561">
        <v>100</v>
      </c>
      <c r="AL561">
        <v>393</v>
      </c>
      <c r="AM561">
        <v>154</v>
      </c>
      <c r="AN561">
        <v>547</v>
      </c>
      <c r="AO561">
        <v>22</v>
      </c>
      <c r="AP561">
        <v>276</v>
      </c>
    </row>
    <row r="562" spans="1:42" x14ac:dyDescent="0.3">
      <c r="A562" t="s">
        <v>1372</v>
      </c>
      <c r="B562" t="s">
        <v>40</v>
      </c>
      <c r="C562" t="s">
        <v>1043</v>
      </c>
      <c r="D562" t="s">
        <v>154</v>
      </c>
      <c r="E562" t="s">
        <v>1036</v>
      </c>
      <c r="F562">
        <v>2013</v>
      </c>
      <c r="G562">
        <v>100</v>
      </c>
      <c r="H562">
        <v>2</v>
      </c>
      <c r="I562">
        <v>1</v>
      </c>
      <c r="J562">
        <v>25</v>
      </c>
      <c r="K562">
        <v>25</v>
      </c>
      <c r="L562" t="s">
        <v>1327</v>
      </c>
      <c r="M562">
        <v>25.616161616161619</v>
      </c>
      <c r="N562">
        <v>114</v>
      </c>
      <c r="O562">
        <v>0</v>
      </c>
      <c r="P562">
        <v>37.4</v>
      </c>
      <c r="Q562">
        <v>83.72</v>
      </c>
      <c r="R562">
        <v>11.783838383838379</v>
      </c>
      <c r="S562">
        <v>106</v>
      </c>
      <c r="T562">
        <v>1</v>
      </c>
      <c r="U562">
        <v>28.12903225806452</v>
      </c>
      <c r="V562">
        <v>79</v>
      </c>
      <c r="W562">
        <v>0</v>
      </c>
      <c r="X562">
        <v>26.556862745098041</v>
      </c>
      <c r="Y562">
        <v>109</v>
      </c>
      <c r="Z562">
        <v>0</v>
      </c>
      <c r="AA562">
        <v>114.6301960784314</v>
      </c>
      <c r="AB562">
        <v>350</v>
      </c>
      <c r="AC562">
        <v>0</v>
      </c>
      <c r="AD562">
        <v>26.732758620689651</v>
      </c>
      <c r="AE562">
        <v>114</v>
      </c>
      <c r="AF562">
        <v>0</v>
      </c>
      <c r="AG562">
        <v>115.31896551724139</v>
      </c>
      <c r="AH562">
        <v>350</v>
      </c>
      <c r="AI562">
        <v>0</v>
      </c>
      <c r="AJ562">
        <v>34</v>
      </c>
      <c r="AK562">
        <v>144.44999999999999</v>
      </c>
      <c r="AL562">
        <v>391</v>
      </c>
      <c r="AM562">
        <v>153</v>
      </c>
      <c r="AN562">
        <v>544</v>
      </c>
      <c r="AO562">
        <v>10</v>
      </c>
      <c r="AP562">
        <v>273</v>
      </c>
    </row>
    <row r="563" spans="1:42" x14ac:dyDescent="0.3">
      <c r="A563" t="s">
        <v>1485</v>
      </c>
      <c r="B563" t="s">
        <v>4</v>
      </c>
      <c r="C563" t="s">
        <v>1043</v>
      </c>
      <c r="D563" t="s">
        <v>12</v>
      </c>
      <c r="E563" t="s">
        <v>1036</v>
      </c>
      <c r="F563">
        <v>2013</v>
      </c>
      <c r="G563">
        <v>155.6</v>
      </c>
      <c r="H563">
        <v>2</v>
      </c>
      <c r="I563">
        <v>0</v>
      </c>
      <c r="J563">
        <v>9</v>
      </c>
      <c r="K563">
        <v>14</v>
      </c>
      <c r="L563" t="s">
        <v>1327</v>
      </c>
      <c r="M563">
        <v>25.675126903553299</v>
      </c>
      <c r="N563">
        <v>114</v>
      </c>
      <c r="O563">
        <v>0</v>
      </c>
      <c r="P563">
        <v>31.203883495145629</v>
      </c>
      <c r="Q563">
        <v>120.5689320388349</v>
      </c>
      <c r="R563">
        <v>5.5287565915923338</v>
      </c>
      <c r="S563">
        <v>162</v>
      </c>
      <c r="T563">
        <v>0</v>
      </c>
      <c r="U563">
        <v>20.68965517241379</v>
      </c>
      <c r="V563">
        <v>73</v>
      </c>
      <c r="W563">
        <v>0</v>
      </c>
      <c r="X563">
        <v>26.556862745098041</v>
      </c>
      <c r="Y563">
        <v>109</v>
      </c>
      <c r="Z563">
        <v>0</v>
      </c>
      <c r="AA563">
        <v>114.6301960784314</v>
      </c>
      <c r="AB563">
        <v>350</v>
      </c>
      <c r="AC563">
        <v>0</v>
      </c>
      <c r="AD563">
        <v>26.732758620689651</v>
      </c>
      <c r="AE563">
        <v>114</v>
      </c>
      <c r="AF563">
        <v>0</v>
      </c>
      <c r="AG563">
        <v>115.31896551724139</v>
      </c>
      <c r="AH563">
        <v>350</v>
      </c>
      <c r="AI563">
        <v>0</v>
      </c>
      <c r="AJ563">
        <v>57</v>
      </c>
      <c r="AK563">
        <v>111.75</v>
      </c>
      <c r="AL563">
        <v>389</v>
      </c>
      <c r="AM563">
        <v>153</v>
      </c>
      <c r="AN563">
        <v>542</v>
      </c>
      <c r="AO563">
        <v>92</v>
      </c>
      <c r="AP563">
        <v>271</v>
      </c>
    </row>
    <row r="564" spans="1:42" x14ac:dyDescent="0.3">
      <c r="A564" t="s">
        <v>1420</v>
      </c>
      <c r="B564" t="s">
        <v>53</v>
      </c>
      <c r="C564" t="s">
        <v>1043</v>
      </c>
      <c r="D564" t="s">
        <v>12</v>
      </c>
      <c r="E564" t="s">
        <v>1036</v>
      </c>
      <c r="F564">
        <v>2013</v>
      </c>
      <c r="G564">
        <v>133.30000000000001</v>
      </c>
      <c r="H564">
        <v>0</v>
      </c>
      <c r="I564">
        <v>2</v>
      </c>
      <c r="J564">
        <v>15</v>
      </c>
      <c r="K564">
        <v>20</v>
      </c>
      <c r="L564" t="s">
        <v>1327</v>
      </c>
      <c r="M564">
        <v>25.704081632653061</v>
      </c>
      <c r="N564">
        <v>114</v>
      </c>
      <c r="O564">
        <v>0</v>
      </c>
      <c r="P564">
        <v>31.203883495145629</v>
      </c>
      <c r="Q564">
        <v>120.5689320388349</v>
      </c>
      <c r="R564">
        <v>5.4998018624925713</v>
      </c>
      <c r="S564">
        <v>162</v>
      </c>
      <c r="T564">
        <v>0</v>
      </c>
      <c r="U564">
        <v>19.375</v>
      </c>
      <c r="V564">
        <v>70</v>
      </c>
      <c r="W564">
        <v>1</v>
      </c>
      <c r="X564">
        <v>26.556862745098041</v>
      </c>
      <c r="Y564">
        <v>109</v>
      </c>
      <c r="Z564">
        <v>0</v>
      </c>
      <c r="AA564">
        <v>114.6301960784314</v>
      </c>
      <c r="AB564">
        <v>350</v>
      </c>
      <c r="AC564">
        <v>0</v>
      </c>
      <c r="AD564">
        <v>26.732758620689651</v>
      </c>
      <c r="AE564">
        <v>114</v>
      </c>
      <c r="AF564">
        <v>0</v>
      </c>
      <c r="AG564">
        <v>115.31896551724139</v>
      </c>
      <c r="AH564">
        <v>350</v>
      </c>
      <c r="AI564">
        <v>0</v>
      </c>
      <c r="AJ564">
        <v>37</v>
      </c>
      <c r="AK564">
        <v>90.2</v>
      </c>
      <c r="AL564">
        <v>389</v>
      </c>
      <c r="AM564">
        <v>151</v>
      </c>
      <c r="AN564">
        <v>540</v>
      </c>
      <c r="AO564">
        <v>90</v>
      </c>
      <c r="AP564">
        <v>269</v>
      </c>
    </row>
    <row r="565" spans="1:42" x14ac:dyDescent="0.3">
      <c r="A565" t="s">
        <v>1291</v>
      </c>
      <c r="B565" t="s">
        <v>783</v>
      </c>
      <c r="C565" t="s">
        <v>5</v>
      </c>
      <c r="D565" t="s">
        <v>100</v>
      </c>
      <c r="E565" t="s">
        <v>1036</v>
      </c>
      <c r="F565">
        <v>2013</v>
      </c>
      <c r="G565">
        <v>90.2</v>
      </c>
      <c r="H565">
        <v>3</v>
      </c>
      <c r="I565">
        <v>0</v>
      </c>
      <c r="J565">
        <v>41</v>
      </c>
      <c r="K565">
        <v>37</v>
      </c>
      <c r="L565" t="s">
        <v>979</v>
      </c>
      <c r="M565">
        <v>25.646153846153851</v>
      </c>
      <c r="N565">
        <v>114</v>
      </c>
      <c r="O565">
        <v>0</v>
      </c>
      <c r="P565">
        <v>25.444444444444439</v>
      </c>
      <c r="Q565">
        <v>86.627777777777794</v>
      </c>
      <c r="R565">
        <v>-0.20170940170940449</v>
      </c>
      <c r="S565">
        <v>85</v>
      </c>
      <c r="T565">
        <v>0</v>
      </c>
      <c r="U565">
        <v>19.600000000000001</v>
      </c>
      <c r="V565">
        <v>62</v>
      </c>
      <c r="W565">
        <v>1</v>
      </c>
      <c r="X565">
        <v>28.189024390243901</v>
      </c>
      <c r="Y565">
        <v>121</v>
      </c>
      <c r="Z565">
        <v>0</v>
      </c>
      <c r="AA565">
        <v>116.45060975609761</v>
      </c>
      <c r="AB565">
        <v>274.39999999999998</v>
      </c>
      <c r="AC565">
        <v>0</v>
      </c>
      <c r="AD565">
        <v>26.732758620689651</v>
      </c>
      <c r="AE565">
        <v>114</v>
      </c>
      <c r="AF565">
        <v>0</v>
      </c>
      <c r="AG565">
        <v>115.31896551724139</v>
      </c>
      <c r="AH565">
        <v>350</v>
      </c>
      <c r="AI565">
        <v>0</v>
      </c>
      <c r="AJ565">
        <v>16</v>
      </c>
      <c r="AK565">
        <v>145.5</v>
      </c>
      <c r="AL565">
        <v>386</v>
      </c>
      <c r="AM565">
        <v>151</v>
      </c>
      <c r="AN565">
        <v>537</v>
      </c>
      <c r="AO565">
        <v>0</v>
      </c>
      <c r="AP565">
        <v>95</v>
      </c>
    </row>
    <row r="566" spans="1:42" x14ac:dyDescent="0.3">
      <c r="A566" t="s">
        <v>1458</v>
      </c>
      <c r="B566" t="s">
        <v>11</v>
      </c>
      <c r="C566" t="s">
        <v>1043</v>
      </c>
      <c r="D566" t="s">
        <v>12</v>
      </c>
      <c r="E566" t="s">
        <v>1036</v>
      </c>
      <c r="F566">
        <v>2013</v>
      </c>
      <c r="G566">
        <v>145.5</v>
      </c>
      <c r="H566">
        <v>1</v>
      </c>
      <c r="I566">
        <v>1</v>
      </c>
      <c r="J566">
        <v>11</v>
      </c>
      <c r="K566">
        <v>16</v>
      </c>
      <c r="L566" t="s">
        <v>1327</v>
      </c>
      <c r="M566">
        <v>25.69587628865979</v>
      </c>
      <c r="N566">
        <v>114</v>
      </c>
      <c r="O566">
        <v>0</v>
      </c>
      <c r="P566">
        <v>31.203883495145629</v>
      </c>
      <c r="Q566">
        <v>120.5689320388349</v>
      </c>
      <c r="R566">
        <v>5.5080072064858392</v>
      </c>
      <c r="S566">
        <v>162</v>
      </c>
      <c r="T566">
        <v>0</v>
      </c>
      <c r="U566">
        <v>31.852941176470591</v>
      </c>
      <c r="V566">
        <v>109</v>
      </c>
      <c r="W566">
        <v>0</v>
      </c>
      <c r="X566">
        <v>26.556862745098041</v>
      </c>
      <c r="Y566">
        <v>109</v>
      </c>
      <c r="Z566">
        <v>0</v>
      </c>
      <c r="AA566">
        <v>114.6301960784314</v>
      </c>
      <c r="AB566">
        <v>350</v>
      </c>
      <c r="AC566">
        <v>0</v>
      </c>
      <c r="AD566">
        <v>26.732758620689651</v>
      </c>
      <c r="AE566">
        <v>114</v>
      </c>
      <c r="AF566">
        <v>0</v>
      </c>
      <c r="AG566">
        <v>115.31896551724139</v>
      </c>
      <c r="AH566">
        <v>350</v>
      </c>
      <c r="AI566">
        <v>0</v>
      </c>
      <c r="AJ566">
        <v>39</v>
      </c>
      <c r="AK566">
        <v>130</v>
      </c>
      <c r="AL566">
        <v>385</v>
      </c>
      <c r="AM566">
        <v>150</v>
      </c>
      <c r="AN566">
        <v>535</v>
      </c>
      <c r="AO566">
        <v>88</v>
      </c>
      <c r="AP566">
        <v>267</v>
      </c>
    </row>
    <row r="567" spans="1:42" x14ac:dyDescent="0.3">
      <c r="A567" t="s">
        <v>1280</v>
      </c>
      <c r="B567" t="s">
        <v>56</v>
      </c>
      <c r="C567" t="s">
        <v>1043</v>
      </c>
      <c r="D567" t="s">
        <v>12</v>
      </c>
      <c r="E567" t="s">
        <v>1036</v>
      </c>
      <c r="F567">
        <v>2013</v>
      </c>
      <c r="G567">
        <v>130</v>
      </c>
      <c r="H567">
        <v>3</v>
      </c>
      <c r="I567">
        <v>1</v>
      </c>
      <c r="J567">
        <v>30</v>
      </c>
      <c r="K567">
        <v>39</v>
      </c>
      <c r="L567" t="s">
        <v>979</v>
      </c>
      <c r="M567">
        <v>25.626943005181349</v>
      </c>
      <c r="N567">
        <v>114</v>
      </c>
      <c r="O567">
        <v>0</v>
      </c>
      <c r="P567">
        <v>31.203883495145629</v>
      </c>
      <c r="Q567">
        <v>120.5689320388349</v>
      </c>
      <c r="R567">
        <v>5.5769404899642856</v>
      </c>
      <c r="S567">
        <v>162</v>
      </c>
      <c r="T567">
        <v>0</v>
      </c>
      <c r="U567">
        <v>25.6</v>
      </c>
      <c r="V567">
        <v>105</v>
      </c>
      <c r="W567">
        <v>0</v>
      </c>
      <c r="X567">
        <v>26.556862745098041</v>
      </c>
      <c r="Y567">
        <v>109</v>
      </c>
      <c r="Z567">
        <v>0</v>
      </c>
      <c r="AA567">
        <v>114.6301960784314</v>
      </c>
      <c r="AB567">
        <v>350</v>
      </c>
      <c r="AC567">
        <v>0</v>
      </c>
      <c r="AD567">
        <v>26.732758620689651</v>
      </c>
      <c r="AE567">
        <v>114</v>
      </c>
      <c r="AF567">
        <v>0</v>
      </c>
      <c r="AG567">
        <v>115.31896551724139</v>
      </c>
      <c r="AH567">
        <v>350</v>
      </c>
      <c r="AI567">
        <v>0</v>
      </c>
      <c r="AJ567">
        <v>22</v>
      </c>
      <c r="AK567">
        <v>100</v>
      </c>
      <c r="AL567">
        <v>382</v>
      </c>
      <c r="AM567">
        <v>149</v>
      </c>
      <c r="AN567">
        <v>531</v>
      </c>
      <c r="AO567">
        <v>84</v>
      </c>
      <c r="AP567">
        <v>263</v>
      </c>
    </row>
    <row r="568" spans="1:42" x14ac:dyDescent="0.3">
      <c r="A568" t="s">
        <v>1397</v>
      </c>
      <c r="B568" t="s">
        <v>53</v>
      </c>
      <c r="C568" t="s">
        <v>1043</v>
      </c>
      <c r="D568" t="s">
        <v>54</v>
      </c>
      <c r="E568" t="s">
        <v>1036</v>
      </c>
      <c r="F568">
        <v>2013</v>
      </c>
      <c r="G568">
        <v>100</v>
      </c>
      <c r="H568">
        <v>2</v>
      </c>
      <c r="I568">
        <v>0</v>
      </c>
      <c r="J568">
        <v>22</v>
      </c>
      <c r="K568">
        <v>22</v>
      </c>
      <c r="L568" t="s">
        <v>1327</v>
      </c>
      <c r="M568">
        <v>25.645833333333329</v>
      </c>
      <c r="N568">
        <v>114</v>
      </c>
      <c r="O568">
        <v>0</v>
      </c>
      <c r="P568">
        <v>30</v>
      </c>
      <c r="Q568">
        <v>129.072</v>
      </c>
      <c r="R568">
        <v>4.3541666666666679</v>
      </c>
      <c r="S568">
        <v>76</v>
      </c>
      <c r="T568">
        <v>1</v>
      </c>
      <c r="U568">
        <v>19.375</v>
      </c>
      <c r="V568">
        <v>70</v>
      </c>
      <c r="W568">
        <v>1</v>
      </c>
      <c r="X568">
        <v>26.556862745098041</v>
      </c>
      <c r="Y568">
        <v>109</v>
      </c>
      <c r="Z568">
        <v>0</v>
      </c>
      <c r="AA568">
        <v>114.6301960784314</v>
      </c>
      <c r="AB568">
        <v>350</v>
      </c>
      <c r="AC568">
        <v>0</v>
      </c>
      <c r="AD568">
        <v>26.732758620689651</v>
      </c>
      <c r="AE568">
        <v>114</v>
      </c>
      <c r="AF568">
        <v>0</v>
      </c>
      <c r="AG568">
        <v>115.31896551724139</v>
      </c>
      <c r="AH568">
        <v>350</v>
      </c>
      <c r="AI568">
        <v>0</v>
      </c>
      <c r="AJ568">
        <v>89</v>
      </c>
      <c r="AK568">
        <v>163.80000000000001</v>
      </c>
      <c r="AL568">
        <v>380</v>
      </c>
      <c r="AM568">
        <v>149</v>
      </c>
      <c r="AN568">
        <v>529</v>
      </c>
      <c r="AO568">
        <v>42</v>
      </c>
      <c r="AP568">
        <v>261</v>
      </c>
    </row>
    <row r="569" spans="1:42" x14ac:dyDescent="0.3">
      <c r="A569" t="s">
        <v>1093</v>
      </c>
      <c r="B569" t="s">
        <v>40</v>
      </c>
      <c r="C569" t="s">
        <v>1043</v>
      </c>
      <c r="D569" t="s">
        <v>12</v>
      </c>
      <c r="E569" t="s">
        <v>1047</v>
      </c>
      <c r="F569">
        <v>2013</v>
      </c>
      <c r="G569">
        <v>202.6</v>
      </c>
      <c r="H569">
        <v>6</v>
      </c>
      <c r="I569">
        <v>6</v>
      </c>
      <c r="J569">
        <v>39</v>
      </c>
      <c r="K569">
        <v>79</v>
      </c>
      <c r="L569" t="s">
        <v>979</v>
      </c>
      <c r="M569">
        <v>25.366492146596858</v>
      </c>
      <c r="N569">
        <v>114</v>
      </c>
      <c r="O569">
        <v>0</v>
      </c>
      <c r="P569">
        <v>31.203883495145629</v>
      </c>
      <c r="Q569">
        <v>120.5689320388349</v>
      </c>
      <c r="R569">
        <v>5.8373913485487741</v>
      </c>
      <c r="S569">
        <v>162</v>
      </c>
      <c r="T569">
        <v>0</v>
      </c>
      <c r="U569">
        <v>28.12903225806452</v>
      </c>
      <c r="V569">
        <v>79</v>
      </c>
      <c r="W569">
        <v>0</v>
      </c>
      <c r="X569">
        <v>26.556862745098041</v>
      </c>
      <c r="Y569">
        <v>109</v>
      </c>
      <c r="Z569">
        <v>0</v>
      </c>
      <c r="AA569">
        <v>114.6301960784314</v>
      </c>
      <c r="AB569">
        <v>350</v>
      </c>
      <c r="AC569">
        <v>0</v>
      </c>
      <c r="AD569">
        <v>27.9758064516129</v>
      </c>
      <c r="AE569">
        <v>105</v>
      </c>
      <c r="AF569">
        <v>0</v>
      </c>
      <c r="AG569">
        <v>110.46935483870971</v>
      </c>
      <c r="AH569">
        <v>280</v>
      </c>
      <c r="AI569">
        <v>0</v>
      </c>
      <c r="AJ569">
        <v>44</v>
      </c>
      <c r="AK569">
        <v>123.2</v>
      </c>
      <c r="AL569">
        <v>374</v>
      </c>
      <c r="AM569">
        <v>143</v>
      </c>
      <c r="AN569">
        <v>517</v>
      </c>
      <c r="AO569">
        <v>72</v>
      </c>
      <c r="AP569">
        <v>249</v>
      </c>
    </row>
    <row r="570" spans="1:42" x14ac:dyDescent="0.3">
      <c r="A570" t="s">
        <v>1548</v>
      </c>
      <c r="B570" t="s">
        <v>60</v>
      </c>
      <c r="C570" t="s">
        <v>1043</v>
      </c>
      <c r="D570" t="s">
        <v>12</v>
      </c>
      <c r="E570" t="s">
        <v>1047</v>
      </c>
      <c r="F570">
        <v>2013</v>
      </c>
      <c r="G570">
        <v>125</v>
      </c>
      <c r="H570">
        <v>1</v>
      </c>
      <c r="I570">
        <v>0</v>
      </c>
      <c r="J570">
        <v>8</v>
      </c>
      <c r="K570">
        <v>10</v>
      </c>
      <c r="L570" t="s">
        <v>1327</v>
      </c>
      <c r="M570">
        <v>25.44736842105263</v>
      </c>
      <c r="N570">
        <v>114</v>
      </c>
      <c r="O570">
        <v>0</v>
      </c>
      <c r="P570">
        <v>31.203883495145629</v>
      </c>
      <c r="Q570">
        <v>120.5689320388349</v>
      </c>
      <c r="R570">
        <v>5.7565150740930022</v>
      </c>
      <c r="S570">
        <v>162</v>
      </c>
      <c r="T570">
        <v>0</v>
      </c>
      <c r="U570">
        <v>25.96875</v>
      </c>
      <c r="V570">
        <v>94</v>
      </c>
      <c r="W570">
        <v>0</v>
      </c>
      <c r="X570">
        <v>26.556862745098041</v>
      </c>
      <c r="Y570">
        <v>109</v>
      </c>
      <c r="Z570">
        <v>0</v>
      </c>
      <c r="AA570">
        <v>114.6301960784314</v>
      </c>
      <c r="AB570">
        <v>350</v>
      </c>
      <c r="AC570">
        <v>0</v>
      </c>
      <c r="AD570">
        <v>27.9758064516129</v>
      </c>
      <c r="AE570">
        <v>105</v>
      </c>
      <c r="AF570">
        <v>0</v>
      </c>
      <c r="AG570">
        <v>110.46935483870971</v>
      </c>
      <c r="AH570">
        <v>280</v>
      </c>
      <c r="AI570">
        <v>0</v>
      </c>
      <c r="AJ570">
        <v>34</v>
      </c>
      <c r="AK570">
        <v>121.4</v>
      </c>
      <c r="AL570">
        <v>373</v>
      </c>
      <c r="AM570">
        <v>143</v>
      </c>
      <c r="AN570">
        <v>516</v>
      </c>
      <c r="AO570">
        <v>71</v>
      </c>
      <c r="AP570">
        <v>248</v>
      </c>
    </row>
    <row r="571" spans="1:42" x14ac:dyDescent="0.3">
      <c r="A571" t="s">
        <v>1308</v>
      </c>
      <c r="B571" t="s">
        <v>11</v>
      </c>
      <c r="C571" t="s">
        <v>1043</v>
      </c>
      <c r="D571" t="s">
        <v>139</v>
      </c>
      <c r="E571" t="s">
        <v>1047</v>
      </c>
      <c r="F571">
        <v>2013</v>
      </c>
      <c r="G571">
        <v>121.4</v>
      </c>
      <c r="H571">
        <v>1</v>
      </c>
      <c r="I571">
        <v>2</v>
      </c>
      <c r="J571">
        <v>28</v>
      </c>
      <c r="K571">
        <v>34</v>
      </c>
      <c r="L571" t="s">
        <v>979</v>
      </c>
      <c r="M571">
        <v>25.402116402116398</v>
      </c>
      <c r="N571">
        <v>114</v>
      </c>
      <c r="O571">
        <v>0</v>
      </c>
      <c r="P571">
        <v>45.666666666666657</v>
      </c>
      <c r="Q571">
        <v>104.1166666666667</v>
      </c>
      <c r="R571">
        <v>20.264550264550259</v>
      </c>
      <c r="S571">
        <v>264</v>
      </c>
      <c r="T571">
        <v>0</v>
      </c>
      <c r="U571">
        <v>31.852941176470591</v>
      </c>
      <c r="V571">
        <v>109</v>
      </c>
      <c r="W571">
        <v>0</v>
      </c>
      <c r="X571">
        <v>26.556862745098041</v>
      </c>
      <c r="Y571">
        <v>109</v>
      </c>
      <c r="Z571">
        <v>0</v>
      </c>
      <c r="AA571">
        <v>114.6301960784314</v>
      </c>
      <c r="AB571">
        <v>350</v>
      </c>
      <c r="AC571">
        <v>0</v>
      </c>
      <c r="AD571">
        <v>27.9758064516129</v>
      </c>
      <c r="AE571">
        <v>105</v>
      </c>
      <c r="AF571">
        <v>0</v>
      </c>
      <c r="AG571">
        <v>110.46935483870971</v>
      </c>
      <c r="AH571">
        <v>280</v>
      </c>
      <c r="AI571">
        <v>0</v>
      </c>
      <c r="AJ571">
        <v>73</v>
      </c>
      <c r="AK571">
        <v>169.8</v>
      </c>
      <c r="AL571">
        <v>372</v>
      </c>
      <c r="AM571">
        <v>141</v>
      </c>
      <c r="AN571">
        <v>513</v>
      </c>
      <c r="AO571">
        <v>18</v>
      </c>
      <c r="AP571">
        <v>245</v>
      </c>
    </row>
    <row r="572" spans="1:42" x14ac:dyDescent="0.3">
      <c r="A572" t="s">
        <v>1112</v>
      </c>
      <c r="B572" t="s">
        <v>8</v>
      </c>
      <c r="C572" t="s">
        <v>1043</v>
      </c>
      <c r="D572" t="s">
        <v>9</v>
      </c>
      <c r="E572" t="s">
        <v>1047</v>
      </c>
      <c r="F572">
        <v>2013</v>
      </c>
      <c r="G572">
        <v>169.8</v>
      </c>
      <c r="H572">
        <v>5</v>
      </c>
      <c r="I572">
        <v>5</v>
      </c>
      <c r="J572">
        <v>43</v>
      </c>
      <c r="K572">
        <v>73</v>
      </c>
      <c r="L572" t="s">
        <v>979</v>
      </c>
      <c r="M572">
        <v>25.148936170212771</v>
      </c>
      <c r="N572">
        <v>114</v>
      </c>
      <c r="O572">
        <v>0</v>
      </c>
      <c r="P572">
        <v>38.36</v>
      </c>
      <c r="Q572">
        <v>122.748</v>
      </c>
      <c r="R572">
        <v>13.21106382978723</v>
      </c>
      <c r="S572">
        <v>131</v>
      </c>
      <c r="T572">
        <v>1</v>
      </c>
      <c r="U572">
        <v>28.567567567567568</v>
      </c>
      <c r="V572">
        <v>74</v>
      </c>
      <c r="W572">
        <v>0</v>
      </c>
      <c r="X572">
        <v>26.556862745098041</v>
      </c>
      <c r="Y572">
        <v>109</v>
      </c>
      <c r="Z572">
        <v>0</v>
      </c>
      <c r="AA572">
        <v>114.6301960784314</v>
      </c>
      <c r="AB572">
        <v>350</v>
      </c>
      <c r="AC572">
        <v>0</v>
      </c>
      <c r="AD572">
        <v>27.9758064516129</v>
      </c>
      <c r="AE572">
        <v>105</v>
      </c>
      <c r="AF572">
        <v>0</v>
      </c>
      <c r="AG572">
        <v>110.46935483870971</v>
      </c>
      <c r="AH572">
        <v>280</v>
      </c>
      <c r="AI572">
        <v>0</v>
      </c>
      <c r="AJ572">
        <v>2</v>
      </c>
      <c r="AK572">
        <v>28.6</v>
      </c>
      <c r="AL572">
        <v>367</v>
      </c>
      <c r="AM572">
        <v>136</v>
      </c>
      <c r="AN572">
        <v>503</v>
      </c>
      <c r="AO572">
        <v>12</v>
      </c>
      <c r="AP572">
        <v>235</v>
      </c>
    </row>
    <row r="573" spans="1:42" x14ac:dyDescent="0.3">
      <c r="A573" t="s">
        <v>1697</v>
      </c>
      <c r="B573" t="s">
        <v>4</v>
      </c>
      <c r="C573" t="s">
        <v>1043</v>
      </c>
      <c r="D573" t="s">
        <v>46</v>
      </c>
      <c r="E573" t="s">
        <v>1047</v>
      </c>
      <c r="F573">
        <v>2013</v>
      </c>
      <c r="G573">
        <v>28.6</v>
      </c>
      <c r="H573">
        <v>0</v>
      </c>
      <c r="I573">
        <v>0</v>
      </c>
      <c r="J573">
        <v>7</v>
      </c>
      <c r="K573">
        <v>2</v>
      </c>
      <c r="L573" t="s">
        <v>1327</v>
      </c>
      <c r="M573">
        <v>25.27272727272727</v>
      </c>
      <c r="N573">
        <v>114</v>
      </c>
      <c r="O573">
        <v>0</v>
      </c>
      <c r="P573">
        <v>31.72727272727273</v>
      </c>
      <c r="Q573">
        <v>85.109090909090909</v>
      </c>
      <c r="R573">
        <v>6.4545454545454533</v>
      </c>
      <c r="S573">
        <v>141</v>
      </c>
      <c r="T573">
        <v>0</v>
      </c>
      <c r="U573">
        <v>20.68965517241379</v>
      </c>
      <c r="V573">
        <v>73</v>
      </c>
      <c r="W573">
        <v>0</v>
      </c>
      <c r="X573">
        <v>26.556862745098041</v>
      </c>
      <c r="Y573">
        <v>109</v>
      </c>
      <c r="Z573">
        <v>0</v>
      </c>
      <c r="AA573">
        <v>114.6301960784314</v>
      </c>
      <c r="AB573">
        <v>350</v>
      </c>
      <c r="AC573">
        <v>0</v>
      </c>
      <c r="AD573">
        <v>27.9758064516129</v>
      </c>
      <c r="AE573">
        <v>105</v>
      </c>
      <c r="AF573">
        <v>0</v>
      </c>
      <c r="AG573">
        <v>110.46935483870971</v>
      </c>
      <c r="AH573">
        <v>280</v>
      </c>
      <c r="AI573">
        <v>0</v>
      </c>
      <c r="AJ573">
        <v>62</v>
      </c>
      <c r="AK573">
        <v>193.8</v>
      </c>
      <c r="AL573">
        <v>367</v>
      </c>
      <c r="AM573">
        <v>136</v>
      </c>
      <c r="AN573">
        <v>503</v>
      </c>
      <c r="AO573">
        <v>5</v>
      </c>
      <c r="AP573">
        <v>235</v>
      </c>
    </row>
    <row r="574" spans="1:42" x14ac:dyDescent="0.3">
      <c r="A574" t="s">
        <v>1159</v>
      </c>
      <c r="B574" t="s">
        <v>783</v>
      </c>
      <c r="C574" t="s">
        <v>5</v>
      </c>
      <c r="D574" t="s">
        <v>12</v>
      </c>
      <c r="E574" t="s">
        <v>1047</v>
      </c>
      <c r="F574">
        <v>2013</v>
      </c>
      <c r="G574">
        <v>193.8</v>
      </c>
      <c r="H574">
        <v>3</v>
      </c>
      <c r="I574">
        <v>5</v>
      </c>
      <c r="J574">
        <v>32</v>
      </c>
      <c r="K574">
        <v>62</v>
      </c>
      <c r="L574" t="s">
        <v>979</v>
      </c>
      <c r="M574">
        <v>25.0752688172043</v>
      </c>
      <c r="N574">
        <v>114</v>
      </c>
      <c r="O574">
        <v>0</v>
      </c>
      <c r="P574">
        <v>31.203883495145629</v>
      </c>
      <c r="Q574">
        <v>120.5689320388349</v>
      </c>
      <c r="R574">
        <v>6.1286146779413322</v>
      </c>
      <c r="S574">
        <v>162</v>
      </c>
      <c r="T574">
        <v>0</v>
      </c>
      <c r="U574">
        <v>19.600000000000001</v>
      </c>
      <c r="V574">
        <v>62</v>
      </c>
      <c r="W574">
        <v>1</v>
      </c>
      <c r="X574">
        <v>28.189024390243901</v>
      </c>
      <c r="Y574">
        <v>121</v>
      </c>
      <c r="Z574">
        <v>0</v>
      </c>
      <c r="AA574">
        <v>116.45060975609761</v>
      </c>
      <c r="AB574">
        <v>274.39999999999998</v>
      </c>
      <c r="AC574">
        <v>0</v>
      </c>
      <c r="AD574">
        <v>27.9758064516129</v>
      </c>
      <c r="AE574">
        <v>105</v>
      </c>
      <c r="AF574">
        <v>0</v>
      </c>
      <c r="AG574">
        <v>110.46935483870971</v>
      </c>
      <c r="AH574">
        <v>280</v>
      </c>
      <c r="AI574">
        <v>0</v>
      </c>
      <c r="AJ574">
        <v>74</v>
      </c>
      <c r="AK574">
        <v>148</v>
      </c>
      <c r="AL574">
        <v>364</v>
      </c>
      <c r="AM574">
        <v>131</v>
      </c>
      <c r="AN574">
        <v>495</v>
      </c>
      <c r="AO574">
        <v>63</v>
      </c>
      <c r="AP574">
        <v>87</v>
      </c>
    </row>
    <row r="575" spans="1:42" x14ac:dyDescent="0.3">
      <c r="A575" t="s">
        <v>1110</v>
      </c>
      <c r="B575" t="s">
        <v>8</v>
      </c>
      <c r="C575" t="s">
        <v>1043</v>
      </c>
      <c r="D575" t="s">
        <v>12</v>
      </c>
      <c r="E575" t="s">
        <v>1047</v>
      </c>
      <c r="F575">
        <v>2013</v>
      </c>
      <c r="G575">
        <v>148</v>
      </c>
      <c r="H575">
        <v>4</v>
      </c>
      <c r="I575">
        <v>5</v>
      </c>
      <c r="J575">
        <v>50</v>
      </c>
      <c r="K575">
        <v>74</v>
      </c>
      <c r="L575" t="s">
        <v>979</v>
      </c>
      <c r="M575">
        <v>24.810810810810811</v>
      </c>
      <c r="N575">
        <v>114</v>
      </c>
      <c r="O575">
        <v>0</v>
      </c>
      <c r="P575">
        <v>31.203883495145629</v>
      </c>
      <c r="Q575">
        <v>120.5689320388349</v>
      </c>
      <c r="R575">
        <v>6.3930726843348218</v>
      </c>
      <c r="S575">
        <v>162</v>
      </c>
      <c r="T575">
        <v>0</v>
      </c>
      <c r="U575">
        <v>28.567567567567568</v>
      </c>
      <c r="V575">
        <v>74</v>
      </c>
      <c r="W575">
        <v>0</v>
      </c>
      <c r="X575">
        <v>26.556862745098041</v>
      </c>
      <c r="Y575">
        <v>109</v>
      </c>
      <c r="Z575">
        <v>0</v>
      </c>
      <c r="AA575">
        <v>114.6301960784314</v>
      </c>
      <c r="AB575">
        <v>350</v>
      </c>
      <c r="AC575">
        <v>0</v>
      </c>
      <c r="AD575">
        <v>27.9758064516129</v>
      </c>
      <c r="AE575">
        <v>105</v>
      </c>
      <c r="AF575">
        <v>0</v>
      </c>
      <c r="AG575">
        <v>110.46935483870971</v>
      </c>
      <c r="AH575">
        <v>280</v>
      </c>
      <c r="AI575">
        <v>0</v>
      </c>
      <c r="AJ575">
        <v>19</v>
      </c>
      <c r="AK575">
        <v>90</v>
      </c>
      <c r="AL575">
        <v>360</v>
      </c>
      <c r="AM575">
        <v>126</v>
      </c>
      <c r="AN575">
        <v>486</v>
      </c>
      <c r="AO575">
        <v>54</v>
      </c>
      <c r="AP575">
        <v>226</v>
      </c>
    </row>
    <row r="576" spans="1:42" x14ac:dyDescent="0.3">
      <c r="A576" t="s">
        <v>1583</v>
      </c>
      <c r="B576" t="s">
        <v>56</v>
      </c>
      <c r="C576" t="s">
        <v>1043</v>
      </c>
      <c r="D576" t="s">
        <v>64</v>
      </c>
      <c r="E576" t="s">
        <v>1047</v>
      </c>
      <c r="F576">
        <v>2013</v>
      </c>
      <c r="G576">
        <v>80</v>
      </c>
      <c r="H576">
        <v>1</v>
      </c>
      <c r="I576">
        <v>0</v>
      </c>
      <c r="J576">
        <v>10</v>
      </c>
      <c r="K576">
        <v>8</v>
      </c>
      <c r="L576" t="s">
        <v>1327</v>
      </c>
      <c r="M576">
        <v>24.90217391304348</v>
      </c>
      <c r="N576">
        <v>114</v>
      </c>
      <c r="O576">
        <v>0</v>
      </c>
      <c r="P576">
        <v>26</v>
      </c>
      <c r="Q576">
        <v>94.26964285714287</v>
      </c>
      <c r="R576">
        <v>1.0978260869565231</v>
      </c>
      <c r="S576">
        <v>187</v>
      </c>
      <c r="T576">
        <v>0</v>
      </c>
      <c r="U576">
        <v>25.6</v>
      </c>
      <c r="V576">
        <v>105</v>
      </c>
      <c r="W576">
        <v>0</v>
      </c>
      <c r="X576">
        <v>26.556862745098041</v>
      </c>
      <c r="Y576">
        <v>109</v>
      </c>
      <c r="Z576">
        <v>0</v>
      </c>
      <c r="AA576">
        <v>114.6301960784314</v>
      </c>
      <c r="AB576">
        <v>350</v>
      </c>
      <c r="AC576">
        <v>0</v>
      </c>
      <c r="AD576">
        <v>27.9758064516129</v>
      </c>
      <c r="AE576">
        <v>105</v>
      </c>
      <c r="AF576">
        <v>0</v>
      </c>
      <c r="AG576">
        <v>110.46935483870971</v>
      </c>
      <c r="AH576">
        <v>280</v>
      </c>
      <c r="AI576">
        <v>0</v>
      </c>
      <c r="AJ576">
        <v>11</v>
      </c>
      <c r="AK576">
        <v>100</v>
      </c>
      <c r="AL576">
        <v>359</v>
      </c>
      <c r="AM576">
        <v>126</v>
      </c>
      <c r="AN576">
        <v>485</v>
      </c>
      <c r="AO576">
        <v>8</v>
      </c>
      <c r="AP576">
        <v>225</v>
      </c>
    </row>
    <row r="577" spans="1:42" x14ac:dyDescent="0.3">
      <c r="A577" t="s">
        <v>1533</v>
      </c>
      <c r="B577" t="s">
        <v>60</v>
      </c>
      <c r="C577" t="s">
        <v>1043</v>
      </c>
      <c r="D577" t="s">
        <v>103</v>
      </c>
      <c r="E577" t="s">
        <v>1047</v>
      </c>
      <c r="F577">
        <v>2013</v>
      </c>
      <c r="G577">
        <v>100</v>
      </c>
      <c r="H577">
        <v>1</v>
      </c>
      <c r="I577">
        <v>0</v>
      </c>
      <c r="J577">
        <v>11</v>
      </c>
      <c r="K577">
        <v>11</v>
      </c>
      <c r="L577" t="s">
        <v>1327</v>
      </c>
      <c r="M577">
        <v>24.978142076502731</v>
      </c>
      <c r="N577">
        <v>114</v>
      </c>
      <c r="O577">
        <v>0</v>
      </c>
      <c r="P577">
        <v>43.391304347826093</v>
      </c>
      <c r="Q577">
        <v>100.17391304347829</v>
      </c>
      <c r="R577">
        <v>18.413162271323351</v>
      </c>
      <c r="S577">
        <v>209</v>
      </c>
      <c r="T577">
        <v>0</v>
      </c>
      <c r="U577">
        <v>25.96875</v>
      </c>
      <c r="V577">
        <v>94</v>
      </c>
      <c r="W577">
        <v>0</v>
      </c>
      <c r="X577">
        <v>26.556862745098041</v>
      </c>
      <c r="Y577">
        <v>109</v>
      </c>
      <c r="Z577">
        <v>0</v>
      </c>
      <c r="AA577">
        <v>114.6301960784314</v>
      </c>
      <c r="AB577">
        <v>350</v>
      </c>
      <c r="AC577">
        <v>0</v>
      </c>
      <c r="AD577">
        <v>27.9758064516129</v>
      </c>
      <c r="AE577">
        <v>105</v>
      </c>
      <c r="AF577">
        <v>0</v>
      </c>
      <c r="AG577">
        <v>110.46935483870971</v>
      </c>
      <c r="AH577">
        <v>280</v>
      </c>
      <c r="AI577">
        <v>0</v>
      </c>
      <c r="AL577">
        <v>358</v>
      </c>
      <c r="AM577">
        <v>126</v>
      </c>
      <c r="AN577">
        <v>484</v>
      </c>
      <c r="AO577">
        <v>15</v>
      </c>
      <c r="AP577">
        <v>224</v>
      </c>
    </row>
    <row r="578" spans="1:42" x14ac:dyDescent="0.3">
      <c r="A578" t="s">
        <v>1657</v>
      </c>
      <c r="B578" t="s">
        <v>76</v>
      </c>
      <c r="C578" t="s">
        <v>16</v>
      </c>
      <c r="D578" t="s">
        <v>154</v>
      </c>
      <c r="E578" t="s">
        <v>994</v>
      </c>
      <c r="F578">
        <v>2013</v>
      </c>
      <c r="G578">
        <v>44.4</v>
      </c>
      <c r="H578">
        <v>1</v>
      </c>
      <c r="I578">
        <v>0</v>
      </c>
      <c r="J578">
        <v>9</v>
      </c>
      <c r="K578">
        <v>4</v>
      </c>
      <c r="L578" t="s">
        <v>1327</v>
      </c>
      <c r="M578">
        <v>25.093406593406591</v>
      </c>
      <c r="N578">
        <v>114</v>
      </c>
      <c r="O578">
        <v>0</v>
      </c>
      <c r="P578">
        <v>37.4</v>
      </c>
      <c r="Q578">
        <v>83.72</v>
      </c>
      <c r="R578">
        <v>12.3065934065934</v>
      </c>
      <c r="S578">
        <v>106</v>
      </c>
      <c r="T578">
        <v>1</v>
      </c>
      <c r="U578">
        <v>48.215686274509807</v>
      </c>
      <c r="V578">
        <v>187</v>
      </c>
      <c r="W578">
        <v>0</v>
      </c>
      <c r="X578">
        <v>42.251824817518248</v>
      </c>
      <c r="Y578">
        <v>264</v>
      </c>
      <c r="Z578">
        <v>0</v>
      </c>
      <c r="AA578">
        <v>77.646715328467153</v>
      </c>
      <c r="AB578">
        <v>200</v>
      </c>
      <c r="AC578">
        <v>0</v>
      </c>
      <c r="AD578">
        <v>47.472727272727283</v>
      </c>
      <c r="AE578">
        <v>171</v>
      </c>
      <c r="AF578">
        <v>0</v>
      </c>
      <c r="AG578">
        <v>81.038181818181826</v>
      </c>
      <c r="AH578">
        <v>175.4</v>
      </c>
      <c r="AI578">
        <v>0</v>
      </c>
      <c r="AJ578">
        <v>83</v>
      </c>
      <c r="AK578">
        <v>89.2</v>
      </c>
      <c r="AL578">
        <v>357</v>
      </c>
      <c r="AM578">
        <v>126</v>
      </c>
      <c r="AN578">
        <v>483</v>
      </c>
      <c r="AO578">
        <v>9</v>
      </c>
      <c r="AP578">
        <v>172</v>
      </c>
    </row>
    <row r="579" spans="1:42" x14ac:dyDescent="0.3">
      <c r="A579" t="s">
        <v>1086</v>
      </c>
      <c r="B579" t="s">
        <v>76</v>
      </c>
      <c r="C579" t="s">
        <v>16</v>
      </c>
      <c r="D579" t="s">
        <v>173</v>
      </c>
      <c r="E579" t="s">
        <v>994</v>
      </c>
      <c r="F579">
        <v>2013</v>
      </c>
      <c r="G579">
        <v>89.2</v>
      </c>
      <c r="H579">
        <v>11</v>
      </c>
      <c r="I579">
        <v>1</v>
      </c>
      <c r="J579">
        <v>93</v>
      </c>
      <c r="K579">
        <v>83</v>
      </c>
      <c r="L579" t="s">
        <v>979</v>
      </c>
      <c r="M579">
        <v>24.77348066298342</v>
      </c>
      <c r="N579">
        <v>114</v>
      </c>
      <c r="O579">
        <v>0</v>
      </c>
      <c r="P579">
        <v>36.388888888888893</v>
      </c>
      <c r="Q579">
        <v>93.683333333333337</v>
      </c>
      <c r="R579">
        <v>11.61540822590546</v>
      </c>
      <c r="S579">
        <v>208</v>
      </c>
      <c r="T579">
        <v>0</v>
      </c>
      <c r="U579">
        <v>48.215686274509807</v>
      </c>
      <c r="V579">
        <v>187</v>
      </c>
      <c r="W579">
        <v>0</v>
      </c>
      <c r="X579">
        <v>42.251824817518248</v>
      </c>
      <c r="Y579">
        <v>264</v>
      </c>
      <c r="Z579">
        <v>0</v>
      </c>
      <c r="AA579">
        <v>77.646715328467153</v>
      </c>
      <c r="AB579">
        <v>200</v>
      </c>
      <c r="AC579">
        <v>0</v>
      </c>
      <c r="AD579">
        <v>47.472727272727283</v>
      </c>
      <c r="AE579">
        <v>171</v>
      </c>
      <c r="AF579">
        <v>0</v>
      </c>
      <c r="AG579">
        <v>81.038181818181826</v>
      </c>
      <c r="AH579">
        <v>175.4</v>
      </c>
      <c r="AI579">
        <v>0</v>
      </c>
      <c r="AL579">
        <v>346</v>
      </c>
      <c r="AM579">
        <v>125</v>
      </c>
      <c r="AN579">
        <v>471</v>
      </c>
      <c r="AO579">
        <v>14</v>
      </c>
      <c r="AP579">
        <v>160</v>
      </c>
    </row>
    <row r="580" spans="1:42" x14ac:dyDescent="0.3">
      <c r="A580" t="s">
        <v>1658</v>
      </c>
      <c r="B580" t="s">
        <v>71</v>
      </c>
      <c r="C580" t="s">
        <v>16</v>
      </c>
      <c r="D580" t="s">
        <v>64</v>
      </c>
      <c r="E580" t="s">
        <v>987</v>
      </c>
      <c r="F580">
        <v>2012</v>
      </c>
      <c r="G580">
        <v>28.6</v>
      </c>
      <c r="H580">
        <v>0</v>
      </c>
      <c r="I580">
        <v>0</v>
      </c>
      <c r="J580">
        <v>14</v>
      </c>
      <c r="K580">
        <v>4</v>
      </c>
      <c r="L580" t="s">
        <v>1327</v>
      </c>
      <c r="M580">
        <v>24.888888888888889</v>
      </c>
      <c r="N580">
        <v>114</v>
      </c>
      <c r="O580">
        <v>0</v>
      </c>
      <c r="P580">
        <v>26</v>
      </c>
      <c r="Q580">
        <v>94.26964285714287</v>
      </c>
      <c r="R580">
        <v>1.1111111111111109</v>
      </c>
      <c r="S580">
        <v>187</v>
      </c>
      <c r="T580">
        <v>0</v>
      </c>
      <c r="U580">
        <v>33.333333333333343</v>
      </c>
      <c r="V580">
        <v>140</v>
      </c>
      <c r="W580">
        <v>0</v>
      </c>
      <c r="X580">
        <v>42.251824817518248</v>
      </c>
      <c r="Y580">
        <v>264</v>
      </c>
      <c r="Z580">
        <v>0</v>
      </c>
      <c r="AA580">
        <v>77.646715328467153</v>
      </c>
      <c r="AB580">
        <v>200</v>
      </c>
      <c r="AC580">
        <v>0</v>
      </c>
      <c r="AD580">
        <v>40.825000000000003</v>
      </c>
      <c r="AE580">
        <v>208</v>
      </c>
      <c r="AF580">
        <v>1</v>
      </c>
      <c r="AG580">
        <v>90.646250000000009</v>
      </c>
      <c r="AH580">
        <v>274.39999999999998</v>
      </c>
      <c r="AI580">
        <v>15.4</v>
      </c>
      <c r="AJ580">
        <v>6</v>
      </c>
      <c r="AK580">
        <v>150</v>
      </c>
      <c r="AL580">
        <v>346</v>
      </c>
      <c r="AM580">
        <v>125</v>
      </c>
      <c r="AN580">
        <v>471</v>
      </c>
      <c r="AO580">
        <v>8</v>
      </c>
      <c r="AP580">
        <v>160</v>
      </c>
    </row>
    <row r="581" spans="1:42" x14ac:dyDescent="0.3">
      <c r="A581" t="s">
        <v>1659</v>
      </c>
      <c r="B581" t="s">
        <v>71</v>
      </c>
      <c r="C581" t="s">
        <v>5</v>
      </c>
      <c r="D581" t="s">
        <v>41</v>
      </c>
      <c r="E581" t="s">
        <v>987</v>
      </c>
      <c r="F581">
        <v>2012</v>
      </c>
      <c r="G581">
        <v>200</v>
      </c>
      <c r="H581">
        <v>1</v>
      </c>
      <c r="I581">
        <v>0</v>
      </c>
      <c r="J581">
        <v>2</v>
      </c>
      <c r="K581">
        <v>4</v>
      </c>
      <c r="L581" t="s">
        <v>1327</v>
      </c>
      <c r="M581">
        <v>25.005586592178769</v>
      </c>
      <c r="N581">
        <v>114</v>
      </c>
      <c r="O581">
        <v>0</v>
      </c>
      <c r="P581">
        <v>34.043478260869563</v>
      </c>
      <c r="Q581">
        <v>108.0891304347826</v>
      </c>
      <c r="R581">
        <v>9.0378916686907935</v>
      </c>
      <c r="S581">
        <v>95</v>
      </c>
      <c r="T581">
        <v>0</v>
      </c>
      <c r="U581">
        <v>33.333333333333343</v>
      </c>
      <c r="V581">
        <v>140</v>
      </c>
      <c r="W581">
        <v>0</v>
      </c>
      <c r="X581">
        <v>28.189024390243901</v>
      </c>
      <c r="Y581">
        <v>121</v>
      </c>
      <c r="Z581">
        <v>0</v>
      </c>
      <c r="AA581">
        <v>116.45060975609761</v>
      </c>
      <c r="AB581">
        <v>274.39999999999998</v>
      </c>
      <c r="AC581">
        <v>0</v>
      </c>
      <c r="AD581">
        <v>40.825000000000003</v>
      </c>
      <c r="AE581">
        <v>208</v>
      </c>
      <c r="AF581">
        <v>1</v>
      </c>
      <c r="AG581">
        <v>90.646250000000009</v>
      </c>
      <c r="AH581">
        <v>274.39999999999998</v>
      </c>
      <c r="AI581">
        <v>15.4</v>
      </c>
      <c r="AJ581">
        <v>2</v>
      </c>
      <c r="AK581">
        <v>100</v>
      </c>
      <c r="AL581">
        <v>345</v>
      </c>
      <c r="AM581">
        <v>125</v>
      </c>
      <c r="AN581">
        <v>470</v>
      </c>
      <c r="AO581">
        <v>19</v>
      </c>
      <c r="AP581">
        <v>86</v>
      </c>
    </row>
    <row r="582" spans="1:42" x14ac:dyDescent="0.3">
      <c r="A582" t="s">
        <v>1698</v>
      </c>
      <c r="B582" t="s">
        <v>71</v>
      </c>
      <c r="C582" t="s">
        <v>5</v>
      </c>
      <c r="D582" t="s">
        <v>103</v>
      </c>
      <c r="E582" t="s">
        <v>987</v>
      </c>
      <c r="F582">
        <v>2012</v>
      </c>
      <c r="G582">
        <v>100</v>
      </c>
      <c r="H582">
        <v>0</v>
      </c>
      <c r="I582">
        <v>0</v>
      </c>
      <c r="J582">
        <v>2</v>
      </c>
      <c r="K582">
        <v>2</v>
      </c>
      <c r="L582" t="s">
        <v>1327</v>
      </c>
      <c r="M582">
        <v>25.13483146067416</v>
      </c>
      <c r="N582">
        <v>114</v>
      </c>
      <c r="O582">
        <v>0</v>
      </c>
      <c r="P582">
        <v>43.391304347826093</v>
      </c>
      <c r="Q582">
        <v>100.17391304347829</v>
      </c>
      <c r="R582">
        <v>18.256472887151929</v>
      </c>
      <c r="S582">
        <v>209</v>
      </c>
      <c r="T582">
        <v>0</v>
      </c>
      <c r="U582">
        <v>33.333333333333343</v>
      </c>
      <c r="V582">
        <v>140</v>
      </c>
      <c r="W582">
        <v>0</v>
      </c>
      <c r="X582">
        <v>28.189024390243901</v>
      </c>
      <c r="Y582">
        <v>121</v>
      </c>
      <c r="Z582">
        <v>0</v>
      </c>
      <c r="AA582">
        <v>116.45060975609761</v>
      </c>
      <c r="AB582">
        <v>274.39999999999998</v>
      </c>
      <c r="AC582">
        <v>0</v>
      </c>
      <c r="AD582">
        <v>40.825000000000003</v>
      </c>
      <c r="AE582">
        <v>208</v>
      </c>
      <c r="AF582">
        <v>1</v>
      </c>
      <c r="AG582">
        <v>90.646250000000009</v>
      </c>
      <c r="AH582">
        <v>274.39999999999998</v>
      </c>
      <c r="AI582">
        <v>15.4</v>
      </c>
      <c r="AJ582">
        <v>24</v>
      </c>
      <c r="AK582">
        <v>126.3</v>
      </c>
      <c r="AL582">
        <v>345</v>
      </c>
      <c r="AM582">
        <v>125</v>
      </c>
      <c r="AN582">
        <v>470</v>
      </c>
      <c r="AO582">
        <v>15</v>
      </c>
      <c r="AP582">
        <v>86</v>
      </c>
    </row>
    <row r="583" spans="1:42" x14ac:dyDescent="0.3">
      <c r="A583" t="s">
        <v>1386</v>
      </c>
      <c r="B583" t="s">
        <v>76</v>
      </c>
      <c r="C583" t="s">
        <v>5</v>
      </c>
      <c r="D583" t="s">
        <v>12</v>
      </c>
      <c r="E583" t="s">
        <v>987</v>
      </c>
      <c r="F583">
        <v>2012</v>
      </c>
      <c r="G583">
        <v>126.3</v>
      </c>
      <c r="H583">
        <v>1</v>
      </c>
      <c r="I583">
        <v>1</v>
      </c>
      <c r="J583">
        <v>19</v>
      </c>
      <c r="K583">
        <v>24</v>
      </c>
      <c r="L583" t="s">
        <v>1327</v>
      </c>
      <c r="M583">
        <v>25.141242937853111</v>
      </c>
      <c r="N583">
        <v>114</v>
      </c>
      <c r="O583">
        <v>0</v>
      </c>
      <c r="P583">
        <v>31.203883495145629</v>
      </c>
      <c r="Q583">
        <v>120.5689320388349</v>
      </c>
      <c r="R583">
        <v>6.062640557292525</v>
      </c>
      <c r="S583">
        <v>162</v>
      </c>
      <c r="T583">
        <v>0</v>
      </c>
      <c r="U583">
        <v>48.215686274509807</v>
      </c>
      <c r="V583">
        <v>187</v>
      </c>
      <c r="W583">
        <v>0</v>
      </c>
      <c r="X583">
        <v>28.189024390243901</v>
      </c>
      <c r="Y583">
        <v>121</v>
      </c>
      <c r="Z583">
        <v>0</v>
      </c>
      <c r="AA583">
        <v>116.45060975609761</v>
      </c>
      <c r="AB583">
        <v>274.39999999999998</v>
      </c>
      <c r="AC583">
        <v>0</v>
      </c>
      <c r="AD583">
        <v>40.825000000000003</v>
      </c>
      <c r="AE583">
        <v>208</v>
      </c>
      <c r="AF583">
        <v>1</v>
      </c>
      <c r="AG583">
        <v>90.646250000000009</v>
      </c>
      <c r="AH583">
        <v>274.39999999999998</v>
      </c>
      <c r="AI583">
        <v>15.4</v>
      </c>
      <c r="AL583">
        <v>344</v>
      </c>
      <c r="AM583">
        <v>124</v>
      </c>
      <c r="AN583">
        <v>468</v>
      </c>
      <c r="AO583">
        <v>52</v>
      </c>
      <c r="AP583">
        <v>84</v>
      </c>
    </row>
    <row r="584" spans="1:42" x14ac:dyDescent="0.3">
      <c r="A584" t="s">
        <v>1373</v>
      </c>
      <c r="B584" t="s">
        <v>24</v>
      </c>
      <c r="C584" t="s">
        <v>5</v>
      </c>
      <c r="D584" t="s">
        <v>116</v>
      </c>
      <c r="E584" t="s">
        <v>977</v>
      </c>
      <c r="F584">
        <v>2012</v>
      </c>
      <c r="G584">
        <v>92.6</v>
      </c>
      <c r="H584">
        <v>2</v>
      </c>
      <c r="I584">
        <v>0</v>
      </c>
      <c r="J584">
        <v>27</v>
      </c>
      <c r="K584">
        <v>25</v>
      </c>
      <c r="L584" t="s">
        <v>1327</v>
      </c>
      <c r="M584">
        <v>25.14204545454545</v>
      </c>
      <c r="N584">
        <v>114</v>
      </c>
      <c r="O584">
        <v>0</v>
      </c>
      <c r="P584">
        <v>32.821428571428569</v>
      </c>
      <c r="Q584">
        <v>89.621428571428581</v>
      </c>
      <c r="R584">
        <v>7.6793831168831161</v>
      </c>
      <c r="S584">
        <v>113</v>
      </c>
      <c r="T584">
        <v>0</v>
      </c>
      <c r="U584">
        <v>37.163636363636357</v>
      </c>
      <c r="V584">
        <v>303</v>
      </c>
      <c r="W584">
        <v>0</v>
      </c>
      <c r="X584">
        <v>28.189024390243901</v>
      </c>
      <c r="Y584">
        <v>121</v>
      </c>
      <c r="Z584">
        <v>0</v>
      </c>
      <c r="AA584">
        <v>116.45060975609761</v>
      </c>
      <c r="AB584">
        <v>274.39999999999998</v>
      </c>
      <c r="AC584">
        <v>0</v>
      </c>
      <c r="AD584">
        <v>49.901639344262293</v>
      </c>
      <c r="AE584">
        <v>303</v>
      </c>
      <c r="AF584">
        <v>0</v>
      </c>
      <c r="AG584">
        <v>90.971311475409848</v>
      </c>
      <c r="AH584">
        <v>200</v>
      </c>
      <c r="AI584">
        <v>0</v>
      </c>
      <c r="AJ584">
        <v>1</v>
      </c>
      <c r="AK584">
        <v>50</v>
      </c>
      <c r="AL584">
        <v>342</v>
      </c>
      <c r="AM584">
        <v>124</v>
      </c>
      <c r="AN584">
        <v>466</v>
      </c>
      <c r="AO584">
        <v>10</v>
      </c>
      <c r="AP584">
        <v>82</v>
      </c>
    </row>
    <row r="585" spans="1:42" x14ac:dyDescent="0.3">
      <c r="A585" t="s">
        <v>1714</v>
      </c>
      <c r="B585" t="s">
        <v>32</v>
      </c>
      <c r="C585" t="s">
        <v>5</v>
      </c>
      <c r="D585" t="s">
        <v>116</v>
      </c>
      <c r="E585" t="s">
        <v>1009</v>
      </c>
      <c r="F585">
        <v>2012</v>
      </c>
      <c r="G585">
        <v>50</v>
      </c>
      <c r="H585">
        <v>0</v>
      </c>
      <c r="I585">
        <v>0</v>
      </c>
      <c r="J585">
        <v>2</v>
      </c>
      <c r="K585">
        <v>1</v>
      </c>
      <c r="L585" t="s">
        <v>1327</v>
      </c>
      <c r="M585">
        <v>25.28</v>
      </c>
      <c r="N585">
        <v>114</v>
      </c>
      <c r="O585">
        <v>0</v>
      </c>
      <c r="P585">
        <v>32.821428571428569</v>
      </c>
      <c r="Q585">
        <v>89.621428571428581</v>
      </c>
      <c r="R585">
        <v>7.5414285714285683</v>
      </c>
      <c r="S585">
        <v>113</v>
      </c>
      <c r="T585">
        <v>0</v>
      </c>
      <c r="U585">
        <v>44.710843373493979</v>
      </c>
      <c r="V585">
        <v>209</v>
      </c>
      <c r="W585">
        <v>0</v>
      </c>
      <c r="X585">
        <v>28.189024390243901</v>
      </c>
      <c r="Y585">
        <v>121</v>
      </c>
      <c r="Z585">
        <v>0</v>
      </c>
      <c r="AA585">
        <v>116.45060975609761</v>
      </c>
      <c r="AB585">
        <v>274.39999999999998</v>
      </c>
      <c r="AC585">
        <v>0</v>
      </c>
      <c r="AD585">
        <v>38.25</v>
      </c>
      <c r="AE585">
        <v>138</v>
      </c>
      <c r="AF585">
        <v>0</v>
      </c>
      <c r="AG585">
        <v>106.2954545454546</v>
      </c>
      <c r="AH585">
        <v>230</v>
      </c>
      <c r="AI585">
        <v>0</v>
      </c>
      <c r="AJ585">
        <v>55</v>
      </c>
      <c r="AK585">
        <v>166.7</v>
      </c>
      <c r="AL585">
        <v>342</v>
      </c>
      <c r="AM585">
        <v>124</v>
      </c>
      <c r="AN585">
        <v>466</v>
      </c>
      <c r="AO585">
        <v>10</v>
      </c>
      <c r="AP585">
        <v>82</v>
      </c>
    </row>
    <row r="586" spans="1:42" x14ac:dyDescent="0.3">
      <c r="A586" t="s">
        <v>1196</v>
      </c>
      <c r="B586" t="s">
        <v>76</v>
      </c>
      <c r="C586" t="s">
        <v>5</v>
      </c>
      <c r="D586" t="s">
        <v>116</v>
      </c>
      <c r="E586" t="s">
        <v>1009</v>
      </c>
      <c r="F586">
        <v>2012</v>
      </c>
      <c r="G586">
        <v>166.7</v>
      </c>
      <c r="H586">
        <v>5</v>
      </c>
      <c r="I586">
        <v>1</v>
      </c>
      <c r="J586">
        <v>33</v>
      </c>
      <c r="K586">
        <v>55</v>
      </c>
      <c r="L586" t="s">
        <v>979</v>
      </c>
      <c r="M586">
        <v>25.109195402298852</v>
      </c>
      <c r="N586">
        <v>114</v>
      </c>
      <c r="O586">
        <v>0</v>
      </c>
      <c r="P586">
        <v>32.821428571428569</v>
      </c>
      <c r="Q586">
        <v>89.621428571428581</v>
      </c>
      <c r="R586">
        <v>7.7122331691297177</v>
      </c>
      <c r="S586">
        <v>113</v>
      </c>
      <c r="T586">
        <v>0</v>
      </c>
      <c r="U586">
        <v>48.215686274509807</v>
      </c>
      <c r="V586">
        <v>187</v>
      </c>
      <c r="W586">
        <v>0</v>
      </c>
      <c r="X586">
        <v>28.189024390243901</v>
      </c>
      <c r="Y586">
        <v>121</v>
      </c>
      <c r="Z586">
        <v>0</v>
      </c>
      <c r="AA586">
        <v>116.45060975609761</v>
      </c>
      <c r="AB586">
        <v>274.39999999999998</v>
      </c>
      <c r="AC586">
        <v>0</v>
      </c>
      <c r="AD586">
        <v>38.25</v>
      </c>
      <c r="AE586">
        <v>138</v>
      </c>
      <c r="AF586">
        <v>0</v>
      </c>
      <c r="AG586">
        <v>106.2954545454546</v>
      </c>
      <c r="AH586">
        <v>230</v>
      </c>
      <c r="AI586">
        <v>0</v>
      </c>
      <c r="AJ586">
        <v>1</v>
      </c>
      <c r="AK586">
        <v>100</v>
      </c>
      <c r="AL586">
        <v>337</v>
      </c>
      <c r="AM586">
        <v>123</v>
      </c>
      <c r="AN586">
        <v>460</v>
      </c>
      <c r="AO586">
        <v>4</v>
      </c>
      <c r="AP586">
        <v>76</v>
      </c>
    </row>
    <row r="587" spans="1:42" x14ac:dyDescent="0.3">
      <c r="A587" t="s">
        <v>1715</v>
      </c>
      <c r="B587" t="s">
        <v>130</v>
      </c>
      <c r="C587" t="s">
        <v>5</v>
      </c>
      <c r="D587" t="s">
        <v>116</v>
      </c>
      <c r="E587" t="s">
        <v>1009</v>
      </c>
      <c r="F587">
        <v>2012</v>
      </c>
      <c r="G587">
        <v>100</v>
      </c>
      <c r="H587">
        <v>0</v>
      </c>
      <c r="I587">
        <v>0</v>
      </c>
      <c r="J587">
        <v>1</v>
      </c>
      <c r="K587">
        <v>1</v>
      </c>
      <c r="L587" t="s">
        <v>1327</v>
      </c>
      <c r="M587">
        <v>25.2485549132948</v>
      </c>
      <c r="N587">
        <v>114</v>
      </c>
      <c r="O587">
        <v>0</v>
      </c>
      <c r="P587">
        <v>32.821428571428569</v>
      </c>
      <c r="Q587">
        <v>89.621428571428581</v>
      </c>
      <c r="R587">
        <v>7.5728736581337728</v>
      </c>
      <c r="S587">
        <v>113</v>
      </c>
      <c r="T587">
        <v>0</v>
      </c>
      <c r="U587">
        <v>43.25</v>
      </c>
      <c r="V587">
        <v>131</v>
      </c>
      <c r="W587">
        <v>0</v>
      </c>
      <c r="X587">
        <v>28.189024390243901</v>
      </c>
      <c r="Y587">
        <v>121</v>
      </c>
      <c r="Z587">
        <v>0</v>
      </c>
      <c r="AA587">
        <v>116.45060975609761</v>
      </c>
      <c r="AB587">
        <v>274.39999999999998</v>
      </c>
      <c r="AC587">
        <v>0</v>
      </c>
      <c r="AD587">
        <v>38.25</v>
      </c>
      <c r="AE587">
        <v>138</v>
      </c>
      <c r="AF587">
        <v>0</v>
      </c>
      <c r="AG587">
        <v>106.2954545454546</v>
      </c>
      <c r="AH587">
        <v>230</v>
      </c>
      <c r="AI587">
        <v>0</v>
      </c>
      <c r="AL587">
        <v>337</v>
      </c>
      <c r="AM587">
        <v>123</v>
      </c>
      <c r="AN587">
        <v>460</v>
      </c>
      <c r="AO587">
        <v>4</v>
      </c>
      <c r="AP587">
        <v>76</v>
      </c>
    </row>
    <row r="588" spans="1:42" x14ac:dyDescent="0.3">
      <c r="A588" t="s">
        <v>1660</v>
      </c>
      <c r="B588" t="s">
        <v>15</v>
      </c>
      <c r="C588" t="s">
        <v>5</v>
      </c>
      <c r="D588" t="s">
        <v>64</v>
      </c>
      <c r="E588" t="s">
        <v>1009</v>
      </c>
      <c r="F588">
        <v>2012</v>
      </c>
      <c r="G588">
        <v>200</v>
      </c>
      <c r="H588">
        <v>0</v>
      </c>
      <c r="I588">
        <v>0</v>
      </c>
      <c r="J588">
        <v>2</v>
      </c>
      <c r="K588">
        <v>4</v>
      </c>
      <c r="L588" t="s">
        <v>1327</v>
      </c>
      <c r="M588">
        <v>25.372093023255811</v>
      </c>
      <c r="N588">
        <v>114</v>
      </c>
      <c r="O588">
        <v>0</v>
      </c>
      <c r="P588">
        <v>26</v>
      </c>
      <c r="Q588">
        <v>94.26964285714287</v>
      </c>
      <c r="R588">
        <v>0.62790697674418539</v>
      </c>
      <c r="S588">
        <v>187</v>
      </c>
      <c r="T588">
        <v>0</v>
      </c>
      <c r="U588">
        <v>37.701754385964911</v>
      </c>
      <c r="V588">
        <v>147</v>
      </c>
      <c r="W588">
        <v>1</v>
      </c>
      <c r="X588">
        <v>28.189024390243901</v>
      </c>
      <c r="Y588">
        <v>121</v>
      </c>
      <c r="Z588">
        <v>0</v>
      </c>
      <c r="AA588">
        <v>116.45060975609761</v>
      </c>
      <c r="AB588">
        <v>274.39999999999998</v>
      </c>
      <c r="AC588">
        <v>0</v>
      </c>
      <c r="AD588">
        <v>38.25</v>
      </c>
      <c r="AE588">
        <v>138</v>
      </c>
      <c r="AF588">
        <v>0</v>
      </c>
      <c r="AG588">
        <v>106.2954545454546</v>
      </c>
      <c r="AH588">
        <v>230</v>
      </c>
      <c r="AI588">
        <v>0</v>
      </c>
      <c r="AL588">
        <v>337</v>
      </c>
      <c r="AM588">
        <v>123</v>
      </c>
      <c r="AN588">
        <v>460</v>
      </c>
      <c r="AO588">
        <v>8</v>
      </c>
      <c r="AP588">
        <v>76</v>
      </c>
    </row>
    <row r="589" spans="1:42" x14ac:dyDescent="0.3">
      <c r="A589" t="s">
        <v>1661</v>
      </c>
      <c r="B589" t="s">
        <v>115</v>
      </c>
      <c r="C589" t="s">
        <v>16</v>
      </c>
      <c r="D589" t="s">
        <v>204</v>
      </c>
      <c r="E589" t="s">
        <v>1021</v>
      </c>
      <c r="F589">
        <v>2012</v>
      </c>
      <c r="G589">
        <v>44.4</v>
      </c>
      <c r="H589">
        <v>1</v>
      </c>
      <c r="I589">
        <v>0</v>
      </c>
      <c r="J589">
        <v>9</v>
      </c>
      <c r="K589">
        <v>4</v>
      </c>
      <c r="L589" t="s">
        <v>1327</v>
      </c>
      <c r="M589">
        <v>25.497076023391809</v>
      </c>
      <c r="N589">
        <v>114</v>
      </c>
      <c r="O589">
        <v>0</v>
      </c>
      <c r="P589">
        <v>53.4</v>
      </c>
      <c r="Q589">
        <v>85.059999999999988</v>
      </c>
      <c r="R589">
        <v>27.902923976608189</v>
      </c>
      <c r="S589">
        <v>124</v>
      </c>
      <c r="T589">
        <v>4</v>
      </c>
      <c r="U589">
        <v>38.236842105263158</v>
      </c>
      <c r="V589">
        <v>264</v>
      </c>
      <c r="W589">
        <v>0</v>
      </c>
      <c r="X589">
        <v>42.251824817518248</v>
      </c>
      <c r="Y589">
        <v>264</v>
      </c>
      <c r="Z589">
        <v>0</v>
      </c>
      <c r="AA589">
        <v>77.646715328467153</v>
      </c>
      <c r="AB589">
        <v>200</v>
      </c>
      <c r="AC589">
        <v>0</v>
      </c>
      <c r="AD589">
        <v>37</v>
      </c>
      <c r="AE589">
        <v>124</v>
      </c>
      <c r="AF589">
        <v>0</v>
      </c>
      <c r="AG589">
        <v>84.736842105263165</v>
      </c>
      <c r="AH589">
        <v>221.4</v>
      </c>
      <c r="AI589">
        <v>0</v>
      </c>
      <c r="AJ589">
        <v>4</v>
      </c>
      <c r="AK589">
        <v>28.6</v>
      </c>
      <c r="AL589">
        <v>336</v>
      </c>
      <c r="AM589">
        <v>123</v>
      </c>
      <c r="AN589">
        <v>459</v>
      </c>
      <c r="AP589">
        <v>159</v>
      </c>
    </row>
    <row r="590" spans="1:42" x14ac:dyDescent="0.3">
      <c r="A590" t="s">
        <v>1662</v>
      </c>
      <c r="B590" t="s">
        <v>115</v>
      </c>
      <c r="C590" t="s">
        <v>16</v>
      </c>
      <c r="D590" t="s">
        <v>116</v>
      </c>
      <c r="E590" t="s">
        <v>1012</v>
      </c>
      <c r="F590">
        <v>2012</v>
      </c>
      <c r="G590">
        <v>28.6</v>
      </c>
      <c r="H590">
        <v>0</v>
      </c>
      <c r="I590">
        <v>0</v>
      </c>
      <c r="J590">
        <v>14</v>
      </c>
      <c r="K590">
        <v>4</v>
      </c>
      <c r="L590" t="s">
        <v>1327</v>
      </c>
      <c r="M590">
        <v>25.623529411764711</v>
      </c>
      <c r="N590">
        <v>114</v>
      </c>
      <c r="O590">
        <v>0</v>
      </c>
      <c r="P590">
        <v>32.821428571428569</v>
      </c>
      <c r="Q590">
        <v>89.621428571428581</v>
      </c>
      <c r="R590">
        <v>7.1978991596638622</v>
      </c>
      <c r="S590">
        <v>113</v>
      </c>
      <c r="T590">
        <v>0</v>
      </c>
      <c r="U590">
        <v>38.236842105263158</v>
      </c>
      <c r="V590">
        <v>264</v>
      </c>
      <c r="W590">
        <v>0</v>
      </c>
      <c r="X590">
        <v>42.251824817518248</v>
      </c>
      <c r="Y590">
        <v>264</v>
      </c>
      <c r="Z590">
        <v>0</v>
      </c>
      <c r="AA590">
        <v>77.646715328467153</v>
      </c>
      <c r="AB590">
        <v>200</v>
      </c>
      <c r="AC590">
        <v>0</v>
      </c>
      <c r="AD590">
        <v>37.228571428571428</v>
      </c>
      <c r="AE590">
        <v>137</v>
      </c>
      <c r="AF590">
        <v>0</v>
      </c>
      <c r="AG590">
        <v>73.452857142857127</v>
      </c>
      <c r="AH590">
        <v>178.6</v>
      </c>
      <c r="AI590">
        <v>0</v>
      </c>
      <c r="AJ590">
        <v>0</v>
      </c>
      <c r="AK590">
        <v>0</v>
      </c>
      <c r="AL590">
        <v>336</v>
      </c>
      <c r="AM590">
        <v>123</v>
      </c>
      <c r="AN590">
        <v>459</v>
      </c>
      <c r="AO590">
        <v>4</v>
      </c>
      <c r="AP590">
        <v>159</v>
      </c>
    </row>
    <row r="591" spans="1:42" x14ac:dyDescent="0.3">
      <c r="A591" t="s">
        <v>1755</v>
      </c>
      <c r="B591" t="s">
        <v>115</v>
      </c>
      <c r="C591" t="s">
        <v>16</v>
      </c>
      <c r="D591" t="s">
        <v>116</v>
      </c>
      <c r="E591" t="s">
        <v>1012</v>
      </c>
      <c r="F591">
        <v>2012</v>
      </c>
      <c r="G591">
        <v>0</v>
      </c>
      <c r="H591">
        <v>0</v>
      </c>
      <c r="I591">
        <v>0</v>
      </c>
      <c r="J591">
        <v>1</v>
      </c>
      <c r="K591">
        <v>0</v>
      </c>
      <c r="L591" t="s">
        <v>1327</v>
      </c>
      <c r="M591">
        <v>25.77514792899408</v>
      </c>
      <c r="N591">
        <v>114</v>
      </c>
      <c r="O591">
        <v>0</v>
      </c>
      <c r="P591">
        <v>32.821428571428569</v>
      </c>
      <c r="Q591">
        <v>89.621428571428581</v>
      </c>
      <c r="R591">
        <v>7.0462806424344846</v>
      </c>
      <c r="S591">
        <v>113</v>
      </c>
      <c r="T591">
        <v>0</v>
      </c>
      <c r="U591">
        <v>38.236842105263158</v>
      </c>
      <c r="V591">
        <v>264</v>
      </c>
      <c r="W591">
        <v>0</v>
      </c>
      <c r="X591">
        <v>42.251824817518248</v>
      </c>
      <c r="Y591">
        <v>264</v>
      </c>
      <c r="Z591">
        <v>0</v>
      </c>
      <c r="AA591">
        <v>77.646715328467153</v>
      </c>
      <c r="AB591">
        <v>200</v>
      </c>
      <c r="AC591">
        <v>0</v>
      </c>
      <c r="AD591">
        <v>37.228571428571428</v>
      </c>
      <c r="AE591">
        <v>137</v>
      </c>
      <c r="AF591">
        <v>0</v>
      </c>
      <c r="AG591">
        <v>73.452857142857127</v>
      </c>
      <c r="AH591">
        <v>178.6</v>
      </c>
      <c r="AI591">
        <v>0</v>
      </c>
      <c r="AJ591">
        <v>0</v>
      </c>
      <c r="AK591">
        <v>0</v>
      </c>
      <c r="AL591">
        <v>336</v>
      </c>
      <c r="AM591">
        <v>123</v>
      </c>
      <c r="AN591">
        <v>459</v>
      </c>
      <c r="AO591">
        <v>4</v>
      </c>
      <c r="AP591">
        <v>159</v>
      </c>
    </row>
    <row r="592" spans="1:42" x14ac:dyDescent="0.3">
      <c r="A592" t="s">
        <v>1756</v>
      </c>
      <c r="B592" t="s">
        <v>115</v>
      </c>
      <c r="C592" t="s">
        <v>16</v>
      </c>
      <c r="D592" t="s">
        <v>805</v>
      </c>
      <c r="E592" t="s">
        <v>1012</v>
      </c>
      <c r="F592">
        <v>2012</v>
      </c>
      <c r="G592">
        <v>0</v>
      </c>
      <c r="H592">
        <v>0</v>
      </c>
      <c r="I592">
        <v>0</v>
      </c>
      <c r="J592">
        <v>5</v>
      </c>
      <c r="K592">
        <v>0</v>
      </c>
      <c r="L592" t="s">
        <v>1327</v>
      </c>
      <c r="M592">
        <v>25.928571428571431</v>
      </c>
      <c r="N592">
        <v>114</v>
      </c>
      <c r="O592">
        <v>0</v>
      </c>
      <c r="P592">
        <v>2.5</v>
      </c>
      <c r="Q592">
        <v>31.25</v>
      </c>
      <c r="R592">
        <v>-23.428571428571431</v>
      </c>
      <c r="S592">
        <v>5</v>
      </c>
      <c r="T592">
        <v>0</v>
      </c>
      <c r="U592">
        <v>38.236842105263158</v>
      </c>
      <c r="V592">
        <v>264</v>
      </c>
      <c r="W592">
        <v>0</v>
      </c>
      <c r="X592">
        <v>42.251824817518248</v>
      </c>
      <c r="Y592">
        <v>264</v>
      </c>
      <c r="Z592">
        <v>0</v>
      </c>
      <c r="AA592">
        <v>77.646715328467153</v>
      </c>
      <c r="AB592">
        <v>200</v>
      </c>
      <c r="AC592">
        <v>0</v>
      </c>
      <c r="AD592">
        <v>37.228571428571428</v>
      </c>
      <c r="AE592">
        <v>137</v>
      </c>
      <c r="AF592">
        <v>0</v>
      </c>
      <c r="AG592">
        <v>73.452857142857127</v>
      </c>
      <c r="AH592">
        <v>178.6</v>
      </c>
      <c r="AI592">
        <v>0</v>
      </c>
      <c r="AJ592">
        <v>5</v>
      </c>
      <c r="AK592">
        <v>62.5</v>
      </c>
      <c r="AL592">
        <v>336</v>
      </c>
      <c r="AM592">
        <v>123</v>
      </c>
      <c r="AN592">
        <v>459</v>
      </c>
      <c r="AO592">
        <v>0</v>
      </c>
      <c r="AP592">
        <v>159</v>
      </c>
    </row>
    <row r="593" spans="1:42" x14ac:dyDescent="0.3">
      <c r="A593" t="s">
        <v>1635</v>
      </c>
      <c r="B593" t="s">
        <v>115</v>
      </c>
      <c r="C593" t="s">
        <v>16</v>
      </c>
      <c r="D593" t="s">
        <v>805</v>
      </c>
      <c r="E593" t="s">
        <v>1012</v>
      </c>
      <c r="F593">
        <v>2012</v>
      </c>
      <c r="G593">
        <v>62.5</v>
      </c>
      <c r="H593">
        <v>0</v>
      </c>
      <c r="I593">
        <v>0</v>
      </c>
      <c r="J593">
        <v>8</v>
      </c>
      <c r="K593">
        <v>5</v>
      </c>
      <c r="L593" t="s">
        <v>1327</v>
      </c>
      <c r="M593">
        <v>26.053892215568862</v>
      </c>
      <c r="N593">
        <v>114</v>
      </c>
      <c r="O593">
        <v>0</v>
      </c>
      <c r="P593">
        <v>2.5</v>
      </c>
      <c r="Q593">
        <v>31.25</v>
      </c>
      <c r="R593">
        <v>-23.553892215568862</v>
      </c>
      <c r="S593">
        <v>5</v>
      </c>
      <c r="T593">
        <v>0</v>
      </c>
      <c r="U593">
        <v>38.236842105263158</v>
      </c>
      <c r="V593">
        <v>264</v>
      </c>
      <c r="W593">
        <v>0</v>
      </c>
      <c r="X593">
        <v>42.251824817518248</v>
      </c>
      <c r="Y593">
        <v>264</v>
      </c>
      <c r="Z593">
        <v>0</v>
      </c>
      <c r="AA593">
        <v>77.646715328467153</v>
      </c>
      <c r="AB593">
        <v>200</v>
      </c>
      <c r="AC593">
        <v>0</v>
      </c>
      <c r="AD593">
        <v>37.228571428571428</v>
      </c>
      <c r="AE593">
        <v>137</v>
      </c>
      <c r="AF593">
        <v>0</v>
      </c>
      <c r="AG593">
        <v>73.452857142857127</v>
      </c>
      <c r="AH593">
        <v>178.6</v>
      </c>
      <c r="AI593">
        <v>0</v>
      </c>
      <c r="AL593">
        <v>336</v>
      </c>
      <c r="AM593">
        <v>123</v>
      </c>
      <c r="AN593">
        <v>459</v>
      </c>
      <c r="AP593">
        <v>159</v>
      </c>
    </row>
    <row r="594" spans="1:42" x14ac:dyDescent="0.3">
      <c r="A594" t="s">
        <v>1486</v>
      </c>
      <c r="B594" t="s">
        <v>56</v>
      </c>
      <c r="C594" t="s">
        <v>1043</v>
      </c>
      <c r="D594" t="s">
        <v>103</v>
      </c>
      <c r="E594" t="s">
        <v>1036</v>
      </c>
      <c r="F594">
        <v>2012</v>
      </c>
      <c r="G594">
        <v>73.7</v>
      </c>
      <c r="H594">
        <v>0</v>
      </c>
      <c r="I594">
        <v>0</v>
      </c>
      <c r="J594">
        <v>19</v>
      </c>
      <c r="K594">
        <v>14</v>
      </c>
      <c r="L594" t="s">
        <v>1327</v>
      </c>
      <c r="M594">
        <v>26.12650602409639</v>
      </c>
      <c r="N594">
        <v>114</v>
      </c>
      <c r="O594">
        <v>0</v>
      </c>
      <c r="P594">
        <v>43.391304347826093</v>
      </c>
      <c r="Q594">
        <v>100.17391304347829</v>
      </c>
      <c r="R594">
        <v>17.2647983237297</v>
      </c>
      <c r="S594">
        <v>209</v>
      </c>
      <c r="T594">
        <v>0</v>
      </c>
      <c r="U594">
        <v>25.6</v>
      </c>
      <c r="V594">
        <v>105</v>
      </c>
      <c r="W594">
        <v>0</v>
      </c>
      <c r="X594">
        <v>26.556862745098041</v>
      </c>
      <c r="Y594">
        <v>109</v>
      </c>
      <c r="Z594">
        <v>0</v>
      </c>
      <c r="AA594">
        <v>114.6301960784314</v>
      </c>
      <c r="AB594">
        <v>350</v>
      </c>
      <c r="AC594">
        <v>0</v>
      </c>
      <c r="AD594">
        <v>26.732758620689651</v>
      </c>
      <c r="AE594">
        <v>114</v>
      </c>
      <c r="AF594">
        <v>0</v>
      </c>
      <c r="AG594">
        <v>115.31896551724139</v>
      </c>
      <c r="AH594">
        <v>350</v>
      </c>
      <c r="AI594">
        <v>0</v>
      </c>
      <c r="AL594">
        <v>336</v>
      </c>
      <c r="AM594">
        <v>123</v>
      </c>
      <c r="AN594">
        <v>459</v>
      </c>
      <c r="AO594">
        <v>15</v>
      </c>
      <c r="AP594">
        <v>224</v>
      </c>
    </row>
    <row r="595" spans="1:42" x14ac:dyDescent="0.3">
      <c r="A595" t="s">
        <v>1512</v>
      </c>
      <c r="B595" t="s">
        <v>11</v>
      </c>
      <c r="C595" t="s">
        <v>1043</v>
      </c>
      <c r="D595" t="s">
        <v>12</v>
      </c>
      <c r="E595" t="s">
        <v>1036</v>
      </c>
      <c r="F595">
        <v>2012</v>
      </c>
      <c r="G595">
        <v>85.7</v>
      </c>
      <c r="H595">
        <v>1</v>
      </c>
      <c r="I595">
        <v>0</v>
      </c>
      <c r="J595">
        <v>14</v>
      </c>
      <c r="K595">
        <v>12</v>
      </c>
      <c r="L595" t="s">
        <v>1327</v>
      </c>
      <c r="M595">
        <v>26.212121212121211</v>
      </c>
      <c r="N595">
        <v>114</v>
      </c>
      <c r="O595">
        <v>0</v>
      </c>
      <c r="P595">
        <v>31.203883495145629</v>
      </c>
      <c r="Q595">
        <v>120.5689320388349</v>
      </c>
      <c r="R595">
        <v>4.9917622830244213</v>
      </c>
      <c r="S595">
        <v>162</v>
      </c>
      <c r="T595">
        <v>0</v>
      </c>
      <c r="U595">
        <v>31.852941176470591</v>
      </c>
      <c r="V595">
        <v>109</v>
      </c>
      <c r="W595">
        <v>0</v>
      </c>
      <c r="X595">
        <v>26.556862745098041</v>
      </c>
      <c r="Y595">
        <v>109</v>
      </c>
      <c r="Z595">
        <v>0</v>
      </c>
      <c r="AA595">
        <v>114.6301960784314</v>
      </c>
      <c r="AB595">
        <v>350</v>
      </c>
      <c r="AC595">
        <v>0</v>
      </c>
      <c r="AD595">
        <v>26.732758620689651</v>
      </c>
      <c r="AE595">
        <v>114</v>
      </c>
      <c r="AF595">
        <v>0</v>
      </c>
      <c r="AG595">
        <v>115.31896551724139</v>
      </c>
      <c r="AH595">
        <v>350</v>
      </c>
      <c r="AI595">
        <v>0</v>
      </c>
      <c r="AJ595">
        <v>114</v>
      </c>
      <c r="AK595">
        <v>126.55</v>
      </c>
      <c r="AL595">
        <v>335</v>
      </c>
      <c r="AM595">
        <v>123</v>
      </c>
      <c r="AN595">
        <v>458</v>
      </c>
      <c r="AO595">
        <v>51</v>
      </c>
      <c r="AP595">
        <v>223</v>
      </c>
    </row>
    <row r="596" spans="1:42" x14ac:dyDescent="0.3">
      <c r="A596" t="s">
        <v>1636</v>
      </c>
      <c r="B596" t="s">
        <v>60</v>
      </c>
      <c r="C596" t="s">
        <v>1043</v>
      </c>
      <c r="D596" t="s">
        <v>103</v>
      </c>
      <c r="E596" t="s">
        <v>1036</v>
      </c>
      <c r="F596">
        <v>2012</v>
      </c>
      <c r="G596">
        <v>71.400000000000006</v>
      </c>
      <c r="H596">
        <v>1</v>
      </c>
      <c r="I596">
        <v>0</v>
      </c>
      <c r="J596">
        <v>7</v>
      </c>
      <c r="K596">
        <v>5</v>
      </c>
      <c r="L596" t="s">
        <v>1327</v>
      </c>
      <c r="M596">
        <v>26.341463414634141</v>
      </c>
      <c r="N596">
        <v>114</v>
      </c>
      <c r="O596">
        <v>0</v>
      </c>
      <c r="P596">
        <v>43.391304347826093</v>
      </c>
      <c r="Q596">
        <v>100.17391304347829</v>
      </c>
      <c r="R596">
        <v>17.049840933191941</v>
      </c>
      <c r="S596">
        <v>209</v>
      </c>
      <c r="T596">
        <v>0</v>
      </c>
      <c r="U596">
        <v>25.96875</v>
      </c>
      <c r="V596">
        <v>94</v>
      </c>
      <c r="W596">
        <v>0</v>
      </c>
      <c r="X596">
        <v>26.556862745098041</v>
      </c>
      <c r="Y596">
        <v>109</v>
      </c>
      <c r="Z596">
        <v>0</v>
      </c>
      <c r="AA596">
        <v>114.6301960784314</v>
      </c>
      <c r="AB596">
        <v>350</v>
      </c>
      <c r="AC596">
        <v>0</v>
      </c>
      <c r="AD596">
        <v>26.732758620689651</v>
      </c>
      <c r="AE596">
        <v>114</v>
      </c>
      <c r="AF596">
        <v>0</v>
      </c>
      <c r="AG596">
        <v>115.31896551724139</v>
      </c>
      <c r="AH596">
        <v>350</v>
      </c>
      <c r="AI596">
        <v>0</v>
      </c>
      <c r="AJ596">
        <v>109</v>
      </c>
      <c r="AK596">
        <v>90.85</v>
      </c>
      <c r="AL596">
        <v>334</v>
      </c>
      <c r="AM596">
        <v>123</v>
      </c>
      <c r="AN596">
        <v>457</v>
      </c>
      <c r="AO596">
        <v>14</v>
      </c>
      <c r="AP596">
        <v>222</v>
      </c>
    </row>
    <row r="597" spans="1:42" x14ac:dyDescent="0.3">
      <c r="A597" t="s">
        <v>1042</v>
      </c>
      <c r="B597" t="s">
        <v>11</v>
      </c>
      <c r="C597" t="s">
        <v>1043</v>
      </c>
      <c r="D597" t="s">
        <v>139</v>
      </c>
      <c r="E597" t="s">
        <v>1036</v>
      </c>
      <c r="F597">
        <v>2012</v>
      </c>
      <c r="G597">
        <v>181.7</v>
      </c>
      <c r="H597">
        <v>12</v>
      </c>
      <c r="I597">
        <v>5</v>
      </c>
      <c r="J597">
        <v>60</v>
      </c>
      <c r="K597">
        <v>109</v>
      </c>
      <c r="L597" t="s">
        <v>979</v>
      </c>
      <c r="M597">
        <v>25.834355828220861</v>
      </c>
      <c r="N597">
        <v>114</v>
      </c>
      <c r="O597">
        <v>0</v>
      </c>
      <c r="P597">
        <v>45.666666666666657</v>
      </c>
      <c r="Q597">
        <v>104.1166666666667</v>
      </c>
      <c r="R597">
        <v>19.83231083844581</v>
      </c>
      <c r="S597">
        <v>264</v>
      </c>
      <c r="T597">
        <v>0</v>
      </c>
      <c r="U597">
        <v>31.852941176470591</v>
      </c>
      <c r="V597">
        <v>109</v>
      </c>
      <c r="W597">
        <v>0</v>
      </c>
      <c r="X597">
        <v>26.556862745098041</v>
      </c>
      <c r="Y597">
        <v>109</v>
      </c>
      <c r="Z597">
        <v>0</v>
      </c>
      <c r="AA597">
        <v>114.6301960784314</v>
      </c>
      <c r="AB597">
        <v>350</v>
      </c>
      <c r="AC597">
        <v>0</v>
      </c>
      <c r="AD597">
        <v>26.732758620689651</v>
      </c>
      <c r="AE597">
        <v>114</v>
      </c>
      <c r="AF597">
        <v>0</v>
      </c>
      <c r="AG597">
        <v>115.31896551724139</v>
      </c>
      <c r="AH597">
        <v>350</v>
      </c>
      <c r="AI597">
        <v>0</v>
      </c>
      <c r="AJ597">
        <v>0</v>
      </c>
      <c r="AK597">
        <v>0</v>
      </c>
      <c r="AL597">
        <v>322</v>
      </c>
      <c r="AM597">
        <v>118</v>
      </c>
      <c r="AN597">
        <v>440</v>
      </c>
      <c r="AO597">
        <v>1</v>
      </c>
      <c r="AP597">
        <v>205</v>
      </c>
    </row>
    <row r="598" spans="1:42" x14ac:dyDescent="0.3">
      <c r="A598" t="s">
        <v>1757</v>
      </c>
      <c r="B598" t="s">
        <v>60</v>
      </c>
      <c r="C598" t="s">
        <v>1043</v>
      </c>
      <c r="D598" t="s">
        <v>12</v>
      </c>
      <c r="E598" t="s">
        <v>1036</v>
      </c>
      <c r="F598">
        <v>2012</v>
      </c>
      <c r="G598">
        <v>0</v>
      </c>
      <c r="H598">
        <v>0</v>
      </c>
      <c r="I598">
        <v>0</v>
      </c>
      <c r="J598">
        <v>3</v>
      </c>
      <c r="K598">
        <v>0</v>
      </c>
      <c r="L598" t="s">
        <v>1327</v>
      </c>
      <c r="M598">
        <v>25.993827160493829</v>
      </c>
      <c r="N598">
        <v>114</v>
      </c>
      <c r="O598">
        <v>0</v>
      </c>
      <c r="P598">
        <v>31.203883495145629</v>
      </c>
      <c r="Q598">
        <v>120.5689320388349</v>
      </c>
      <c r="R598">
        <v>5.2100563346518074</v>
      </c>
      <c r="S598">
        <v>162</v>
      </c>
      <c r="T598">
        <v>0</v>
      </c>
      <c r="U598">
        <v>25.96875</v>
      </c>
      <c r="V598">
        <v>94</v>
      </c>
      <c r="W598">
        <v>0</v>
      </c>
      <c r="X598">
        <v>26.556862745098041</v>
      </c>
      <c r="Y598">
        <v>109</v>
      </c>
      <c r="Z598">
        <v>0</v>
      </c>
      <c r="AA598">
        <v>114.6301960784314</v>
      </c>
      <c r="AB598">
        <v>350</v>
      </c>
      <c r="AC598">
        <v>0</v>
      </c>
      <c r="AD598">
        <v>26.732758620689651</v>
      </c>
      <c r="AE598">
        <v>114</v>
      </c>
      <c r="AF598">
        <v>0</v>
      </c>
      <c r="AG598">
        <v>115.31896551724139</v>
      </c>
      <c r="AH598">
        <v>350</v>
      </c>
      <c r="AI598">
        <v>0</v>
      </c>
      <c r="AJ598">
        <v>60</v>
      </c>
      <c r="AK598">
        <v>130.4</v>
      </c>
      <c r="AL598">
        <v>322</v>
      </c>
      <c r="AM598">
        <v>118</v>
      </c>
      <c r="AN598">
        <v>440</v>
      </c>
      <c r="AO598">
        <v>51</v>
      </c>
      <c r="AP598">
        <v>205</v>
      </c>
    </row>
    <row r="599" spans="1:42" x14ac:dyDescent="0.3">
      <c r="A599" t="s">
        <v>1166</v>
      </c>
      <c r="B599" t="s">
        <v>56</v>
      </c>
      <c r="C599" t="s">
        <v>1043</v>
      </c>
      <c r="D599" t="s">
        <v>12</v>
      </c>
      <c r="E599" t="s">
        <v>1036</v>
      </c>
      <c r="F599">
        <v>2012</v>
      </c>
      <c r="G599">
        <v>130.4</v>
      </c>
      <c r="H599">
        <v>6</v>
      </c>
      <c r="I599">
        <v>2</v>
      </c>
      <c r="J599">
        <v>46</v>
      </c>
      <c r="K599">
        <v>60</v>
      </c>
      <c r="L599" t="s">
        <v>979</v>
      </c>
      <c r="M599">
        <v>25.782608695652179</v>
      </c>
      <c r="N599">
        <v>114</v>
      </c>
      <c r="O599">
        <v>0</v>
      </c>
      <c r="P599">
        <v>31.203883495145629</v>
      </c>
      <c r="Q599">
        <v>120.5689320388349</v>
      </c>
      <c r="R599">
        <v>5.4212747994934567</v>
      </c>
      <c r="S599">
        <v>162</v>
      </c>
      <c r="T599">
        <v>0</v>
      </c>
      <c r="U599">
        <v>25.6</v>
      </c>
      <c r="V599">
        <v>105</v>
      </c>
      <c r="W599">
        <v>0</v>
      </c>
      <c r="X599">
        <v>26.556862745098041</v>
      </c>
      <c r="Y599">
        <v>109</v>
      </c>
      <c r="Z599">
        <v>0</v>
      </c>
      <c r="AA599">
        <v>114.6301960784314</v>
      </c>
      <c r="AB599">
        <v>350</v>
      </c>
      <c r="AC599">
        <v>0</v>
      </c>
      <c r="AD599">
        <v>26.732758620689651</v>
      </c>
      <c r="AE599">
        <v>114</v>
      </c>
      <c r="AF599">
        <v>0</v>
      </c>
      <c r="AG599">
        <v>115.31896551724139</v>
      </c>
      <c r="AH599">
        <v>350</v>
      </c>
      <c r="AI599">
        <v>0</v>
      </c>
      <c r="AJ599">
        <v>3</v>
      </c>
      <c r="AK599">
        <v>60</v>
      </c>
      <c r="AL599">
        <v>316</v>
      </c>
      <c r="AM599">
        <v>116</v>
      </c>
      <c r="AN599">
        <v>432</v>
      </c>
      <c r="AO599">
        <v>43</v>
      </c>
      <c r="AP599">
        <v>197</v>
      </c>
    </row>
    <row r="600" spans="1:42" x14ac:dyDescent="0.3">
      <c r="A600" t="s">
        <v>1675</v>
      </c>
      <c r="B600" t="s">
        <v>783</v>
      </c>
      <c r="C600" t="s">
        <v>5</v>
      </c>
      <c r="D600" t="s">
        <v>100</v>
      </c>
      <c r="E600" t="s">
        <v>1036</v>
      </c>
      <c r="F600">
        <v>2012</v>
      </c>
      <c r="G600">
        <v>60</v>
      </c>
      <c r="H600">
        <v>0</v>
      </c>
      <c r="I600">
        <v>0</v>
      </c>
      <c r="J600">
        <v>5</v>
      </c>
      <c r="K600">
        <v>3</v>
      </c>
      <c r="L600" t="s">
        <v>1327</v>
      </c>
      <c r="M600">
        <v>25.925000000000001</v>
      </c>
      <c r="N600">
        <v>114</v>
      </c>
      <c r="O600">
        <v>0</v>
      </c>
      <c r="P600">
        <v>25.444444444444439</v>
      </c>
      <c r="Q600">
        <v>86.627777777777794</v>
      </c>
      <c r="R600">
        <v>-0.48055555555555779</v>
      </c>
      <c r="S600">
        <v>85</v>
      </c>
      <c r="T600">
        <v>0</v>
      </c>
      <c r="U600">
        <v>19.600000000000001</v>
      </c>
      <c r="V600">
        <v>62</v>
      </c>
      <c r="W600">
        <v>1</v>
      </c>
      <c r="X600">
        <v>28.189024390243901</v>
      </c>
      <c r="Y600">
        <v>121</v>
      </c>
      <c r="Z600">
        <v>0</v>
      </c>
      <c r="AA600">
        <v>116.45060975609761</v>
      </c>
      <c r="AB600">
        <v>274.39999999999998</v>
      </c>
      <c r="AC600">
        <v>0</v>
      </c>
      <c r="AD600">
        <v>26.732758620689651</v>
      </c>
      <c r="AE600">
        <v>114</v>
      </c>
      <c r="AF600">
        <v>0</v>
      </c>
      <c r="AG600">
        <v>115.31896551724139</v>
      </c>
      <c r="AH600">
        <v>350</v>
      </c>
      <c r="AI600">
        <v>0</v>
      </c>
      <c r="AJ600">
        <v>42</v>
      </c>
      <c r="AK600">
        <v>87.5</v>
      </c>
      <c r="AL600">
        <v>316</v>
      </c>
      <c r="AM600">
        <v>116</v>
      </c>
      <c r="AN600">
        <v>432</v>
      </c>
      <c r="AP600">
        <v>76</v>
      </c>
    </row>
    <row r="601" spans="1:42" x14ac:dyDescent="0.3">
      <c r="A601" t="s">
        <v>1266</v>
      </c>
      <c r="B601" t="s">
        <v>812</v>
      </c>
      <c r="C601" t="s">
        <v>5</v>
      </c>
      <c r="D601" t="s">
        <v>12</v>
      </c>
      <c r="E601" t="s">
        <v>1047</v>
      </c>
      <c r="F601">
        <v>2012</v>
      </c>
      <c r="G601">
        <v>87.5</v>
      </c>
      <c r="H601">
        <v>4</v>
      </c>
      <c r="I601">
        <v>1</v>
      </c>
      <c r="J601">
        <v>48</v>
      </c>
      <c r="K601">
        <v>42</v>
      </c>
      <c r="L601" t="s">
        <v>979</v>
      </c>
      <c r="M601">
        <v>25.823899371069182</v>
      </c>
      <c r="N601">
        <v>114</v>
      </c>
      <c r="O601">
        <v>0</v>
      </c>
      <c r="P601">
        <v>31.203883495145629</v>
      </c>
      <c r="Q601">
        <v>120.5689320388349</v>
      </c>
      <c r="R601">
        <v>5.3799841240764508</v>
      </c>
      <c r="S601">
        <v>162</v>
      </c>
      <c r="T601">
        <v>0</v>
      </c>
      <c r="U601">
        <v>44.333333333333343</v>
      </c>
      <c r="V601">
        <v>73</v>
      </c>
      <c r="W601">
        <v>4</v>
      </c>
      <c r="X601">
        <v>28.189024390243901</v>
      </c>
      <c r="Y601">
        <v>121</v>
      </c>
      <c r="Z601">
        <v>0</v>
      </c>
      <c r="AA601">
        <v>116.45060975609761</v>
      </c>
      <c r="AB601">
        <v>274.39999999999998</v>
      </c>
      <c r="AC601">
        <v>0</v>
      </c>
      <c r="AD601">
        <v>27.9758064516129</v>
      </c>
      <c r="AE601">
        <v>105</v>
      </c>
      <c r="AF601">
        <v>0</v>
      </c>
      <c r="AG601">
        <v>110.46935483870971</v>
      </c>
      <c r="AH601">
        <v>280</v>
      </c>
      <c r="AI601">
        <v>0</v>
      </c>
      <c r="AJ601">
        <v>62</v>
      </c>
      <c r="AK601">
        <v>183.35</v>
      </c>
      <c r="AL601">
        <v>312</v>
      </c>
      <c r="AM601">
        <v>115</v>
      </c>
      <c r="AN601">
        <v>427</v>
      </c>
      <c r="AO601">
        <v>38</v>
      </c>
      <c r="AP601">
        <v>71</v>
      </c>
    </row>
    <row r="602" spans="1:42" x14ac:dyDescent="0.3">
      <c r="A602" t="s">
        <v>1513</v>
      </c>
      <c r="B602" t="s">
        <v>8</v>
      </c>
      <c r="C602" t="s">
        <v>1043</v>
      </c>
      <c r="D602" t="s">
        <v>9</v>
      </c>
      <c r="E602" t="s">
        <v>1047</v>
      </c>
      <c r="F602">
        <v>2012</v>
      </c>
      <c r="G602">
        <v>200</v>
      </c>
      <c r="H602">
        <v>1</v>
      </c>
      <c r="I602">
        <v>1</v>
      </c>
      <c r="J602">
        <v>6</v>
      </c>
      <c r="K602">
        <v>12</v>
      </c>
      <c r="L602" t="s">
        <v>1327</v>
      </c>
      <c r="M602">
        <v>25.911392405063289</v>
      </c>
      <c r="N602">
        <v>114</v>
      </c>
      <c r="O602">
        <v>0</v>
      </c>
      <c r="P602">
        <v>38.36</v>
      </c>
      <c r="Q602">
        <v>122.748</v>
      </c>
      <c r="R602">
        <v>12.448607594936711</v>
      </c>
      <c r="S602">
        <v>131</v>
      </c>
      <c r="T602">
        <v>1</v>
      </c>
      <c r="U602">
        <v>28.567567567567568</v>
      </c>
      <c r="V602">
        <v>74</v>
      </c>
      <c r="W602">
        <v>0</v>
      </c>
      <c r="X602">
        <v>26.556862745098041</v>
      </c>
      <c r="Y602">
        <v>109</v>
      </c>
      <c r="Z602">
        <v>0</v>
      </c>
      <c r="AA602">
        <v>114.6301960784314</v>
      </c>
      <c r="AB602">
        <v>350</v>
      </c>
      <c r="AC602">
        <v>0</v>
      </c>
      <c r="AD602">
        <v>27.9758064516129</v>
      </c>
      <c r="AE602">
        <v>105</v>
      </c>
      <c r="AF602">
        <v>0</v>
      </c>
      <c r="AG602">
        <v>110.46935483870971</v>
      </c>
      <c r="AH602">
        <v>280</v>
      </c>
      <c r="AI602">
        <v>0</v>
      </c>
      <c r="AJ602">
        <v>52</v>
      </c>
      <c r="AK602">
        <v>103.35</v>
      </c>
      <c r="AL602">
        <v>311</v>
      </c>
      <c r="AM602">
        <v>114</v>
      </c>
      <c r="AN602">
        <v>425</v>
      </c>
      <c r="AO602">
        <v>10</v>
      </c>
      <c r="AP602">
        <v>195</v>
      </c>
    </row>
    <row r="603" spans="1:42" x14ac:dyDescent="0.3">
      <c r="A603" t="s">
        <v>1224</v>
      </c>
      <c r="B603" t="s">
        <v>40</v>
      </c>
      <c r="C603" t="s">
        <v>1043</v>
      </c>
      <c r="D603" t="s">
        <v>173</v>
      </c>
      <c r="E603" t="s">
        <v>1047</v>
      </c>
      <c r="F603">
        <v>2012</v>
      </c>
      <c r="G603">
        <v>166.7</v>
      </c>
      <c r="H603">
        <v>3</v>
      </c>
      <c r="I603">
        <v>3</v>
      </c>
      <c r="J603">
        <v>30</v>
      </c>
      <c r="K603">
        <v>50</v>
      </c>
      <c r="L603" t="s">
        <v>979</v>
      </c>
      <c r="M603">
        <v>25.757961783439491</v>
      </c>
      <c r="N603">
        <v>114</v>
      </c>
      <c r="O603">
        <v>0</v>
      </c>
      <c r="P603">
        <v>36.388888888888893</v>
      </c>
      <c r="Q603">
        <v>93.683333333333337</v>
      </c>
      <c r="R603">
        <v>10.630927105449389</v>
      </c>
      <c r="S603">
        <v>208</v>
      </c>
      <c r="T603">
        <v>0</v>
      </c>
      <c r="U603">
        <v>28.12903225806452</v>
      </c>
      <c r="V603">
        <v>79</v>
      </c>
      <c r="W603">
        <v>0</v>
      </c>
      <c r="X603">
        <v>26.556862745098041</v>
      </c>
      <c r="Y603">
        <v>109</v>
      </c>
      <c r="Z603">
        <v>0</v>
      </c>
      <c r="AA603">
        <v>114.6301960784314</v>
      </c>
      <c r="AB603">
        <v>350</v>
      </c>
      <c r="AC603">
        <v>0</v>
      </c>
      <c r="AD603">
        <v>27.9758064516129</v>
      </c>
      <c r="AE603">
        <v>105</v>
      </c>
      <c r="AF603">
        <v>0</v>
      </c>
      <c r="AG603">
        <v>110.46935483870971</v>
      </c>
      <c r="AH603">
        <v>280</v>
      </c>
      <c r="AI603">
        <v>0</v>
      </c>
      <c r="AJ603">
        <v>2</v>
      </c>
      <c r="AK603">
        <v>40</v>
      </c>
      <c r="AL603">
        <v>308</v>
      </c>
      <c r="AM603">
        <v>111</v>
      </c>
      <c r="AN603">
        <v>419</v>
      </c>
      <c r="AO603">
        <v>8</v>
      </c>
      <c r="AP603">
        <v>189</v>
      </c>
    </row>
    <row r="604" spans="1:42" x14ac:dyDescent="0.3">
      <c r="A604" t="s">
        <v>1699</v>
      </c>
      <c r="B604" t="s">
        <v>40</v>
      </c>
      <c r="C604" t="s">
        <v>1043</v>
      </c>
      <c r="D604" t="s">
        <v>12</v>
      </c>
      <c r="E604" t="s">
        <v>1047</v>
      </c>
      <c r="F604">
        <v>2012</v>
      </c>
      <c r="G604">
        <v>40</v>
      </c>
      <c r="H604">
        <v>0</v>
      </c>
      <c r="I604">
        <v>0</v>
      </c>
      <c r="J604">
        <v>5</v>
      </c>
      <c r="K604">
        <v>2</v>
      </c>
      <c r="L604" t="s">
        <v>1327</v>
      </c>
      <c r="M604">
        <v>25.910256410256409</v>
      </c>
      <c r="N604">
        <v>114</v>
      </c>
      <c r="O604">
        <v>0</v>
      </c>
      <c r="P604">
        <v>31.203883495145629</v>
      </c>
      <c r="Q604">
        <v>120.5689320388349</v>
      </c>
      <c r="R604">
        <v>5.2936270848892244</v>
      </c>
      <c r="S604">
        <v>162</v>
      </c>
      <c r="T604">
        <v>0</v>
      </c>
      <c r="U604">
        <v>28.12903225806452</v>
      </c>
      <c r="V604">
        <v>79</v>
      </c>
      <c r="W604">
        <v>0</v>
      </c>
      <c r="X604">
        <v>26.556862745098041</v>
      </c>
      <c r="Y604">
        <v>109</v>
      </c>
      <c r="Z604">
        <v>0</v>
      </c>
      <c r="AA604">
        <v>114.6301960784314</v>
      </c>
      <c r="AB604">
        <v>350</v>
      </c>
      <c r="AC604">
        <v>0</v>
      </c>
      <c r="AD604">
        <v>27.9758064516129</v>
      </c>
      <c r="AE604">
        <v>105</v>
      </c>
      <c r="AF604">
        <v>0</v>
      </c>
      <c r="AG604">
        <v>110.46935483870971</v>
      </c>
      <c r="AH604">
        <v>280</v>
      </c>
      <c r="AI604">
        <v>0</v>
      </c>
      <c r="AL604">
        <v>308</v>
      </c>
      <c r="AM604">
        <v>111</v>
      </c>
      <c r="AN604">
        <v>419</v>
      </c>
      <c r="AO604">
        <v>38</v>
      </c>
      <c r="AP604">
        <v>189</v>
      </c>
    </row>
    <row r="605" spans="1:42" x14ac:dyDescent="0.3">
      <c r="A605" t="s">
        <v>1340</v>
      </c>
      <c r="B605" t="s">
        <v>8</v>
      </c>
      <c r="C605" t="s">
        <v>1043</v>
      </c>
      <c r="D605" t="s">
        <v>12</v>
      </c>
      <c r="E605" t="s">
        <v>1047</v>
      </c>
      <c r="F605">
        <v>2012</v>
      </c>
      <c r="G605">
        <v>107.4</v>
      </c>
      <c r="H605">
        <v>5</v>
      </c>
      <c r="I605">
        <v>0</v>
      </c>
      <c r="J605">
        <v>27</v>
      </c>
      <c r="K605">
        <v>29</v>
      </c>
      <c r="L605" t="s">
        <v>1327</v>
      </c>
      <c r="M605">
        <v>25.890322580645162</v>
      </c>
      <c r="N605">
        <v>114</v>
      </c>
      <c r="O605">
        <v>0</v>
      </c>
      <c r="P605">
        <v>31.203883495145629</v>
      </c>
      <c r="Q605">
        <v>120.5689320388349</v>
      </c>
      <c r="R605">
        <v>5.3135609145004707</v>
      </c>
      <c r="S605">
        <v>162</v>
      </c>
      <c r="T605">
        <v>0</v>
      </c>
      <c r="U605">
        <v>28.567567567567568</v>
      </c>
      <c r="V605">
        <v>74</v>
      </c>
      <c r="W605">
        <v>0</v>
      </c>
      <c r="X605">
        <v>26.556862745098041</v>
      </c>
      <c r="Y605">
        <v>109</v>
      </c>
      <c r="Z605">
        <v>0</v>
      </c>
      <c r="AA605">
        <v>114.6301960784314</v>
      </c>
      <c r="AB605">
        <v>350</v>
      </c>
      <c r="AC605">
        <v>0</v>
      </c>
      <c r="AD605">
        <v>27.9758064516129</v>
      </c>
      <c r="AE605">
        <v>105</v>
      </c>
      <c r="AF605">
        <v>0</v>
      </c>
      <c r="AG605">
        <v>110.46935483870971</v>
      </c>
      <c r="AH605">
        <v>280</v>
      </c>
      <c r="AI605">
        <v>0</v>
      </c>
      <c r="AJ605">
        <v>21</v>
      </c>
      <c r="AK605">
        <v>161.5</v>
      </c>
      <c r="AL605">
        <v>303</v>
      </c>
      <c r="AM605">
        <v>111</v>
      </c>
      <c r="AN605">
        <v>414</v>
      </c>
      <c r="AO605">
        <v>33</v>
      </c>
      <c r="AP605">
        <v>184</v>
      </c>
    </row>
    <row r="606" spans="1:42" x14ac:dyDescent="0.3">
      <c r="A606" t="s">
        <v>1408</v>
      </c>
      <c r="B606" t="s">
        <v>4</v>
      </c>
      <c r="C606" t="s">
        <v>1043</v>
      </c>
      <c r="D606" t="s">
        <v>12</v>
      </c>
      <c r="E606" t="s">
        <v>1047</v>
      </c>
      <c r="F606">
        <v>2012</v>
      </c>
      <c r="G606">
        <v>161.5</v>
      </c>
      <c r="H606">
        <v>2</v>
      </c>
      <c r="I606">
        <v>1</v>
      </c>
      <c r="J606">
        <v>13</v>
      </c>
      <c r="K606">
        <v>21</v>
      </c>
      <c r="L606" t="s">
        <v>1327</v>
      </c>
      <c r="M606">
        <v>25.922077922077921</v>
      </c>
      <c r="N606">
        <v>114</v>
      </c>
      <c r="O606">
        <v>0</v>
      </c>
      <c r="P606">
        <v>31.203883495145629</v>
      </c>
      <c r="Q606">
        <v>120.5689320388349</v>
      </c>
      <c r="R606">
        <v>5.2818055730677109</v>
      </c>
      <c r="S606">
        <v>162</v>
      </c>
      <c r="T606">
        <v>0</v>
      </c>
      <c r="U606">
        <v>20.68965517241379</v>
      </c>
      <c r="V606">
        <v>73</v>
      </c>
      <c r="W606">
        <v>0</v>
      </c>
      <c r="X606">
        <v>26.556862745098041</v>
      </c>
      <c r="Y606">
        <v>109</v>
      </c>
      <c r="Z606">
        <v>0</v>
      </c>
      <c r="AA606">
        <v>114.6301960784314</v>
      </c>
      <c r="AB606">
        <v>350</v>
      </c>
      <c r="AC606">
        <v>0</v>
      </c>
      <c r="AD606">
        <v>27.9758064516129</v>
      </c>
      <c r="AE606">
        <v>105</v>
      </c>
      <c r="AF606">
        <v>0</v>
      </c>
      <c r="AG606">
        <v>110.46935483870971</v>
      </c>
      <c r="AH606">
        <v>280</v>
      </c>
      <c r="AI606">
        <v>0</v>
      </c>
      <c r="AJ606">
        <v>74</v>
      </c>
      <c r="AK606">
        <v>81.349999999999994</v>
      </c>
      <c r="AL606">
        <v>301</v>
      </c>
      <c r="AM606">
        <v>110</v>
      </c>
      <c r="AN606">
        <v>411</v>
      </c>
      <c r="AO606">
        <v>30</v>
      </c>
      <c r="AP606">
        <v>181</v>
      </c>
    </row>
    <row r="607" spans="1:42" x14ac:dyDescent="0.3">
      <c r="A607" t="s">
        <v>1113</v>
      </c>
      <c r="B607" t="s">
        <v>812</v>
      </c>
      <c r="C607" t="s">
        <v>5</v>
      </c>
      <c r="D607" t="s">
        <v>25</v>
      </c>
      <c r="E607" t="s">
        <v>1047</v>
      </c>
      <c r="F607">
        <v>2012</v>
      </c>
      <c r="G607">
        <v>146</v>
      </c>
      <c r="H607">
        <v>4</v>
      </c>
      <c r="I607">
        <v>5</v>
      </c>
      <c r="J607">
        <v>50</v>
      </c>
      <c r="K607">
        <v>73</v>
      </c>
      <c r="L607" t="s">
        <v>979</v>
      </c>
      <c r="M607">
        <v>25.614379084967322</v>
      </c>
      <c r="N607">
        <v>114</v>
      </c>
      <c r="O607">
        <v>0</v>
      </c>
      <c r="P607">
        <v>56.375</v>
      </c>
      <c r="Q607">
        <v>92.453125</v>
      </c>
      <c r="R607">
        <v>30.760620915032678</v>
      </c>
      <c r="S607">
        <v>303</v>
      </c>
      <c r="T607">
        <v>4</v>
      </c>
      <c r="U607">
        <v>44.333333333333343</v>
      </c>
      <c r="V607">
        <v>73</v>
      </c>
      <c r="W607">
        <v>4</v>
      </c>
      <c r="X607">
        <v>28.189024390243901</v>
      </c>
      <c r="Y607">
        <v>121</v>
      </c>
      <c r="Z607">
        <v>0</v>
      </c>
      <c r="AA607">
        <v>116.45060975609761</v>
      </c>
      <c r="AB607">
        <v>274.39999999999998</v>
      </c>
      <c r="AC607">
        <v>0</v>
      </c>
      <c r="AD607">
        <v>27.9758064516129</v>
      </c>
      <c r="AE607">
        <v>105</v>
      </c>
      <c r="AF607">
        <v>0</v>
      </c>
      <c r="AG607">
        <v>110.46935483870971</v>
      </c>
      <c r="AH607">
        <v>280</v>
      </c>
      <c r="AI607">
        <v>0</v>
      </c>
      <c r="AJ607">
        <v>1</v>
      </c>
      <c r="AK607">
        <v>8.35</v>
      </c>
      <c r="AL607">
        <v>297</v>
      </c>
      <c r="AM607">
        <v>105</v>
      </c>
      <c r="AN607">
        <v>402</v>
      </c>
      <c r="AO607">
        <v>9</v>
      </c>
      <c r="AP607">
        <v>62</v>
      </c>
    </row>
    <row r="608" spans="1:42" x14ac:dyDescent="0.3">
      <c r="A608" t="s">
        <v>1716</v>
      </c>
      <c r="B608" t="s">
        <v>783</v>
      </c>
      <c r="C608" t="s">
        <v>5</v>
      </c>
      <c r="D608" t="s">
        <v>12</v>
      </c>
      <c r="E608" t="s">
        <v>1047</v>
      </c>
      <c r="F608">
        <v>2012</v>
      </c>
      <c r="G608">
        <v>16.7</v>
      </c>
      <c r="H608">
        <v>0</v>
      </c>
      <c r="I608">
        <v>0</v>
      </c>
      <c r="J608">
        <v>6</v>
      </c>
      <c r="K608">
        <v>1</v>
      </c>
      <c r="L608" t="s">
        <v>1327</v>
      </c>
      <c r="M608">
        <v>25.776315789473681</v>
      </c>
      <c r="N608">
        <v>114</v>
      </c>
      <c r="O608">
        <v>0</v>
      </c>
      <c r="P608">
        <v>31.203883495145629</v>
      </c>
      <c r="Q608">
        <v>120.5689320388349</v>
      </c>
      <c r="R608">
        <v>5.4275677056719474</v>
      </c>
      <c r="S608">
        <v>162</v>
      </c>
      <c r="T608">
        <v>0</v>
      </c>
      <c r="U608">
        <v>19.600000000000001</v>
      </c>
      <c r="V608">
        <v>62</v>
      </c>
      <c r="W608">
        <v>1</v>
      </c>
      <c r="X608">
        <v>28.189024390243901</v>
      </c>
      <c r="Y608">
        <v>121</v>
      </c>
      <c r="Z608">
        <v>0</v>
      </c>
      <c r="AA608">
        <v>116.45060975609761</v>
      </c>
      <c r="AB608">
        <v>274.39999999999998</v>
      </c>
      <c r="AC608">
        <v>0</v>
      </c>
      <c r="AD608">
        <v>27.9758064516129</v>
      </c>
      <c r="AE608">
        <v>105</v>
      </c>
      <c r="AF608">
        <v>0</v>
      </c>
      <c r="AG608">
        <v>110.46935483870971</v>
      </c>
      <c r="AH608">
        <v>280</v>
      </c>
      <c r="AI608">
        <v>0</v>
      </c>
      <c r="AJ608">
        <v>0</v>
      </c>
      <c r="AK608">
        <v>0</v>
      </c>
      <c r="AL608">
        <v>297</v>
      </c>
      <c r="AM608">
        <v>105</v>
      </c>
      <c r="AN608">
        <v>402</v>
      </c>
      <c r="AO608">
        <v>30</v>
      </c>
      <c r="AP608">
        <v>62</v>
      </c>
    </row>
    <row r="609" spans="1:42" x14ac:dyDescent="0.3">
      <c r="A609" t="s">
        <v>1758</v>
      </c>
      <c r="B609" t="s">
        <v>56</v>
      </c>
      <c r="C609" t="s">
        <v>1043</v>
      </c>
      <c r="D609" t="s">
        <v>64</v>
      </c>
      <c r="E609" t="s">
        <v>1047</v>
      </c>
      <c r="F609">
        <v>2012</v>
      </c>
      <c r="G609">
        <v>0</v>
      </c>
      <c r="H609">
        <v>0</v>
      </c>
      <c r="I609">
        <v>0</v>
      </c>
      <c r="J609">
        <v>3</v>
      </c>
      <c r="K609">
        <v>0</v>
      </c>
      <c r="L609" t="s">
        <v>1327</v>
      </c>
      <c r="M609">
        <v>25.94701986754967</v>
      </c>
      <c r="N609">
        <v>114</v>
      </c>
      <c r="O609">
        <v>0</v>
      </c>
      <c r="P609">
        <v>26</v>
      </c>
      <c r="Q609">
        <v>94.26964285714287</v>
      </c>
      <c r="R609">
        <v>5.298013245032962E-2</v>
      </c>
      <c r="S609">
        <v>187</v>
      </c>
      <c r="T609">
        <v>0</v>
      </c>
      <c r="U609">
        <v>25.6</v>
      </c>
      <c r="V609">
        <v>105</v>
      </c>
      <c r="W609">
        <v>0</v>
      </c>
      <c r="X609">
        <v>26.556862745098041</v>
      </c>
      <c r="Y609">
        <v>109</v>
      </c>
      <c r="Z609">
        <v>0</v>
      </c>
      <c r="AA609">
        <v>114.6301960784314</v>
      </c>
      <c r="AB609">
        <v>350</v>
      </c>
      <c r="AC609">
        <v>0</v>
      </c>
      <c r="AD609">
        <v>27.9758064516129</v>
      </c>
      <c r="AE609">
        <v>105</v>
      </c>
      <c r="AF609">
        <v>0</v>
      </c>
      <c r="AG609">
        <v>110.46935483870971</v>
      </c>
      <c r="AH609">
        <v>280</v>
      </c>
      <c r="AI609">
        <v>0</v>
      </c>
      <c r="AL609">
        <v>297</v>
      </c>
      <c r="AM609">
        <v>105</v>
      </c>
      <c r="AN609">
        <v>402</v>
      </c>
      <c r="AO609">
        <v>8</v>
      </c>
      <c r="AP609">
        <v>181</v>
      </c>
    </row>
    <row r="610" spans="1:42" x14ac:dyDescent="0.3">
      <c r="A610" t="s">
        <v>1129</v>
      </c>
      <c r="B610" t="s">
        <v>71</v>
      </c>
      <c r="C610" t="s">
        <v>16</v>
      </c>
      <c r="D610" t="s">
        <v>259</v>
      </c>
      <c r="E610" t="s">
        <v>1016</v>
      </c>
      <c r="F610">
        <v>2012</v>
      </c>
      <c r="G610">
        <v>81.900000000000006</v>
      </c>
      <c r="H610">
        <v>5</v>
      </c>
      <c r="I610">
        <v>1</v>
      </c>
      <c r="J610">
        <v>83</v>
      </c>
      <c r="K610">
        <v>68</v>
      </c>
      <c r="L610" t="s">
        <v>979</v>
      </c>
      <c r="M610">
        <v>25.666666666666671</v>
      </c>
      <c r="N610">
        <v>114</v>
      </c>
      <c r="O610">
        <v>0</v>
      </c>
      <c r="P610">
        <v>31</v>
      </c>
      <c r="Q610">
        <v>95.613043478260863</v>
      </c>
      <c r="R610">
        <v>5.3333333333333321</v>
      </c>
      <c r="S610">
        <v>83</v>
      </c>
      <c r="T610">
        <v>0</v>
      </c>
      <c r="U610">
        <v>33.333333333333343</v>
      </c>
      <c r="V610">
        <v>140</v>
      </c>
      <c r="W610">
        <v>0</v>
      </c>
      <c r="X610">
        <v>42.251824817518248</v>
      </c>
      <c r="Y610">
        <v>264</v>
      </c>
      <c r="Z610">
        <v>0</v>
      </c>
      <c r="AA610">
        <v>77.646715328467153</v>
      </c>
      <c r="AB610">
        <v>200</v>
      </c>
      <c r="AC610">
        <v>0</v>
      </c>
      <c r="AD610">
        <v>34.313432835820898</v>
      </c>
      <c r="AE610">
        <v>137</v>
      </c>
      <c r="AF610">
        <v>0</v>
      </c>
      <c r="AG610">
        <v>101.9507462686567</v>
      </c>
      <c r="AH610">
        <v>216.7</v>
      </c>
      <c r="AI610">
        <v>0</v>
      </c>
      <c r="AJ610">
        <v>4</v>
      </c>
      <c r="AK610">
        <v>66.7</v>
      </c>
      <c r="AL610">
        <v>292</v>
      </c>
      <c r="AM610">
        <v>104</v>
      </c>
      <c r="AN610">
        <v>396</v>
      </c>
      <c r="AO610">
        <v>7</v>
      </c>
      <c r="AP610">
        <v>153</v>
      </c>
    </row>
    <row r="611" spans="1:42" x14ac:dyDescent="0.3">
      <c r="A611" t="s">
        <v>1663</v>
      </c>
      <c r="B611" t="s">
        <v>73</v>
      </c>
      <c r="C611" t="s">
        <v>16</v>
      </c>
      <c r="D611" t="s">
        <v>259</v>
      </c>
      <c r="E611" t="s">
        <v>1016</v>
      </c>
      <c r="F611">
        <v>2012</v>
      </c>
      <c r="G611">
        <v>66.7</v>
      </c>
      <c r="H611">
        <v>0</v>
      </c>
      <c r="I611">
        <v>0</v>
      </c>
      <c r="J611">
        <v>6</v>
      </c>
      <c r="K611">
        <v>4</v>
      </c>
      <c r="L611" t="s">
        <v>1327</v>
      </c>
      <c r="M611">
        <v>25.812080536912749</v>
      </c>
      <c r="N611">
        <v>114</v>
      </c>
      <c r="O611">
        <v>0</v>
      </c>
      <c r="P611">
        <v>31</v>
      </c>
      <c r="Q611">
        <v>95.613043478260863</v>
      </c>
      <c r="R611">
        <v>5.1879194630872476</v>
      </c>
      <c r="S611">
        <v>83</v>
      </c>
      <c r="T611">
        <v>0</v>
      </c>
      <c r="U611">
        <v>38.228571428571428</v>
      </c>
      <c r="V611">
        <v>137</v>
      </c>
      <c r="W611">
        <v>0</v>
      </c>
      <c r="X611">
        <v>42.251824817518248</v>
      </c>
      <c r="Y611">
        <v>264</v>
      </c>
      <c r="Z611">
        <v>0</v>
      </c>
      <c r="AA611">
        <v>77.646715328467153</v>
      </c>
      <c r="AB611">
        <v>200</v>
      </c>
      <c r="AC611">
        <v>0</v>
      </c>
      <c r="AD611">
        <v>34.313432835820898</v>
      </c>
      <c r="AE611">
        <v>137</v>
      </c>
      <c r="AF611">
        <v>0</v>
      </c>
      <c r="AG611">
        <v>101.9507462686567</v>
      </c>
      <c r="AH611">
        <v>216.7</v>
      </c>
      <c r="AI611">
        <v>0</v>
      </c>
      <c r="AL611">
        <v>292</v>
      </c>
      <c r="AM611">
        <v>104</v>
      </c>
      <c r="AN611">
        <v>396</v>
      </c>
      <c r="AO611">
        <v>7</v>
      </c>
      <c r="AP611">
        <v>153</v>
      </c>
    </row>
    <row r="612" spans="1:42" x14ac:dyDescent="0.3">
      <c r="A612" t="s">
        <v>1759</v>
      </c>
      <c r="B612" t="s">
        <v>32</v>
      </c>
      <c r="C612" t="s">
        <v>16</v>
      </c>
      <c r="D612" t="s">
        <v>88</v>
      </c>
      <c r="E612" t="s">
        <v>990</v>
      </c>
      <c r="F612">
        <v>2012</v>
      </c>
      <c r="G612">
        <v>0</v>
      </c>
      <c r="H612">
        <v>0</v>
      </c>
      <c r="I612">
        <v>0</v>
      </c>
      <c r="J612">
        <v>5</v>
      </c>
      <c r="K612">
        <v>0</v>
      </c>
      <c r="L612" t="s">
        <v>1327</v>
      </c>
      <c r="M612">
        <v>25.986486486486491</v>
      </c>
      <c r="N612">
        <v>114</v>
      </c>
      <c r="O612">
        <v>0</v>
      </c>
      <c r="P612">
        <v>28.333333333333329</v>
      </c>
      <c r="Q612">
        <v>48.216666666666661</v>
      </c>
      <c r="R612">
        <v>2.346846846846844</v>
      </c>
      <c r="S612">
        <v>124</v>
      </c>
      <c r="T612">
        <v>0</v>
      </c>
      <c r="U612">
        <v>44.710843373493979</v>
      </c>
      <c r="V612">
        <v>209</v>
      </c>
      <c r="W612">
        <v>0</v>
      </c>
      <c r="X612">
        <v>42.251824817518248</v>
      </c>
      <c r="Y612">
        <v>264</v>
      </c>
      <c r="Z612">
        <v>0</v>
      </c>
      <c r="AA612">
        <v>77.646715328467153</v>
      </c>
      <c r="AB612">
        <v>200</v>
      </c>
      <c r="AC612">
        <v>0</v>
      </c>
      <c r="AD612">
        <v>31.115942028985511</v>
      </c>
      <c r="AE612">
        <v>187</v>
      </c>
      <c r="AF612">
        <v>0</v>
      </c>
      <c r="AG612">
        <v>73.336956521739125</v>
      </c>
      <c r="AH612">
        <v>233.3</v>
      </c>
      <c r="AI612">
        <v>0</v>
      </c>
      <c r="AJ612">
        <v>15</v>
      </c>
      <c r="AK612">
        <v>55.6</v>
      </c>
      <c r="AL612">
        <v>292</v>
      </c>
      <c r="AM612">
        <v>104</v>
      </c>
      <c r="AN612">
        <v>396</v>
      </c>
      <c r="AO612">
        <v>5</v>
      </c>
      <c r="AP612">
        <v>153</v>
      </c>
    </row>
    <row r="613" spans="1:42" x14ac:dyDescent="0.3">
      <c r="A613" t="s">
        <v>1474</v>
      </c>
      <c r="B613" t="s">
        <v>115</v>
      </c>
      <c r="C613" t="s">
        <v>16</v>
      </c>
      <c r="D613" t="s">
        <v>35</v>
      </c>
      <c r="E613" t="s">
        <v>990</v>
      </c>
      <c r="F613">
        <v>2012</v>
      </c>
      <c r="G613">
        <v>55.6</v>
      </c>
      <c r="H613">
        <v>2</v>
      </c>
      <c r="I613">
        <v>0</v>
      </c>
      <c r="J613">
        <v>27</v>
      </c>
      <c r="K613">
        <v>15</v>
      </c>
      <c r="L613" t="s">
        <v>1327</v>
      </c>
      <c r="M613">
        <v>26.061224489795919</v>
      </c>
      <c r="N613">
        <v>114</v>
      </c>
      <c r="O613">
        <v>0</v>
      </c>
      <c r="P613">
        <v>27.69230769230769</v>
      </c>
      <c r="Q613">
        <v>65.492307692307691</v>
      </c>
      <c r="R613">
        <v>1.631083202511775</v>
      </c>
      <c r="S613">
        <v>73</v>
      </c>
      <c r="T613">
        <v>1</v>
      </c>
      <c r="U613">
        <v>38.236842105263158</v>
      </c>
      <c r="V613">
        <v>264</v>
      </c>
      <c r="W613">
        <v>0</v>
      </c>
      <c r="X613">
        <v>42.251824817518248</v>
      </c>
      <c r="Y613">
        <v>264</v>
      </c>
      <c r="Z613">
        <v>0</v>
      </c>
      <c r="AA613">
        <v>77.646715328467153</v>
      </c>
      <c r="AB613">
        <v>200</v>
      </c>
      <c r="AC613">
        <v>0</v>
      </c>
      <c r="AD613">
        <v>31.115942028985511</v>
      </c>
      <c r="AE613">
        <v>187</v>
      </c>
      <c r="AF613">
        <v>0</v>
      </c>
      <c r="AG613">
        <v>73.336956521739125</v>
      </c>
      <c r="AH613">
        <v>233.3</v>
      </c>
      <c r="AI613">
        <v>0</v>
      </c>
      <c r="AJ613">
        <v>33</v>
      </c>
      <c r="AK613">
        <v>80.5</v>
      </c>
      <c r="AL613">
        <v>290</v>
      </c>
      <c r="AM613">
        <v>104</v>
      </c>
      <c r="AN613">
        <v>394</v>
      </c>
      <c r="AO613">
        <v>3</v>
      </c>
      <c r="AP613">
        <v>151</v>
      </c>
    </row>
    <row r="614" spans="1:42" x14ac:dyDescent="0.3">
      <c r="A614" t="s">
        <v>1312</v>
      </c>
      <c r="B614" t="s">
        <v>32</v>
      </c>
      <c r="C614" t="s">
        <v>16</v>
      </c>
      <c r="D614" t="s">
        <v>35</v>
      </c>
      <c r="E614" t="s">
        <v>990</v>
      </c>
      <c r="F614">
        <v>2012</v>
      </c>
      <c r="G614">
        <v>80.5</v>
      </c>
      <c r="H614">
        <v>1</v>
      </c>
      <c r="I614">
        <v>1</v>
      </c>
      <c r="J614">
        <v>41</v>
      </c>
      <c r="K614">
        <v>33</v>
      </c>
      <c r="L614" t="s">
        <v>979</v>
      </c>
      <c r="M614">
        <v>26.013698630136989</v>
      </c>
      <c r="N614">
        <v>114</v>
      </c>
      <c r="O614">
        <v>0</v>
      </c>
      <c r="P614">
        <v>27.69230769230769</v>
      </c>
      <c r="Q614">
        <v>65.492307692307691</v>
      </c>
      <c r="R614">
        <v>1.678609062170707</v>
      </c>
      <c r="S614">
        <v>73</v>
      </c>
      <c r="T614">
        <v>1</v>
      </c>
      <c r="U614">
        <v>44.710843373493979</v>
      </c>
      <c r="V614">
        <v>209</v>
      </c>
      <c r="W614">
        <v>0</v>
      </c>
      <c r="X614">
        <v>42.251824817518248</v>
      </c>
      <c r="Y614">
        <v>264</v>
      </c>
      <c r="Z614">
        <v>0</v>
      </c>
      <c r="AA614">
        <v>77.646715328467153</v>
      </c>
      <c r="AB614">
        <v>200</v>
      </c>
      <c r="AC614">
        <v>0</v>
      </c>
      <c r="AD614">
        <v>31.115942028985511</v>
      </c>
      <c r="AE614">
        <v>187</v>
      </c>
      <c r="AF614">
        <v>0</v>
      </c>
      <c r="AG614">
        <v>73.336956521739125</v>
      </c>
      <c r="AH614">
        <v>233.3</v>
      </c>
      <c r="AI614">
        <v>0</v>
      </c>
      <c r="AJ614">
        <v>10</v>
      </c>
      <c r="AK614">
        <v>58.8</v>
      </c>
      <c r="AL614">
        <v>289</v>
      </c>
      <c r="AM614">
        <v>103</v>
      </c>
      <c r="AN614">
        <v>392</v>
      </c>
      <c r="AO614">
        <v>1</v>
      </c>
      <c r="AP614">
        <v>149</v>
      </c>
    </row>
    <row r="615" spans="1:42" x14ac:dyDescent="0.3">
      <c r="A615" t="s">
        <v>1549</v>
      </c>
      <c r="B615" t="s">
        <v>115</v>
      </c>
      <c r="C615" t="s">
        <v>16</v>
      </c>
      <c r="D615" t="s">
        <v>37</v>
      </c>
      <c r="E615" t="s">
        <v>990</v>
      </c>
      <c r="F615">
        <v>2012</v>
      </c>
      <c r="G615">
        <v>58.8</v>
      </c>
      <c r="H615">
        <v>1</v>
      </c>
      <c r="I615">
        <v>0</v>
      </c>
      <c r="J615">
        <v>17</v>
      </c>
      <c r="K615">
        <v>10</v>
      </c>
      <c r="L615" t="s">
        <v>1327</v>
      </c>
      <c r="M615">
        <v>26.124137931034479</v>
      </c>
      <c r="N615">
        <v>114</v>
      </c>
      <c r="O615">
        <v>0</v>
      </c>
      <c r="P615">
        <v>44.666666666666657</v>
      </c>
      <c r="Q615">
        <v>78.399999999999991</v>
      </c>
      <c r="R615">
        <v>18.542528735632182</v>
      </c>
      <c r="S615">
        <v>171</v>
      </c>
      <c r="T615">
        <v>7</v>
      </c>
      <c r="U615">
        <v>38.236842105263158</v>
      </c>
      <c r="V615">
        <v>264</v>
      </c>
      <c r="W615">
        <v>0</v>
      </c>
      <c r="X615">
        <v>42.251824817518248</v>
      </c>
      <c r="Y615">
        <v>264</v>
      </c>
      <c r="Z615">
        <v>0</v>
      </c>
      <c r="AA615">
        <v>77.646715328467153</v>
      </c>
      <c r="AB615">
        <v>200</v>
      </c>
      <c r="AC615">
        <v>0</v>
      </c>
      <c r="AD615">
        <v>31.115942028985511</v>
      </c>
      <c r="AE615">
        <v>187</v>
      </c>
      <c r="AF615">
        <v>0</v>
      </c>
      <c r="AG615">
        <v>73.336956521739125</v>
      </c>
      <c r="AH615">
        <v>233.3</v>
      </c>
      <c r="AI615">
        <v>0</v>
      </c>
      <c r="AJ615">
        <v>21</v>
      </c>
      <c r="AK615">
        <v>100</v>
      </c>
      <c r="AL615">
        <v>288</v>
      </c>
      <c r="AM615">
        <v>103</v>
      </c>
      <c r="AN615">
        <v>391</v>
      </c>
      <c r="AP615">
        <v>148</v>
      </c>
    </row>
    <row r="616" spans="1:42" x14ac:dyDescent="0.3">
      <c r="A616" t="s">
        <v>1409</v>
      </c>
      <c r="B616" t="s">
        <v>32</v>
      </c>
      <c r="C616" t="s">
        <v>16</v>
      </c>
      <c r="D616" t="s">
        <v>84</v>
      </c>
      <c r="E616" t="s">
        <v>990</v>
      </c>
      <c r="F616">
        <v>2012</v>
      </c>
      <c r="G616">
        <v>100</v>
      </c>
      <c r="H616">
        <v>2</v>
      </c>
      <c r="I616">
        <v>0</v>
      </c>
      <c r="J616">
        <v>21</v>
      </c>
      <c r="K616">
        <v>21</v>
      </c>
      <c r="L616" t="s">
        <v>1327</v>
      </c>
      <c r="M616">
        <v>26.159722222222221</v>
      </c>
      <c r="N616">
        <v>114</v>
      </c>
      <c r="O616">
        <v>0</v>
      </c>
      <c r="P616">
        <v>39.769230769230766</v>
      </c>
      <c r="Q616">
        <v>74.015384615384619</v>
      </c>
      <c r="R616">
        <v>13.60950854700855</v>
      </c>
      <c r="S616">
        <v>138</v>
      </c>
      <c r="T616">
        <v>0</v>
      </c>
      <c r="U616">
        <v>44.710843373493979</v>
      </c>
      <c r="V616">
        <v>209</v>
      </c>
      <c r="W616">
        <v>0</v>
      </c>
      <c r="X616">
        <v>42.251824817518248</v>
      </c>
      <c r="Y616">
        <v>264</v>
      </c>
      <c r="Z616">
        <v>0</v>
      </c>
      <c r="AA616">
        <v>77.646715328467153</v>
      </c>
      <c r="AB616">
        <v>200</v>
      </c>
      <c r="AC616">
        <v>0</v>
      </c>
      <c r="AD616">
        <v>31.115942028985511</v>
      </c>
      <c r="AE616">
        <v>187</v>
      </c>
      <c r="AF616">
        <v>0</v>
      </c>
      <c r="AG616">
        <v>73.336956521739125</v>
      </c>
      <c r="AH616">
        <v>233.3</v>
      </c>
      <c r="AI616">
        <v>0</v>
      </c>
      <c r="AJ616">
        <v>0</v>
      </c>
      <c r="AK616">
        <v>0</v>
      </c>
      <c r="AL616">
        <v>286</v>
      </c>
      <c r="AM616">
        <v>103</v>
      </c>
      <c r="AN616">
        <v>389</v>
      </c>
      <c r="AO616">
        <v>3</v>
      </c>
      <c r="AP616">
        <v>146</v>
      </c>
    </row>
    <row r="617" spans="1:42" x14ac:dyDescent="0.3">
      <c r="A617" t="s">
        <v>1760</v>
      </c>
      <c r="B617" t="s">
        <v>32</v>
      </c>
      <c r="C617" t="s">
        <v>5</v>
      </c>
      <c r="D617" t="s">
        <v>826</v>
      </c>
      <c r="E617" t="s">
        <v>990</v>
      </c>
      <c r="F617">
        <v>2012</v>
      </c>
      <c r="G617">
        <v>0</v>
      </c>
      <c r="H617">
        <v>0</v>
      </c>
      <c r="I617">
        <v>0</v>
      </c>
      <c r="J617">
        <v>1</v>
      </c>
      <c r="K617">
        <v>0</v>
      </c>
      <c r="L617" t="s">
        <v>1327</v>
      </c>
      <c r="M617">
        <v>26.34265734265734</v>
      </c>
      <c r="N617">
        <v>114</v>
      </c>
      <c r="O617">
        <v>0</v>
      </c>
      <c r="P617">
        <v>0</v>
      </c>
      <c r="Q617">
        <v>0</v>
      </c>
      <c r="R617">
        <v>-26.34265734265734</v>
      </c>
      <c r="S617">
        <v>0</v>
      </c>
      <c r="T617">
        <v>0</v>
      </c>
      <c r="U617">
        <v>44.710843373493979</v>
      </c>
      <c r="V617">
        <v>209</v>
      </c>
      <c r="W617">
        <v>0</v>
      </c>
      <c r="X617">
        <v>28.189024390243901</v>
      </c>
      <c r="Y617">
        <v>121</v>
      </c>
      <c r="Z617">
        <v>0</v>
      </c>
      <c r="AA617">
        <v>116.45060975609761</v>
      </c>
      <c r="AB617">
        <v>274.39999999999998</v>
      </c>
      <c r="AC617">
        <v>0</v>
      </c>
      <c r="AD617">
        <v>31.115942028985511</v>
      </c>
      <c r="AE617">
        <v>187</v>
      </c>
      <c r="AF617">
        <v>0</v>
      </c>
      <c r="AG617">
        <v>73.336956521739125</v>
      </c>
      <c r="AH617">
        <v>233.3</v>
      </c>
      <c r="AI617">
        <v>0</v>
      </c>
      <c r="AL617">
        <v>286</v>
      </c>
      <c r="AM617">
        <v>103</v>
      </c>
      <c r="AN617">
        <v>389</v>
      </c>
      <c r="AP617">
        <v>62</v>
      </c>
    </row>
    <row r="618" spans="1:42" x14ac:dyDescent="0.3">
      <c r="A618" t="s">
        <v>1410</v>
      </c>
      <c r="B618" t="s">
        <v>208</v>
      </c>
      <c r="C618" t="s">
        <v>16</v>
      </c>
      <c r="D618" t="s">
        <v>64</v>
      </c>
      <c r="E618" t="s">
        <v>987</v>
      </c>
      <c r="F618">
        <v>2011</v>
      </c>
      <c r="G618">
        <v>80.8</v>
      </c>
      <c r="H618">
        <v>1</v>
      </c>
      <c r="I618">
        <v>0</v>
      </c>
      <c r="J618">
        <v>26</v>
      </c>
      <c r="K618">
        <v>21</v>
      </c>
      <c r="L618" t="s">
        <v>1327</v>
      </c>
      <c r="M618">
        <v>26.380281690140841</v>
      </c>
      <c r="N618">
        <v>114</v>
      </c>
      <c r="O618">
        <v>0</v>
      </c>
      <c r="P618">
        <v>26</v>
      </c>
      <c r="Q618">
        <v>94.26964285714287</v>
      </c>
      <c r="R618">
        <v>-0.38028169014084412</v>
      </c>
      <c r="S618">
        <v>187</v>
      </c>
      <c r="T618">
        <v>0</v>
      </c>
      <c r="U618">
        <v>47.081967213114751</v>
      </c>
      <c r="V618">
        <v>177</v>
      </c>
      <c r="W618">
        <v>0</v>
      </c>
      <c r="X618">
        <v>42.251824817518248</v>
      </c>
      <c r="Y618">
        <v>264</v>
      </c>
      <c r="Z618">
        <v>0</v>
      </c>
      <c r="AA618">
        <v>77.646715328467153</v>
      </c>
      <c r="AB618">
        <v>200</v>
      </c>
      <c r="AC618">
        <v>0</v>
      </c>
      <c r="AD618">
        <v>40.825000000000003</v>
      </c>
      <c r="AE618">
        <v>208</v>
      </c>
      <c r="AF618">
        <v>1</v>
      </c>
      <c r="AG618">
        <v>90.646250000000009</v>
      </c>
      <c r="AH618">
        <v>274.39999999999998</v>
      </c>
      <c r="AI618">
        <v>15.4</v>
      </c>
      <c r="AJ618">
        <v>27</v>
      </c>
      <c r="AK618">
        <v>168.8</v>
      </c>
      <c r="AL618">
        <v>285</v>
      </c>
      <c r="AM618">
        <v>103</v>
      </c>
      <c r="AN618">
        <v>388</v>
      </c>
      <c r="AO618">
        <v>7</v>
      </c>
      <c r="AP618">
        <v>145</v>
      </c>
    </row>
    <row r="619" spans="1:42" x14ac:dyDescent="0.3">
      <c r="A619" t="s">
        <v>1358</v>
      </c>
      <c r="B619" t="s">
        <v>208</v>
      </c>
      <c r="C619" t="s">
        <v>16</v>
      </c>
      <c r="D619" t="s">
        <v>17</v>
      </c>
      <c r="E619" t="s">
        <v>987</v>
      </c>
      <c r="F619">
        <v>2011</v>
      </c>
      <c r="G619">
        <v>168.8</v>
      </c>
      <c r="H619">
        <v>3</v>
      </c>
      <c r="I619">
        <v>0</v>
      </c>
      <c r="J619">
        <v>16</v>
      </c>
      <c r="K619">
        <v>27</v>
      </c>
      <c r="L619" t="s">
        <v>1327</v>
      </c>
      <c r="M619">
        <v>26.3758865248227</v>
      </c>
      <c r="N619">
        <v>114</v>
      </c>
      <c r="O619">
        <v>0</v>
      </c>
      <c r="P619">
        <v>33.769230769230766</v>
      </c>
      <c r="Q619">
        <v>87.853846153846149</v>
      </c>
      <c r="R619">
        <v>7.3933442444080697</v>
      </c>
      <c r="S619">
        <v>118</v>
      </c>
      <c r="T619">
        <v>0</v>
      </c>
      <c r="U619">
        <v>47.081967213114751</v>
      </c>
      <c r="V619">
        <v>177</v>
      </c>
      <c r="W619">
        <v>0</v>
      </c>
      <c r="X619">
        <v>42.251824817518248</v>
      </c>
      <c r="Y619">
        <v>264</v>
      </c>
      <c r="Z619">
        <v>0</v>
      </c>
      <c r="AA619">
        <v>77.646715328467153</v>
      </c>
      <c r="AB619">
        <v>200</v>
      </c>
      <c r="AC619">
        <v>0</v>
      </c>
      <c r="AD619">
        <v>40.825000000000003</v>
      </c>
      <c r="AE619">
        <v>208</v>
      </c>
      <c r="AF619">
        <v>1</v>
      </c>
      <c r="AG619">
        <v>90.646250000000009</v>
      </c>
      <c r="AH619">
        <v>274.39999999999998</v>
      </c>
      <c r="AI619">
        <v>15.4</v>
      </c>
      <c r="AJ619">
        <v>95</v>
      </c>
      <c r="AK619">
        <v>95</v>
      </c>
      <c r="AL619">
        <v>282</v>
      </c>
      <c r="AM619">
        <v>103</v>
      </c>
      <c r="AN619">
        <v>385</v>
      </c>
      <c r="AO619">
        <v>0</v>
      </c>
      <c r="AP619">
        <v>142</v>
      </c>
    </row>
    <row r="620" spans="1:42" x14ac:dyDescent="0.3">
      <c r="A620" t="s">
        <v>1064</v>
      </c>
      <c r="B620" t="s">
        <v>208</v>
      </c>
      <c r="C620" t="s">
        <v>16</v>
      </c>
      <c r="D620" t="s">
        <v>41</v>
      </c>
      <c r="E620" t="s">
        <v>987</v>
      </c>
      <c r="F620">
        <v>2011</v>
      </c>
      <c r="G620">
        <v>95</v>
      </c>
      <c r="H620">
        <v>10</v>
      </c>
      <c r="I620">
        <v>1</v>
      </c>
      <c r="J620">
        <v>100</v>
      </c>
      <c r="K620">
        <v>95</v>
      </c>
      <c r="L620" t="s">
        <v>979</v>
      </c>
      <c r="M620">
        <v>25.88571428571429</v>
      </c>
      <c r="N620">
        <v>114</v>
      </c>
      <c r="O620">
        <v>0</v>
      </c>
      <c r="P620">
        <v>34.043478260869563</v>
      </c>
      <c r="Q620">
        <v>108.0891304347826</v>
      </c>
      <c r="R620">
        <v>8.1577639751552766</v>
      </c>
      <c r="S620">
        <v>95</v>
      </c>
      <c r="T620">
        <v>0</v>
      </c>
      <c r="U620">
        <v>47.081967213114751</v>
      </c>
      <c r="V620">
        <v>177</v>
      </c>
      <c r="W620">
        <v>0</v>
      </c>
      <c r="X620">
        <v>42.251824817518248</v>
      </c>
      <c r="Y620">
        <v>264</v>
      </c>
      <c r="Z620">
        <v>0</v>
      </c>
      <c r="AA620">
        <v>77.646715328467153</v>
      </c>
      <c r="AB620">
        <v>200</v>
      </c>
      <c r="AC620">
        <v>0</v>
      </c>
      <c r="AD620">
        <v>40.825000000000003</v>
      </c>
      <c r="AE620">
        <v>208</v>
      </c>
      <c r="AF620">
        <v>1</v>
      </c>
      <c r="AG620">
        <v>90.646250000000009</v>
      </c>
      <c r="AH620">
        <v>274.39999999999998</v>
      </c>
      <c r="AI620">
        <v>15.4</v>
      </c>
      <c r="AJ620">
        <v>90</v>
      </c>
      <c r="AK620">
        <v>91.8</v>
      </c>
      <c r="AL620">
        <v>272</v>
      </c>
      <c r="AM620">
        <v>102</v>
      </c>
      <c r="AN620">
        <v>374</v>
      </c>
      <c r="AO620">
        <v>8</v>
      </c>
      <c r="AP620">
        <v>131</v>
      </c>
    </row>
    <row r="621" spans="1:42" x14ac:dyDescent="0.3">
      <c r="A621" t="s">
        <v>1072</v>
      </c>
      <c r="B621" t="s">
        <v>208</v>
      </c>
      <c r="C621" t="s">
        <v>16</v>
      </c>
      <c r="D621" t="s">
        <v>25</v>
      </c>
      <c r="E621" t="s">
        <v>987</v>
      </c>
      <c r="F621">
        <v>2011</v>
      </c>
      <c r="G621">
        <v>91.8</v>
      </c>
      <c r="H621">
        <v>7</v>
      </c>
      <c r="I621">
        <v>2</v>
      </c>
      <c r="J621">
        <v>98</v>
      </c>
      <c r="K621">
        <v>90</v>
      </c>
      <c r="L621" t="s">
        <v>979</v>
      </c>
      <c r="M621">
        <v>25.42446043165468</v>
      </c>
      <c r="N621">
        <v>114</v>
      </c>
      <c r="O621">
        <v>0</v>
      </c>
      <c r="P621">
        <v>56.375</v>
      </c>
      <c r="Q621">
        <v>92.453125</v>
      </c>
      <c r="R621">
        <v>30.95053956834532</v>
      </c>
      <c r="S621">
        <v>303</v>
      </c>
      <c r="T621">
        <v>4</v>
      </c>
      <c r="U621">
        <v>47.081967213114751</v>
      </c>
      <c r="V621">
        <v>177</v>
      </c>
      <c r="W621">
        <v>0</v>
      </c>
      <c r="X621">
        <v>42.251824817518248</v>
      </c>
      <c r="Y621">
        <v>264</v>
      </c>
      <c r="Z621">
        <v>0</v>
      </c>
      <c r="AA621">
        <v>77.646715328467153</v>
      </c>
      <c r="AB621">
        <v>200</v>
      </c>
      <c r="AC621">
        <v>0</v>
      </c>
      <c r="AD621">
        <v>40.825000000000003</v>
      </c>
      <c r="AE621">
        <v>208</v>
      </c>
      <c r="AF621">
        <v>1</v>
      </c>
      <c r="AG621">
        <v>90.646250000000009</v>
      </c>
      <c r="AH621">
        <v>274.39999999999998</v>
      </c>
      <c r="AI621">
        <v>15.4</v>
      </c>
      <c r="AJ621">
        <v>72</v>
      </c>
      <c r="AK621">
        <v>72.7</v>
      </c>
      <c r="AL621">
        <v>265</v>
      </c>
      <c r="AM621">
        <v>100</v>
      </c>
      <c r="AN621">
        <v>365</v>
      </c>
      <c r="AP621">
        <v>122</v>
      </c>
    </row>
    <row r="622" spans="1:42" x14ac:dyDescent="0.3">
      <c r="A622" t="s">
        <v>1117</v>
      </c>
      <c r="B622" t="s">
        <v>208</v>
      </c>
      <c r="C622" t="s">
        <v>16</v>
      </c>
      <c r="D622" t="s">
        <v>78</v>
      </c>
      <c r="E622" t="s">
        <v>981</v>
      </c>
      <c r="F622">
        <v>2011</v>
      </c>
      <c r="G622">
        <v>72.7</v>
      </c>
      <c r="H622">
        <v>3</v>
      </c>
      <c r="I622">
        <v>1</v>
      </c>
      <c r="J622">
        <v>99</v>
      </c>
      <c r="K622">
        <v>72</v>
      </c>
      <c r="L622" t="s">
        <v>979</v>
      </c>
      <c r="M622">
        <v>25.086956521739129</v>
      </c>
      <c r="N622">
        <v>114</v>
      </c>
      <c r="O622">
        <v>0</v>
      </c>
      <c r="P622">
        <v>44.222222222222221</v>
      </c>
      <c r="Q622">
        <v>102.3</v>
      </c>
      <c r="R622">
        <v>19.135265700483089</v>
      </c>
      <c r="S622">
        <v>119</v>
      </c>
      <c r="T622">
        <v>1</v>
      </c>
      <c r="U622">
        <v>47.081967213114751</v>
      </c>
      <c r="V622">
        <v>177</v>
      </c>
      <c r="W622">
        <v>0</v>
      </c>
      <c r="X622">
        <v>42.251824817518248</v>
      </c>
      <c r="Y622">
        <v>264</v>
      </c>
      <c r="Z622">
        <v>0</v>
      </c>
      <c r="AA622">
        <v>77.646715328467153</v>
      </c>
      <c r="AB622">
        <v>200</v>
      </c>
      <c r="AC622">
        <v>0</v>
      </c>
      <c r="AD622">
        <v>47.122448979591837</v>
      </c>
      <c r="AE622">
        <v>264</v>
      </c>
      <c r="AF622">
        <v>0</v>
      </c>
      <c r="AG622">
        <v>105.5040816326531</v>
      </c>
      <c r="AH622">
        <v>200</v>
      </c>
      <c r="AI622">
        <v>0</v>
      </c>
      <c r="AL622">
        <v>262</v>
      </c>
      <c r="AM622">
        <v>99</v>
      </c>
      <c r="AN622">
        <v>361</v>
      </c>
      <c r="AO622">
        <v>7</v>
      </c>
      <c r="AP622">
        <v>118</v>
      </c>
    </row>
    <row r="623" spans="1:42" x14ac:dyDescent="0.3">
      <c r="A623" t="s">
        <v>1761</v>
      </c>
      <c r="B623" t="s">
        <v>76</v>
      </c>
      <c r="C623" t="s">
        <v>16</v>
      </c>
      <c r="D623" t="s">
        <v>835</v>
      </c>
      <c r="E623" t="s">
        <v>1009</v>
      </c>
      <c r="F623">
        <v>2011</v>
      </c>
      <c r="G623">
        <v>0</v>
      </c>
      <c r="H623">
        <v>0</v>
      </c>
      <c r="I623">
        <v>0</v>
      </c>
      <c r="J623">
        <v>1</v>
      </c>
      <c r="K623">
        <v>0</v>
      </c>
      <c r="L623" t="s">
        <v>1327</v>
      </c>
      <c r="M623">
        <v>25.270072992700729</v>
      </c>
      <c r="N623">
        <v>114</v>
      </c>
      <c r="O623">
        <v>0</v>
      </c>
      <c r="P623">
        <v>0</v>
      </c>
      <c r="Q623">
        <v>0</v>
      </c>
      <c r="R623">
        <v>-25.270072992700729</v>
      </c>
      <c r="S623">
        <v>0</v>
      </c>
      <c r="T623">
        <v>0</v>
      </c>
      <c r="U623">
        <v>48.215686274509807</v>
      </c>
      <c r="V623">
        <v>187</v>
      </c>
      <c r="W623">
        <v>0</v>
      </c>
      <c r="X623">
        <v>42.251824817518248</v>
      </c>
      <c r="Y623">
        <v>264</v>
      </c>
      <c r="Z623">
        <v>0</v>
      </c>
      <c r="AA623">
        <v>77.646715328467153</v>
      </c>
      <c r="AB623">
        <v>200</v>
      </c>
      <c r="AC623">
        <v>0</v>
      </c>
      <c r="AD623">
        <v>38.25</v>
      </c>
      <c r="AE623">
        <v>138</v>
      </c>
      <c r="AF623">
        <v>0</v>
      </c>
      <c r="AG623">
        <v>106.2954545454546</v>
      </c>
      <c r="AH623">
        <v>230</v>
      </c>
      <c r="AI623">
        <v>0</v>
      </c>
      <c r="AJ623">
        <v>1</v>
      </c>
      <c r="AK623">
        <v>33.299999999999997</v>
      </c>
      <c r="AL623">
        <v>262</v>
      </c>
      <c r="AM623">
        <v>99</v>
      </c>
      <c r="AN623">
        <v>361</v>
      </c>
      <c r="AP623">
        <v>118</v>
      </c>
    </row>
    <row r="624" spans="1:42" x14ac:dyDescent="0.3">
      <c r="A624" t="s">
        <v>1717</v>
      </c>
      <c r="B624" t="s">
        <v>76</v>
      </c>
      <c r="C624" t="s">
        <v>5</v>
      </c>
      <c r="D624" t="s">
        <v>287</v>
      </c>
      <c r="E624" t="s">
        <v>1021</v>
      </c>
      <c r="F624">
        <v>2011</v>
      </c>
      <c r="G624">
        <v>33.299999999999997</v>
      </c>
      <c r="H624">
        <v>0</v>
      </c>
      <c r="I624">
        <v>0</v>
      </c>
      <c r="J624">
        <v>3</v>
      </c>
      <c r="K624">
        <v>1</v>
      </c>
      <c r="L624" t="s">
        <v>1327</v>
      </c>
      <c r="M624">
        <v>25.44852941176471</v>
      </c>
      <c r="N624">
        <v>114</v>
      </c>
      <c r="O624">
        <v>0</v>
      </c>
      <c r="P624">
        <v>34.833333333333343</v>
      </c>
      <c r="Q624">
        <v>77.86666666666666</v>
      </c>
      <c r="R624">
        <v>9.3848039215686292</v>
      </c>
      <c r="S624">
        <v>140</v>
      </c>
      <c r="T624">
        <v>1</v>
      </c>
      <c r="U624">
        <v>48.215686274509807</v>
      </c>
      <c r="V624">
        <v>187</v>
      </c>
      <c r="W624">
        <v>0</v>
      </c>
      <c r="X624">
        <v>28.189024390243901</v>
      </c>
      <c r="Y624">
        <v>121</v>
      </c>
      <c r="Z624">
        <v>0</v>
      </c>
      <c r="AA624">
        <v>116.45060975609761</v>
      </c>
      <c r="AB624">
        <v>274.39999999999998</v>
      </c>
      <c r="AC624">
        <v>0</v>
      </c>
      <c r="AD624">
        <v>37</v>
      </c>
      <c r="AE624">
        <v>124</v>
      </c>
      <c r="AF624">
        <v>0</v>
      </c>
      <c r="AG624">
        <v>84.736842105263165</v>
      </c>
      <c r="AH624">
        <v>221.4</v>
      </c>
      <c r="AI624">
        <v>0</v>
      </c>
      <c r="AL624">
        <v>262</v>
      </c>
      <c r="AM624">
        <v>99</v>
      </c>
      <c r="AN624">
        <v>361</v>
      </c>
      <c r="AP624">
        <v>62</v>
      </c>
    </row>
    <row r="625" spans="1:42" x14ac:dyDescent="0.3">
      <c r="A625" t="s">
        <v>1180</v>
      </c>
      <c r="B625" t="s">
        <v>208</v>
      </c>
      <c r="C625" t="s">
        <v>16</v>
      </c>
      <c r="D625" t="s">
        <v>770</v>
      </c>
      <c r="E625" t="s">
        <v>1007</v>
      </c>
      <c r="F625">
        <v>2011</v>
      </c>
      <c r="G625">
        <v>79.2</v>
      </c>
      <c r="H625">
        <v>2</v>
      </c>
      <c r="I625">
        <v>1</v>
      </c>
      <c r="J625">
        <v>72</v>
      </c>
      <c r="K625">
        <v>57</v>
      </c>
      <c r="L625" t="s">
        <v>979</v>
      </c>
      <c r="M625">
        <v>25.214814814814819</v>
      </c>
      <c r="N625">
        <v>114</v>
      </c>
      <c r="O625">
        <v>0</v>
      </c>
      <c r="P625">
        <v>25.2</v>
      </c>
      <c r="Q625">
        <v>43.68</v>
      </c>
      <c r="R625">
        <v>-1.481481481481595E-2</v>
      </c>
      <c r="S625">
        <v>60</v>
      </c>
      <c r="T625">
        <v>0</v>
      </c>
      <c r="U625">
        <v>47.081967213114751</v>
      </c>
      <c r="V625">
        <v>177</v>
      </c>
      <c r="W625">
        <v>0</v>
      </c>
      <c r="X625">
        <v>42.251824817518248</v>
      </c>
      <c r="Y625">
        <v>264</v>
      </c>
      <c r="Z625">
        <v>0</v>
      </c>
      <c r="AA625">
        <v>77.646715328467153</v>
      </c>
      <c r="AB625">
        <v>200</v>
      </c>
      <c r="AC625">
        <v>0</v>
      </c>
      <c r="AD625">
        <v>37.180327868852459</v>
      </c>
      <c r="AE625">
        <v>140</v>
      </c>
      <c r="AF625">
        <v>0</v>
      </c>
      <c r="AG625">
        <v>82.911475409836058</v>
      </c>
      <c r="AH625">
        <v>224.4</v>
      </c>
      <c r="AI625">
        <v>0</v>
      </c>
      <c r="AJ625">
        <v>125</v>
      </c>
      <c r="AK625">
        <v>88.75</v>
      </c>
      <c r="AL625">
        <v>260</v>
      </c>
      <c r="AM625">
        <v>98</v>
      </c>
      <c r="AN625">
        <v>358</v>
      </c>
      <c r="AO625">
        <v>0</v>
      </c>
      <c r="AP625">
        <v>115</v>
      </c>
    </row>
    <row r="626" spans="1:42" x14ac:dyDescent="0.3">
      <c r="A626" t="s">
        <v>1281</v>
      </c>
      <c r="B626" t="s">
        <v>208</v>
      </c>
      <c r="C626" t="s">
        <v>16</v>
      </c>
      <c r="D626" t="s">
        <v>128</v>
      </c>
      <c r="E626" t="s">
        <v>1007</v>
      </c>
      <c r="F626">
        <v>2011</v>
      </c>
      <c r="G626">
        <v>83</v>
      </c>
      <c r="H626">
        <v>0</v>
      </c>
      <c r="I626">
        <v>1</v>
      </c>
      <c r="J626">
        <v>47</v>
      </c>
      <c r="K626">
        <v>39</v>
      </c>
      <c r="L626" t="s">
        <v>979</v>
      </c>
      <c r="M626">
        <v>25.111940298507459</v>
      </c>
      <c r="N626">
        <v>114</v>
      </c>
      <c r="O626">
        <v>0</v>
      </c>
      <c r="P626">
        <v>49.333333333333343</v>
      </c>
      <c r="Q626">
        <v>128.8666666666667</v>
      </c>
      <c r="R626">
        <v>24.221393034825869</v>
      </c>
      <c r="S626">
        <v>86</v>
      </c>
      <c r="T626">
        <v>23</v>
      </c>
      <c r="U626">
        <v>47.081967213114751</v>
      </c>
      <c r="V626">
        <v>177</v>
      </c>
      <c r="W626">
        <v>0</v>
      </c>
      <c r="X626">
        <v>42.251824817518248</v>
      </c>
      <c r="Y626">
        <v>264</v>
      </c>
      <c r="Z626">
        <v>0</v>
      </c>
      <c r="AA626">
        <v>77.646715328467153</v>
      </c>
      <c r="AB626">
        <v>200</v>
      </c>
      <c r="AC626">
        <v>0</v>
      </c>
      <c r="AD626">
        <v>37.180327868852459</v>
      </c>
      <c r="AE626">
        <v>140</v>
      </c>
      <c r="AF626">
        <v>0</v>
      </c>
      <c r="AG626">
        <v>82.911475409836058</v>
      </c>
      <c r="AH626">
        <v>224.4</v>
      </c>
      <c r="AI626">
        <v>0</v>
      </c>
      <c r="AJ626">
        <v>93</v>
      </c>
      <c r="AK626">
        <v>72.25</v>
      </c>
      <c r="AL626">
        <v>260</v>
      </c>
      <c r="AM626">
        <v>97</v>
      </c>
      <c r="AN626">
        <v>357</v>
      </c>
      <c r="AO626">
        <v>7</v>
      </c>
      <c r="AP626">
        <v>114</v>
      </c>
    </row>
    <row r="627" spans="1:42" x14ac:dyDescent="0.3">
      <c r="A627" t="s">
        <v>1078</v>
      </c>
      <c r="B627" t="s">
        <v>208</v>
      </c>
      <c r="C627" t="s">
        <v>16</v>
      </c>
      <c r="D627" t="s">
        <v>128</v>
      </c>
      <c r="E627" t="s">
        <v>1007</v>
      </c>
      <c r="F627">
        <v>2011</v>
      </c>
      <c r="G627">
        <v>94.5</v>
      </c>
      <c r="H627">
        <v>5</v>
      </c>
      <c r="I627">
        <v>2</v>
      </c>
      <c r="J627">
        <v>91</v>
      </c>
      <c r="K627">
        <v>86</v>
      </c>
      <c r="L627" t="s">
        <v>979</v>
      </c>
      <c r="M627">
        <v>24.65413533834586</v>
      </c>
      <c r="N627">
        <v>114</v>
      </c>
      <c r="O627">
        <v>0</v>
      </c>
      <c r="P627">
        <v>49.333333333333343</v>
      </c>
      <c r="Q627">
        <v>128.8666666666667</v>
      </c>
      <c r="R627">
        <v>24.679197994987469</v>
      </c>
      <c r="S627">
        <v>86</v>
      </c>
      <c r="T627">
        <v>23</v>
      </c>
      <c r="U627">
        <v>47.081967213114751</v>
      </c>
      <c r="V627">
        <v>177</v>
      </c>
      <c r="W627">
        <v>0</v>
      </c>
      <c r="X627">
        <v>42.251824817518248</v>
      </c>
      <c r="Y627">
        <v>264</v>
      </c>
      <c r="Z627">
        <v>0</v>
      </c>
      <c r="AA627">
        <v>77.646715328467153</v>
      </c>
      <c r="AB627">
        <v>200</v>
      </c>
      <c r="AC627">
        <v>0</v>
      </c>
      <c r="AD627">
        <v>37.180327868852459</v>
      </c>
      <c r="AE627">
        <v>140</v>
      </c>
      <c r="AF627">
        <v>0</v>
      </c>
      <c r="AG627">
        <v>82.911475409836058</v>
      </c>
      <c r="AH627">
        <v>224.4</v>
      </c>
      <c r="AI627">
        <v>0</v>
      </c>
      <c r="AJ627">
        <v>75</v>
      </c>
      <c r="AK627">
        <v>70.349999999999994</v>
      </c>
      <c r="AL627">
        <v>255</v>
      </c>
      <c r="AM627">
        <v>95</v>
      </c>
      <c r="AN627">
        <v>350</v>
      </c>
      <c r="AP627">
        <v>107</v>
      </c>
    </row>
    <row r="628" spans="1:42" x14ac:dyDescent="0.3">
      <c r="A628" t="s">
        <v>1603</v>
      </c>
      <c r="B628" t="s">
        <v>208</v>
      </c>
      <c r="C628" t="s">
        <v>16</v>
      </c>
      <c r="D628" t="s">
        <v>210</v>
      </c>
      <c r="E628" t="s">
        <v>1007</v>
      </c>
      <c r="F628">
        <v>2011</v>
      </c>
      <c r="G628">
        <v>50</v>
      </c>
      <c r="H628">
        <v>1</v>
      </c>
      <c r="I628">
        <v>0</v>
      </c>
      <c r="J628">
        <v>14</v>
      </c>
      <c r="K628">
        <v>7</v>
      </c>
      <c r="L628" t="s">
        <v>1327</v>
      </c>
      <c r="M628">
        <v>24.787878787878789</v>
      </c>
      <c r="N628">
        <v>114</v>
      </c>
      <c r="O628">
        <v>0</v>
      </c>
      <c r="P628">
        <v>46.444444444444443</v>
      </c>
      <c r="Q628">
        <v>83.111111111111114</v>
      </c>
      <c r="R628">
        <v>21.65656565656565</v>
      </c>
      <c r="S628">
        <v>137</v>
      </c>
      <c r="T628">
        <v>7</v>
      </c>
      <c r="U628">
        <v>47.081967213114751</v>
      </c>
      <c r="V628">
        <v>177</v>
      </c>
      <c r="W628">
        <v>0</v>
      </c>
      <c r="X628">
        <v>42.251824817518248</v>
      </c>
      <c r="Y628">
        <v>264</v>
      </c>
      <c r="Z628">
        <v>0</v>
      </c>
      <c r="AA628">
        <v>77.646715328467153</v>
      </c>
      <c r="AB628">
        <v>200</v>
      </c>
      <c r="AC628">
        <v>0</v>
      </c>
      <c r="AD628">
        <v>37.180327868852459</v>
      </c>
      <c r="AE628">
        <v>140</v>
      </c>
      <c r="AF628">
        <v>0</v>
      </c>
      <c r="AG628">
        <v>82.911475409836058</v>
      </c>
      <c r="AH628">
        <v>224.4</v>
      </c>
      <c r="AI628">
        <v>0</v>
      </c>
      <c r="AJ628">
        <v>94</v>
      </c>
      <c r="AK628">
        <v>101.85</v>
      </c>
      <c r="AL628">
        <v>254</v>
      </c>
      <c r="AM628">
        <v>95</v>
      </c>
      <c r="AN628">
        <v>349</v>
      </c>
      <c r="AO628">
        <v>6</v>
      </c>
      <c r="AP628">
        <v>106</v>
      </c>
    </row>
    <row r="629" spans="1:42" x14ac:dyDescent="0.3">
      <c r="A629" t="s">
        <v>1130</v>
      </c>
      <c r="B629" t="s">
        <v>208</v>
      </c>
      <c r="C629" t="s">
        <v>16</v>
      </c>
      <c r="D629" t="s">
        <v>210</v>
      </c>
      <c r="E629" t="s">
        <v>1007</v>
      </c>
      <c r="F629">
        <v>2011</v>
      </c>
      <c r="G629">
        <v>90.7</v>
      </c>
      <c r="H629">
        <v>3</v>
      </c>
      <c r="I629">
        <v>1</v>
      </c>
      <c r="J629">
        <v>75</v>
      </c>
      <c r="K629">
        <v>68</v>
      </c>
      <c r="L629" t="s">
        <v>979</v>
      </c>
      <c r="M629">
        <v>24.458015267175568</v>
      </c>
      <c r="N629">
        <v>114</v>
      </c>
      <c r="O629">
        <v>0</v>
      </c>
      <c r="P629">
        <v>46.444444444444443</v>
      </c>
      <c r="Q629">
        <v>83.111111111111114</v>
      </c>
      <c r="R629">
        <v>21.986429177268871</v>
      </c>
      <c r="S629">
        <v>137</v>
      </c>
      <c r="T629">
        <v>7</v>
      </c>
      <c r="U629">
        <v>47.081967213114751</v>
      </c>
      <c r="V629">
        <v>177</v>
      </c>
      <c r="W629">
        <v>0</v>
      </c>
      <c r="X629">
        <v>42.251824817518248</v>
      </c>
      <c r="Y629">
        <v>264</v>
      </c>
      <c r="Z629">
        <v>0</v>
      </c>
      <c r="AA629">
        <v>77.646715328467153</v>
      </c>
      <c r="AB629">
        <v>200</v>
      </c>
      <c r="AC629">
        <v>0</v>
      </c>
      <c r="AD629">
        <v>37.180327868852459</v>
      </c>
      <c r="AE629">
        <v>140</v>
      </c>
      <c r="AF629">
        <v>0</v>
      </c>
      <c r="AG629">
        <v>82.911475409836058</v>
      </c>
      <c r="AH629">
        <v>224.4</v>
      </c>
      <c r="AI629">
        <v>0</v>
      </c>
      <c r="AJ629">
        <v>26</v>
      </c>
      <c r="AK629">
        <v>113</v>
      </c>
      <c r="AL629">
        <v>251</v>
      </c>
      <c r="AM629">
        <v>94</v>
      </c>
      <c r="AN629">
        <v>345</v>
      </c>
      <c r="AO629">
        <v>2</v>
      </c>
      <c r="AP629">
        <v>102</v>
      </c>
    </row>
    <row r="630" spans="1:42" x14ac:dyDescent="0.3">
      <c r="A630" t="s">
        <v>1366</v>
      </c>
      <c r="B630" t="s">
        <v>208</v>
      </c>
      <c r="C630" t="s">
        <v>5</v>
      </c>
      <c r="D630" t="s">
        <v>210</v>
      </c>
      <c r="E630" t="s">
        <v>1007</v>
      </c>
      <c r="F630">
        <v>2011</v>
      </c>
      <c r="G630">
        <v>113</v>
      </c>
      <c r="H630">
        <v>0</v>
      </c>
      <c r="I630">
        <v>2</v>
      </c>
      <c r="J630">
        <v>23</v>
      </c>
      <c r="K630">
        <v>26</v>
      </c>
      <c r="L630" t="s">
        <v>1327</v>
      </c>
      <c r="M630">
        <v>24.446153846153841</v>
      </c>
      <c r="N630">
        <v>114</v>
      </c>
      <c r="O630">
        <v>0</v>
      </c>
      <c r="P630">
        <v>46.444444444444443</v>
      </c>
      <c r="Q630">
        <v>83.111111111111114</v>
      </c>
      <c r="R630">
        <v>21.998290598290598</v>
      </c>
      <c r="S630">
        <v>137</v>
      </c>
      <c r="T630">
        <v>7</v>
      </c>
      <c r="U630">
        <v>47.081967213114751</v>
      </c>
      <c r="V630">
        <v>177</v>
      </c>
      <c r="W630">
        <v>0</v>
      </c>
      <c r="X630">
        <v>28.189024390243901</v>
      </c>
      <c r="Y630">
        <v>121</v>
      </c>
      <c r="Z630">
        <v>0</v>
      </c>
      <c r="AA630">
        <v>116.45060975609761</v>
      </c>
      <c r="AB630">
        <v>274.39999999999998</v>
      </c>
      <c r="AC630">
        <v>0</v>
      </c>
      <c r="AD630">
        <v>37.180327868852459</v>
      </c>
      <c r="AE630">
        <v>140</v>
      </c>
      <c r="AF630">
        <v>0</v>
      </c>
      <c r="AG630">
        <v>82.911475409836058</v>
      </c>
      <c r="AH630">
        <v>224.4</v>
      </c>
      <c r="AI630">
        <v>0</v>
      </c>
      <c r="AL630">
        <v>251</v>
      </c>
      <c r="AM630">
        <v>92</v>
      </c>
      <c r="AN630">
        <v>343</v>
      </c>
      <c r="AP630">
        <v>60</v>
      </c>
    </row>
    <row r="631" spans="1:42" x14ac:dyDescent="0.3">
      <c r="A631" t="s">
        <v>1497</v>
      </c>
      <c r="B631" t="s">
        <v>60</v>
      </c>
      <c r="C631" t="s">
        <v>1043</v>
      </c>
      <c r="D631" t="s">
        <v>64</v>
      </c>
      <c r="E631" t="s">
        <v>1036</v>
      </c>
      <c r="F631">
        <v>2011</v>
      </c>
      <c r="G631">
        <v>86.7</v>
      </c>
      <c r="H631">
        <v>1</v>
      </c>
      <c r="I631">
        <v>0</v>
      </c>
      <c r="J631">
        <v>15</v>
      </c>
      <c r="K631">
        <v>13</v>
      </c>
      <c r="L631" t="s">
        <v>1327</v>
      </c>
      <c r="M631">
        <v>24.534883720930232</v>
      </c>
      <c r="N631">
        <v>114</v>
      </c>
      <c r="O631">
        <v>0</v>
      </c>
      <c r="P631">
        <v>26</v>
      </c>
      <c r="Q631">
        <v>94.26964285714287</v>
      </c>
      <c r="R631">
        <v>1.465116279069768</v>
      </c>
      <c r="S631">
        <v>187</v>
      </c>
      <c r="T631">
        <v>0</v>
      </c>
      <c r="U631">
        <v>25.96875</v>
      </c>
      <c r="V631">
        <v>94</v>
      </c>
      <c r="W631">
        <v>0</v>
      </c>
      <c r="X631">
        <v>26.556862745098041</v>
      </c>
      <c r="Y631">
        <v>109</v>
      </c>
      <c r="Z631">
        <v>0</v>
      </c>
      <c r="AA631">
        <v>114.6301960784314</v>
      </c>
      <c r="AB631">
        <v>350</v>
      </c>
      <c r="AC631">
        <v>0</v>
      </c>
      <c r="AD631">
        <v>26.732758620689651</v>
      </c>
      <c r="AE631">
        <v>114</v>
      </c>
      <c r="AF631">
        <v>0</v>
      </c>
      <c r="AG631">
        <v>115.31896551724139</v>
      </c>
      <c r="AH631">
        <v>350</v>
      </c>
      <c r="AI631">
        <v>0</v>
      </c>
      <c r="AJ631">
        <v>10</v>
      </c>
      <c r="AK631">
        <v>111.1</v>
      </c>
      <c r="AL631">
        <v>250</v>
      </c>
      <c r="AM631">
        <v>92</v>
      </c>
      <c r="AN631">
        <v>342</v>
      </c>
      <c r="AO631">
        <v>6</v>
      </c>
      <c r="AP631">
        <v>180</v>
      </c>
    </row>
    <row r="632" spans="1:42" x14ac:dyDescent="0.3">
      <c r="A632" t="s">
        <v>1550</v>
      </c>
      <c r="B632" t="s">
        <v>11</v>
      </c>
      <c r="C632" t="s">
        <v>1043</v>
      </c>
      <c r="D632" t="s">
        <v>139</v>
      </c>
      <c r="E632" t="s">
        <v>1036</v>
      </c>
      <c r="F632">
        <v>2011</v>
      </c>
      <c r="G632">
        <v>111.1</v>
      </c>
      <c r="H632">
        <v>1</v>
      </c>
      <c r="I632">
        <v>0</v>
      </c>
      <c r="J632">
        <v>9</v>
      </c>
      <c r="K632">
        <v>10</v>
      </c>
      <c r="L632" t="s">
        <v>1327</v>
      </c>
      <c r="M632">
        <v>24.6484375</v>
      </c>
      <c r="N632">
        <v>114</v>
      </c>
      <c r="O632">
        <v>0</v>
      </c>
      <c r="P632">
        <v>45.666666666666657</v>
      </c>
      <c r="Q632">
        <v>104.1166666666667</v>
      </c>
      <c r="R632">
        <v>21.018229166666661</v>
      </c>
      <c r="S632">
        <v>264</v>
      </c>
      <c r="T632">
        <v>0</v>
      </c>
      <c r="U632">
        <v>31.852941176470591</v>
      </c>
      <c r="V632">
        <v>109</v>
      </c>
      <c r="W632">
        <v>0</v>
      </c>
      <c r="X632">
        <v>26.556862745098041</v>
      </c>
      <c r="Y632">
        <v>109</v>
      </c>
      <c r="Z632">
        <v>0</v>
      </c>
      <c r="AA632">
        <v>114.6301960784314</v>
      </c>
      <c r="AB632">
        <v>350</v>
      </c>
      <c r="AC632">
        <v>0</v>
      </c>
      <c r="AD632">
        <v>26.732758620689651</v>
      </c>
      <c r="AE632">
        <v>114</v>
      </c>
      <c r="AF632">
        <v>0</v>
      </c>
      <c r="AG632">
        <v>115.31896551724139</v>
      </c>
      <c r="AH632">
        <v>350</v>
      </c>
      <c r="AI632">
        <v>0</v>
      </c>
      <c r="AJ632">
        <v>58</v>
      </c>
      <c r="AK632">
        <v>123.4</v>
      </c>
      <c r="AL632">
        <v>249</v>
      </c>
      <c r="AM632">
        <v>92</v>
      </c>
      <c r="AN632">
        <v>341</v>
      </c>
      <c r="AO632">
        <v>0</v>
      </c>
      <c r="AP632">
        <v>179</v>
      </c>
    </row>
    <row r="633" spans="1:42" x14ac:dyDescent="0.3">
      <c r="A633" t="s">
        <v>1172</v>
      </c>
      <c r="B633" t="s">
        <v>4</v>
      </c>
      <c r="C633" t="s">
        <v>1043</v>
      </c>
      <c r="D633" t="s">
        <v>12</v>
      </c>
      <c r="E633" t="s">
        <v>1036</v>
      </c>
      <c r="F633">
        <v>2011</v>
      </c>
      <c r="G633">
        <v>123.4</v>
      </c>
      <c r="H633">
        <v>5</v>
      </c>
      <c r="I633">
        <v>1</v>
      </c>
      <c r="J633">
        <v>47</v>
      </c>
      <c r="K633">
        <v>58</v>
      </c>
      <c r="L633" t="s">
        <v>979</v>
      </c>
      <c r="M633">
        <v>24.385826771653541</v>
      </c>
      <c r="N633">
        <v>114</v>
      </c>
      <c r="O633">
        <v>0</v>
      </c>
      <c r="P633">
        <v>31.203883495145629</v>
      </c>
      <c r="Q633">
        <v>120.5689320388349</v>
      </c>
      <c r="R633">
        <v>6.8180567234920879</v>
      </c>
      <c r="S633">
        <v>162</v>
      </c>
      <c r="T633">
        <v>0</v>
      </c>
      <c r="U633">
        <v>20.68965517241379</v>
      </c>
      <c r="V633">
        <v>73</v>
      </c>
      <c r="W633">
        <v>0</v>
      </c>
      <c r="X633">
        <v>26.556862745098041</v>
      </c>
      <c r="Y633">
        <v>109</v>
      </c>
      <c r="Z633">
        <v>0</v>
      </c>
      <c r="AA633">
        <v>114.6301960784314</v>
      </c>
      <c r="AB633">
        <v>350</v>
      </c>
      <c r="AC633">
        <v>0</v>
      </c>
      <c r="AD633">
        <v>26.732758620689651</v>
      </c>
      <c r="AE633">
        <v>114</v>
      </c>
      <c r="AF633">
        <v>0</v>
      </c>
      <c r="AG633">
        <v>115.31896551724139</v>
      </c>
      <c r="AH633">
        <v>350</v>
      </c>
      <c r="AI633">
        <v>0</v>
      </c>
      <c r="AL633">
        <v>244</v>
      </c>
      <c r="AM633">
        <v>91</v>
      </c>
      <c r="AN633">
        <v>335</v>
      </c>
      <c r="AO633">
        <v>24</v>
      </c>
      <c r="AP633">
        <v>173</v>
      </c>
    </row>
    <row r="634" spans="1:42" x14ac:dyDescent="0.3">
      <c r="A634" t="s">
        <v>1664</v>
      </c>
      <c r="B634" t="s">
        <v>812</v>
      </c>
      <c r="C634" t="s">
        <v>5</v>
      </c>
      <c r="D634" t="s">
        <v>12</v>
      </c>
      <c r="E634" t="s">
        <v>1036</v>
      </c>
      <c r="F634">
        <v>2011</v>
      </c>
      <c r="G634">
        <v>66.7</v>
      </c>
      <c r="H634">
        <v>1</v>
      </c>
      <c r="I634">
        <v>0</v>
      </c>
      <c r="J634">
        <v>6</v>
      </c>
      <c r="K634">
        <v>4</v>
      </c>
      <c r="L634" t="s">
        <v>1327</v>
      </c>
      <c r="M634">
        <v>24.547619047619051</v>
      </c>
      <c r="N634">
        <v>114</v>
      </c>
      <c r="O634">
        <v>0</v>
      </c>
      <c r="P634">
        <v>31.203883495145629</v>
      </c>
      <c r="Q634">
        <v>120.5689320388349</v>
      </c>
      <c r="R634">
        <v>6.6562644475265849</v>
      </c>
      <c r="S634">
        <v>162</v>
      </c>
      <c r="T634">
        <v>0</v>
      </c>
      <c r="U634">
        <v>44.333333333333343</v>
      </c>
      <c r="V634">
        <v>73</v>
      </c>
      <c r="W634">
        <v>4</v>
      </c>
      <c r="X634">
        <v>28.189024390243901</v>
      </c>
      <c r="Y634">
        <v>121</v>
      </c>
      <c r="Z634">
        <v>0</v>
      </c>
      <c r="AA634">
        <v>116.45060975609761</v>
      </c>
      <c r="AB634">
        <v>274.39999999999998</v>
      </c>
      <c r="AC634">
        <v>0</v>
      </c>
      <c r="AD634">
        <v>26.732758620689651</v>
      </c>
      <c r="AE634">
        <v>114</v>
      </c>
      <c r="AF634">
        <v>0</v>
      </c>
      <c r="AG634">
        <v>115.31896551724139</v>
      </c>
      <c r="AH634">
        <v>350</v>
      </c>
      <c r="AI634">
        <v>0</v>
      </c>
      <c r="AJ634">
        <v>5</v>
      </c>
      <c r="AK634">
        <v>100</v>
      </c>
      <c r="AL634">
        <v>243</v>
      </c>
      <c r="AM634">
        <v>91</v>
      </c>
      <c r="AN634">
        <v>334</v>
      </c>
      <c r="AO634">
        <v>23</v>
      </c>
      <c r="AP634">
        <v>59</v>
      </c>
    </row>
    <row r="635" spans="1:42" x14ac:dyDescent="0.3">
      <c r="A635" t="s">
        <v>1637</v>
      </c>
      <c r="B635" t="s">
        <v>40</v>
      </c>
      <c r="C635" t="s">
        <v>1043</v>
      </c>
      <c r="D635" t="s">
        <v>173</v>
      </c>
      <c r="E635" t="s">
        <v>1036</v>
      </c>
      <c r="F635">
        <v>2011</v>
      </c>
      <c r="G635">
        <v>100</v>
      </c>
      <c r="H635">
        <v>1</v>
      </c>
      <c r="I635">
        <v>0</v>
      </c>
      <c r="J635">
        <v>5</v>
      </c>
      <c r="K635">
        <v>5</v>
      </c>
      <c r="L635" t="s">
        <v>1327</v>
      </c>
      <c r="M635">
        <v>24.704000000000001</v>
      </c>
      <c r="N635">
        <v>114</v>
      </c>
      <c r="O635">
        <v>0</v>
      </c>
      <c r="P635">
        <v>36.388888888888893</v>
      </c>
      <c r="Q635">
        <v>93.683333333333337</v>
      </c>
      <c r="R635">
        <v>11.68488888888889</v>
      </c>
      <c r="S635">
        <v>208</v>
      </c>
      <c r="T635">
        <v>0</v>
      </c>
      <c r="U635">
        <v>28.12903225806452</v>
      </c>
      <c r="V635">
        <v>79</v>
      </c>
      <c r="W635">
        <v>0</v>
      </c>
      <c r="X635">
        <v>26.556862745098041</v>
      </c>
      <c r="Y635">
        <v>109</v>
      </c>
      <c r="Z635">
        <v>0</v>
      </c>
      <c r="AA635">
        <v>114.6301960784314</v>
      </c>
      <c r="AB635">
        <v>350</v>
      </c>
      <c r="AC635">
        <v>0</v>
      </c>
      <c r="AD635">
        <v>26.732758620689651</v>
      </c>
      <c r="AE635">
        <v>114</v>
      </c>
      <c r="AF635">
        <v>0</v>
      </c>
      <c r="AG635">
        <v>115.31896551724139</v>
      </c>
      <c r="AH635">
        <v>350</v>
      </c>
      <c r="AI635">
        <v>0</v>
      </c>
      <c r="AJ635">
        <v>49</v>
      </c>
      <c r="AK635">
        <v>153.1</v>
      </c>
      <c r="AL635">
        <v>242</v>
      </c>
      <c r="AM635">
        <v>91</v>
      </c>
      <c r="AN635">
        <v>333</v>
      </c>
      <c r="AO635">
        <v>7</v>
      </c>
      <c r="AP635">
        <v>172</v>
      </c>
    </row>
    <row r="636" spans="1:42" x14ac:dyDescent="0.3">
      <c r="A636" t="s">
        <v>1230</v>
      </c>
      <c r="B636" t="s">
        <v>8</v>
      </c>
      <c r="C636" t="s">
        <v>1043</v>
      </c>
      <c r="D636" t="s">
        <v>12</v>
      </c>
      <c r="E636" t="s">
        <v>1036</v>
      </c>
      <c r="F636">
        <v>2011</v>
      </c>
      <c r="G636">
        <v>153.1</v>
      </c>
      <c r="H636">
        <v>2</v>
      </c>
      <c r="I636">
        <v>3</v>
      </c>
      <c r="J636">
        <v>32</v>
      </c>
      <c r="K636">
        <v>49</v>
      </c>
      <c r="L636" t="s">
        <v>979</v>
      </c>
      <c r="M636">
        <v>24.508064516129028</v>
      </c>
      <c r="N636">
        <v>114</v>
      </c>
      <c r="O636">
        <v>0</v>
      </c>
      <c r="P636">
        <v>31.203883495145629</v>
      </c>
      <c r="Q636">
        <v>120.5689320388349</v>
      </c>
      <c r="R636">
        <v>6.6958189790166003</v>
      </c>
      <c r="S636">
        <v>162</v>
      </c>
      <c r="T636">
        <v>0</v>
      </c>
      <c r="U636">
        <v>28.567567567567568</v>
      </c>
      <c r="V636">
        <v>74</v>
      </c>
      <c r="W636">
        <v>0</v>
      </c>
      <c r="X636">
        <v>26.556862745098041</v>
      </c>
      <c r="Y636">
        <v>109</v>
      </c>
      <c r="Z636">
        <v>0</v>
      </c>
      <c r="AA636">
        <v>114.6301960784314</v>
      </c>
      <c r="AB636">
        <v>350</v>
      </c>
      <c r="AC636">
        <v>0</v>
      </c>
      <c r="AD636">
        <v>26.732758620689651</v>
      </c>
      <c r="AE636">
        <v>114</v>
      </c>
      <c r="AF636">
        <v>0</v>
      </c>
      <c r="AG636">
        <v>115.31896551724139</v>
      </c>
      <c r="AH636">
        <v>350</v>
      </c>
      <c r="AI636">
        <v>0</v>
      </c>
      <c r="AJ636">
        <v>30</v>
      </c>
      <c r="AK636">
        <v>111.8</v>
      </c>
      <c r="AL636">
        <v>240</v>
      </c>
      <c r="AM636">
        <v>88</v>
      </c>
      <c r="AN636">
        <v>328</v>
      </c>
      <c r="AO636">
        <v>18</v>
      </c>
      <c r="AP636">
        <v>167</v>
      </c>
    </row>
    <row r="637" spans="1:42" x14ac:dyDescent="0.3">
      <c r="A637" t="s">
        <v>1514</v>
      </c>
      <c r="B637" t="s">
        <v>783</v>
      </c>
      <c r="C637" t="s">
        <v>5</v>
      </c>
      <c r="D637" t="s">
        <v>300</v>
      </c>
      <c r="E637" t="s">
        <v>1036</v>
      </c>
      <c r="F637">
        <v>2011</v>
      </c>
      <c r="G637">
        <v>60</v>
      </c>
      <c r="H637">
        <v>0</v>
      </c>
      <c r="I637">
        <v>0</v>
      </c>
      <c r="J637">
        <v>20</v>
      </c>
      <c r="K637">
        <v>12</v>
      </c>
      <c r="L637" t="s">
        <v>1327</v>
      </c>
      <c r="M637">
        <v>24.609756097560979</v>
      </c>
      <c r="N637">
        <v>114</v>
      </c>
      <c r="O637">
        <v>0</v>
      </c>
      <c r="P637">
        <v>9.5555555555555554</v>
      </c>
      <c r="Q637">
        <v>71.36666666666666</v>
      </c>
      <c r="R637">
        <v>-15.05420054200542</v>
      </c>
      <c r="S637">
        <v>45</v>
      </c>
      <c r="T637">
        <v>0</v>
      </c>
      <c r="U637">
        <v>19.600000000000001</v>
      </c>
      <c r="V637">
        <v>62</v>
      </c>
      <c r="W637">
        <v>1</v>
      </c>
      <c r="X637">
        <v>28.189024390243901</v>
      </c>
      <c r="Y637">
        <v>121</v>
      </c>
      <c r="Z637">
        <v>0</v>
      </c>
      <c r="AA637">
        <v>116.45060975609761</v>
      </c>
      <c r="AB637">
        <v>274.39999999999998</v>
      </c>
      <c r="AC637">
        <v>0</v>
      </c>
      <c r="AD637">
        <v>26.732758620689651</v>
      </c>
      <c r="AE637">
        <v>114</v>
      </c>
      <c r="AF637">
        <v>0</v>
      </c>
      <c r="AG637">
        <v>115.31896551724139</v>
      </c>
      <c r="AH637">
        <v>350</v>
      </c>
      <c r="AI637">
        <v>0</v>
      </c>
      <c r="AJ637">
        <v>31</v>
      </c>
      <c r="AK637">
        <v>111.35</v>
      </c>
      <c r="AL637">
        <v>240</v>
      </c>
      <c r="AM637">
        <v>88</v>
      </c>
      <c r="AN637">
        <v>328</v>
      </c>
      <c r="AO637">
        <v>7</v>
      </c>
      <c r="AP637">
        <v>59</v>
      </c>
    </row>
    <row r="638" spans="1:42" x14ac:dyDescent="0.3">
      <c r="A638" t="s">
        <v>1443</v>
      </c>
      <c r="B638" t="s">
        <v>40</v>
      </c>
      <c r="C638" t="s">
        <v>1043</v>
      </c>
      <c r="D638" t="s">
        <v>12</v>
      </c>
      <c r="E638" t="s">
        <v>1036</v>
      </c>
      <c r="F638">
        <v>2011</v>
      </c>
      <c r="G638">
        <v>163.6</v>
      </c>
      <c r="H638">
        <v>3</v>
      </c>
      <c r="I638">
        <v>0</v>
      </c>
      <c r="J638">
        <v>11</v>
      </c>
      <c r="K638">
        <v>18</v>
      </c>
      <c r="L638" t="s">
        <v>1327</v>
      </c>
      <c r="M638">
        <v>24.66393442622951</v>
      </c>
      <c r="N638">
        <v>114</v>
      </c>
      <c r="O638">
        <v>0</v>
      </c>
      <c r="P638">
        <v>31.203883495145629</v>
      </c>
      <c r="Q638">
        <v>120.5689320388349</v>
      </c>
      <c r="R638">
        <v>6.5399490689161226</v>
      </c>
      <c r="S638">
        <v>162</v>
      </c>
      <c r="T638">
        <v>0</v>
      </c>
      <c r="U638">
        <v>28.12903225806452</v>
      </c>
      <c r="V638">
        <v>79</v>
      </c>
      <c r="W638">
        <v>0</v>
      </c>
      <c r="X638">
        <v>26.556862745098041</v>
      </c>
      <c r="Y638">
        <v>109</v>
      </c>
      <c r="Z638">
        <v>0</v>
      </c>
      <c r="AA638">
        <v>114.6301960784314</v>
      </c>
      <c r="AB638">
        <v>350</v>
      </c>
      <c r="AC638">
        <v>0</v>
      </c>
      <c r="AD638">
        <v>26.732758620689651</v>
      </c>
      <c r="AE638">
        <v>114</v>
      </c>
      <c r="AF638">
        <v>0</v>
      </c>
      <c r="AG638">
        <v>115.31896551724139</v>
      </c>
      <c r="AH638">
        <v>350</v>
      </c>
      <c r="AI638">
        <v>0</v>
      </c>
      <c r="AJ638">
        <v>13</v>
      </c>
      <c r="AK638">
        <v>59.1</v>
      </c>
      <c r="AL638">
        <v>237</v>
      </c>
      <c r="AM638">
        <v>88</v>
      </c>
      <c r="AN638">
        <v>325</v>
      </c>
      <c r="AO638">
        <v>15</v>
      </c>
      <c r="AP638">
        <v>164</v>
      </c>
    </row>
    <row r="639" spans="1:42" x14ac:dyDescent="0.3">
      <c r="A639" t="s">
        <v>1498</v>
      </c>
      <c r="B639" t="s">
        <v>4</v>
      </c>
      <c r="C639" t="s">
        <v>1043</v>
      </c>
      <c r="D639" t="s">
        <v>46</v>
      </c>
      <c r="E639" t="s">
        <v>1047</v>
      </c>
      <c r="F639">
        <v>2011</v>
      </c>
      <c r="G639">
        <v>59.1</v>
      </c>
      <c r="H639">
        <v>1</v>
      </c>
      <c r="I639">
        <v>0</v>
      </c>
      <c r="J639">
        <v>22</v>
      </c>
      <c r="K639">
        <v>13</v>
      </c>
      <c r="L639" t="s">
        <v>1327</v>
      </c>
      <c r="M639">
        <v>24.760330578512399</v>
      </c>
      <c r="N639">
        <v>114</v>
      </c>
      <c r="O639">
        <v>0</v>
      </c>
      <c r="P639">
        <v>31.72727272727273</v>
      </c>
      <c r="Q639">
        <v>85.109090909090909</v>
      </c>
      <c r="R639">
        <v>6.9669421487603316</v>
      </c>
      <c r="S639">
        <v>141</v>
      </c>
      <c r="T639">
        <v>0</v>
      </c>
      <c r="U639">
        <v>20.68965517241379</v>
      </c>
      <c r="V639">
        <v>73</v>
      </c>
      <c r="W639">
        <v>0</v>
      </c>
      <c r="X639">
        <v>26.556862745098041</v>
      </c>
      <c r="Y639">
        <v>109</v>
      </c>
      <c r="Z639">
        <v>0</v>
      </c>
      <c r="AA639">
        <v>114.6301960784314</v>
      </c>
      <c r="AB639">
        <v>350</v>
      </c>
      <c r="AC639">
        <v>0</v>
      </c>
      <c r="AD639">
        <v>27.9758064516129</v>
      </c>
      <c r="AE639">
        <v>105</v>
      </c>
      <c r="AF639">
        <v>0</v>
      </c>
      <c r="AG639">
        <v>110.46935483870971</v>
      </c>
      <c r="AH639">
        <v>280</v>
      </c>
      <c r="AI639">
        <v>0</v>
      </c>
      <c r="AJ639">
        <v>56</v>
      </c>
      <c r="AK639">
        <v>164.7</v>
      </c>
      <c r="AL639">
        <v>236</v>
      </c>
      <c r="AM639">
        <v>88</v>
      </c>
      <c r="AN639">
        <v>324</v>
      </c>
      <c r="AO639">
        <v>4</v>
      </c>
      <c r="AP639">
        <v>163</v>
      </c>
    </row>
    <row r="640" spans="1:42" x14ac:dyDescent="0.3">
      <c r="A640" t="s">
        <v>1192</v>
      </c>
      <c r="B640" t="s">
        <v>812</v>
      </c>
      <c r="C640" t="s">
        <v>5</v>
      </c>
      <c r="D640" t="s">
        <v>54</v>
      </c>
      <c r="E640" t="s">
        <v>1047</v>
      </c>
      <c r="F640">
        <v>2011</v>
      </c>
      <c r="G640">
        <v>164.7</v>
      </c>
      <c r="H640">
        <v>5</v>
      </c>
      <c r="I640">
        <v>3</v>
      </c>
      <c r="J640">
        <v>34</v>
      </c>
      <c r="K640">
        <v>56</v>
      </c>
      <c r="L640" t="s">
        <v>979</v>
      </c>
      <c r="M640">
        <v>24.5</v>
      </c>
      <c r="N640">
        <v>114</v>
      </c>
      <c r="O640">
        <v>0</v>
      </c>
      <c r="P640">
        <v>30</v>
      </c>
      <c r="Q640">
        <v>129.072</v>
      </c>
      <c r="R640">
        <v>5.5</v>
      </c>
      <c r="S640">
        <v>76</v>
      </c>
      <c r="T640">
        <v>1</v>
      </c>
      <c r="U640">
        <v>44.333333333333343</v>
      </c>
      <c r="V640">
        <v>73</v>
      </c>
      <c r="W640">
        <v>4</v>
      </c>
      <c r="X640">
        <v>28.189024390243901</v>
      </c>
      <c r="Y640">
        <v>121</v>
      </c>
      <c r="Z640">
        <v>0</v>
      </c>
      <c r="AA640">
        <v>116.45060975609761</v>
      </c>
      <c r="AB640">
        <v>274.39999999999998</v>
      </c>
      <c r="AC640">
        <v>0</v>
      </c>
      <c r="AD640">
        <v>27.9758064516129</v>
      </c>
      <c r="AE640">
        <v>105</v>
      </c>
      <c r="AF640">
        <v>0</v>
      </c>
      <c r="AG640">
        <v>110.46935483870971</v>
      </c>
      <c r="AH640">
        <v>280</v>
      </c>
      <c r="AI640">
        <v>0</v>
      </c>
      <c r="AJ640">
        <v>107</v>
      </c>
      <c r="AK640">
        <v>146.19999999999999</v>
      </c>
      <c r="AL640">
        <v>231</v>
      </c>
      <c r="AM640">
        <v>85</v>
      </c>
      <c r="AN640">
        <v>316</v>
      </c>
      <c r="AO640">
        <v>34</v>
      </c>
      <c r="AP640">
        <v>51</v>
      </c>
    </row>
    <row r="641" spans="1:42" x14ac:dyDescent="0.3">
      <c r="A641" t="s">
        <v>1076</v>
      </c>
      <c r="B641" t="s">
        <v>56</v>
      </c>
      <c r="C641" t="s">
        <v>1043</v>
      </c>
      <c r="D641" t="s">
        <v>12</v>
      </c>
      <c r="E641" t="s">
        <v>1047</v>
      </c>
      <c r="F641">
        <v>2011</v>
      </c>
      <c r="G641">
        <v>181.3</v>
      </c>
      <c r="H641">
        <v>8</v>
      </c>
      <c r="I641">
        <v>5</v>
      </c>
      <c r="J641">
        <v>48</v>
      </c>
      <c r="K641">
        <v>87</v>
      </c>
      <c r="L641" t="s">
        <v>979</v>
      </c>
      <c r="M641">
        <v>23.97478991596639</v>
      </c>
      <c r="N641">
        <v>114</v>
      </c>
      <c r="O641">
        <v>0</v>
      </c>
      <c r="P641">
        <v>31.203883495145629</v>
      </c>
      <c r="Q641">
        <v>120.5689320388349</v>
      </c>
      <c r="R641">
        <v>7.2290935791792457</v>
      </c>
      <c r="S641">
        <v>162</v>
      </c>
      <c r="T641">
        <v>0</v>
      </c>
      <c r="U641">
        <v>25.6</v>
      </c>
      <c r="V641">
        <v>105</v>
      </c>
      <c r="W641">
        <v>0</v>
      </c>
      <c r="X641">
        <v>26.556862745098041</v>
      </c>
      <c r="Y641">
        <v>109</v>
      </c>
      <c r="Z641">
        <v>0</v>
      </c>
      <c r="AA641">
        <v>114.6301960784314</v>
      </c>
      <c r="AB641">
        <v>350</v>
      </c>
      <c r="AC641">
        <v>0</v>
      </c>
      <c r="AD641">
        <v>27.9758064516129</v>
      </c>
      <c r="AE641">
        <v>105</v>
      </c>
      <c r="AF641">
        <v>0</v>
      </c>
      <c r="AG641">
        <v>110.46935483870971</v>
      </c>
      <c r="AH641">
        <v>280</v>
      </c>
      <c r="AI641">
        <v>0</v>
      </c>
      <c r="AJ641">
        <v>20</v>
      </c>
      <c r="AK641">
        <v>111.1</v>
      </c>
      <c r="AL641">
        <v>223</v>
      </c>
      <c r="AM641">
        <v>80</v>
      </c>
      <c r="AN641">
        <v>303</v>
      </c>
      <c r="AO641">
        <v>2</v>
      </c>
      <c r="AP641">
        <v>150</v>
      </c>
    </row>
    <row r="642" spans="1:42" x14ac:dyDescent="0.3">
      <c r="A642" t="s">
        <v>1421</v>
      </c>
      <c r="B642" t="s">
        <v>783</v>
      </c>
      <c r="C642" t="s">
        <v>5</v>
      </c>
      <c r="D642" t="s">
        <v>12</v>
      </c>
      <c r="E642" t="s">
        <v>1047</v>
      </c>
      <c r="F642">
        <v>2011</v>
      </c>
      <c r="G642">
        <v>111.1</v>
      </c>
      <c r="H642">
        <v>1</v>
      </c>
      <c r="I642">
        <v>1</v>
      </c>
      <c r="J642">
        <v>18</v>
      </c>
      <c r="K642">
        <v>20</v>
      </c>
      <c r="L642" t="s">
        <v>1327</v>
      </c>
      <c r="M642">
        <v>24.00847457627119</v>
      </c>
      <c r="N642">
        <v>114</v>
      </c>
      <c r="O642">
        <v>0</v>
      </c>
      <c r="P642">
        <v>31.203883495145629</v>
      </c>
      <c r="Q642">
        <v>120.5689320388349</v>
      </c>
      <c r="R642">
        <v>7.1954089188744446</v>
      </c>
      <c r="S642">
        <v>162</v>
      </c>
      <c r="T642">
        <v>0</v>
      </c>
      <c r="U642">
        <v>19.600000000000001</v>
      </c>
      <c r="V642">
        <v>62</v>
      </c>
      <c r="W642">
        <v>1</v>
      </c>
      <c r="X642">
        <v>28.189024390243901</v>
      </c>
      <c r="Y642">
        <v>121</v>
      </c>
      <c r="Z642">
        <v>0</v>
      </c>
      <c r="AA642">
        <v>116.45060975609761</v>
      </c>
      <c r="AB642">
        <v>274.39999999999998</v>
      </c>
      <c r="AC642">
        <v>0</v>
      </c>
      <c r="AD642">
        <v>27.9758064516129</v>
      </c>
      <c r="AE642">
        <v>105</v>
      </c>
      <c r="AF642">
        <v>0</v>
      </c>
      <c r="AG642">
        <v>110.46935483870971</v>
      </c>
      <c r="AH642">
        <v>280</v>
      </c>
      <c r="AI642">
        <v>0</v>
      </c>
      <c r="AL642">
        <v>222</v>
      </c>
      <c r="AM642">
        <v>79</v>
      </c>
      <c r="AN642">
        <v>301</v>
      </c>
      <c r="AO642">
        <v>0</v>
      </c>
      <c r="AP642">
        <v>49</v>
      </c>
    </row>
    <row r="643" spans="1:42" x14ac:dyDescent="0.3">
      <c r="A643" t="s">
        <v>1359</v>
      </c>
      <c r="B643" t="s">
        <v>8</v>
      </c>
      <c r="C643" t="s">
        <v>1043</v>
      </c>
      <c r="D643" t="s">
        <v>9</v>
      </c>
      <c r="E643" t="s">
        <v>1047</v>
      </c>
      <c r="F643">
        <v>2011</v>
      </c>
      <c r="G643">
        <v>90</v>
      </c>
      <c r="H643">
        <v>3</v>
      </c>
      <c r="I643">
        <v>0</v>
      </c>
      <c r="J643">
        <v>30</v>
      </c>
      <c r="K643">
        <v>27</v>
      </c>
      <c r="L643" t="s">
        <v>1327</v>
      </c>
      <c r="M643">
        <v>23.982905982905979</v>
      </c>
      <c r="N643">
        <v>114</v>
      </c>
      <c r="O643">
        <v>0</v>
      </c>
      <c r="P643">
        <v>38.36</v>
      </c>
      <c r="Q643">
        <v>122.748</v>
      </c>
      <c r="R643">
        <v>14.37709401709402</v>
      </c>
      <c r="S643">
        <v>131</v>
      </c>
      <c r="T643">
        <v>1</v>
      </c>
      <c r="U643">
        <v>28.567567567567568</v>
      </c>
      <c r="V643">
        <v>74</v>
      </c>
      <c r="W643">
        <v>0</v>
      </c>
      <c r="X643">
        <v>26.556862745098041</v>
      </c>
      <c r="Y643">
        <v>109</v>
      </c>
      <c r="Z643">
        <v>0</v>
      </c>
      <c r="AA643">
        <v>114.6301960784314</v>
      </c>
      <c r="AB643">
        <v>350</v>
      </c>
      <c r="AC643">
        <v>0</v>
      </c>
      <c r="AD643">
        <v>27.9758064516129</v>
      </c>
      <c r="AE643">
        <v>105</v>
      </c>
      <c r="AF643">
        <v>0</v>
      </c>
      <c r="AG643">
        <v>110.46935483870971</v>
      </c>
      <c r="AH643">
        <v>280</v>
      </c>
      <c r="AI643">
        <v>0</v>
      </c>
      <c r="AL643">
        <v>219</v>
      </c>
      <c r="AM643">
        <v>79</v>
      </c>
      <c r="AN643">
        <v>298</v>
      </c>
      <c r="AO643">
        <v>7</v>
      </c>
      <c r="AP643">
        <v>147</v>
      </c>
    </row>
    <row r="644" spans="1:42" x14ac:dyDescent="0.3">
      <c r="A644" t="s">
        <v>1638</v>
      </c>
      <c r="B644" t="s">
        <v>24</v>
      </c>
      <c r="C644" t="s">
        <v>16</v>
      </c>
      <c r="D644" t="s">
        <v>180</v>
      </c>
      <c r="E644" t="s">
        <v>994</v>
      </c>
      <c r="F644">
        <v>2011</v>
      </c>
      <c r="G644">
        <v>62.5</v>
      </c>
      <c r="H644">
        <v>1</v>
      </c>
      <c r="I644">
        <v>0</v>
      </c>
      <c r="J644">
        <v>8</v>
      </c>
      <c r="K644">
        <v>5</v>
      </c>
      <c r="L644" t="s">
        <v>1327</v>
      </c>
      <c r="M644">
        <v>24.146551724137929</v>
      </c>
      <c r="N644">
        <v>114</v>
      </c>
      <c r="O644">
        <v>0</v>
      </c>
      <c r="P644">
        <v>16.899999999999999</v>
      </c>
      <c r="Q644">
        <v>68.815000000000012</v>
      </c>
      <c r="R644">
        <v>-7.2465517241379338</v>
      </c>
      <c r="S644">
        <v>57</v>
      </c>
      <c r="T644">
        <v>0</v>
      </c>
      <c r="U644">
        <v>37.163636363636357</v>
      </c>
      <c r="V644">
        <v>303</v>
      </c>
      <c r="W644">
        <v>0</v>
      </c>
      <c r="X644">
        <v>42.251824817518248</v>
      </c>
      <c r="Y644">
        <v>264</v>
      </c>
      <c r="Z644">
        <v>0</v>
      </c>
      <c r="AA644">
        <v>77.646715328467153</v>
      </c>
      <c r="AB644">
        <v>200</v>
      </c>
      <c r="AC644">
        <v>0</v>
      </c>
      <c r="AD644">
        <v>47.472727272727283</v>
      </c>
      <c r="AE644">
        <v>171</v>
      </c>
      <c r="AF644">
        <v>0</v>
      </c>
      <c r="AG644">
        <v>81.038181818181826</v>
      </c>
      <c r="AH644">
        <v>175.4</v>
      </c>
      <c r="AI644">
        <v>0</v>
      </c>
      <c r="AJ644">
        <v>24</v>
      </c>
      <c r="AK644">
        <v>33.9</v>
      </c>
      <c r="AL644">
        <v>218</v>
      </c>
      <c r="AM644">
        <v>79</v>
      </c>
      <c r="AN644">
        <v>297</v>
      </c>
      <c r="AO644">
        <v>6</v>
      </c>
      <c r="AP644">
        <v>101</v>
      </c>
    </row>
    <row r="645" spans="1:42" x14ac:dyDescent="0.3">
      <c r="A645" t="s">
        <v>1718</v>
      </c>
      <c r="B645" t="s">
        <v>24</v>
      </c>
      <c r="C645" t="s">
        <v>16</v>
      </c>
      <c r="D645" t="s">
        <v>532</v>
      </c>
      <c r="E645" t="s">
        <v>994</v>
      </c>
      <c r="F645">
        <v>2011</v>
      </c>
      <c r="G645">
        <v>16.7</v>
      </c>
      <c r="H645">
        <v>0</v>
      </c>
      <c r="I645">
        <v>0</v>
      </c>
      <c r="J645">
        <v>6</v>
      </c>
      <c r="K645">
        <v>1</v>
      </c>
      <c r="L645" t="s">
        <v>1327</v>
      </c>
      <c r="M645">
        <v>24.34782608695652</v>
      </c>
      <c r="N645">
        <v>114</v>
      </c>
      <c r="O645">
        <v>0</v>
      </c>
      <c r="P645">
        <v>51.333333333333343</v>
      </c>
      <c r="Q645">
        <v>75.600000000000009</v>
      </c>
      <c r="R645">
        <v>26.985507246376809</v>
      </c>
      <c r="S645">
        <v>115</v>
      </c>
      <c r="T645">
        <v>1</v>
      </c>
      <c r="U645">
        <v>37.163636363636357</v>
      </c>
      <c r="V645">
        <v>303</v>
      </c>
      <c r="W645">
        <v>0</v>
      </c>
      <c r="X645">
        <v>42.251824817518248</v>
      </c>
      <c r="Y645">
        <v>264</v>
      </c>
      <c r="Z645">
        <v>0</v>
      </c>
      <c r="AA645">
        <v>77.646715328467153</v>
      </c>
      <c r="AB645">
        <v>200</v>
      </c>
      <c r="AC645">
        <v>0</v>
      </c>
      <c r="AD645">
        <v>47.472727272727283</v>
      </c>
      <c r="AE645">
        <v>171</v>
      </c>
      <c r="AF645">
        <v>0</v>
      </c>
      <c r="AG645">
        <v>81.038181818181826</v>
      </c>
      <c r="AH645">
        <v>175.4</v>
      </c>
      <c r="AI645">
        <v>0</v>
      </c>
      <c r="AJ645">
        <v>23</v>
      </c>
      <c r="AK645">
        <v>51.1</v>
      </c>
      <c r="AL645">
        <v>218</v>
      </c>
      <c r="AM645">
        <v>79</v>
      </c>
      <c r="AN645">
        <v>297</v>
      </c>
      <c r="AO645">
        <v>4</v>
      </c>
      <c r="AP645">
        <v>101</v>
      </c>
    </row>
    <row r="646" spans="1:42" x14ac:dyDescent="0.3">
      <c r="A646" t="s">
        <v>1393</v>
      </c>
      <c r="B646" t="s">
        <v>24</v>
      </c>
      <c r="C646" t="s">
        <v>16</v>
      </c>
      <c r="D646" t="s">
        <v>176</v>
      </c>
      <c r="E646" t="s">
        <v>994</v>
      </c>
      <c r="F646">
        <v>2011</v>
      </c>
      <c r="G646">
        <v>51.1</v>
      </c>
      <c r="H646">
        <v>2</v>
      </c>
      <c r="I646">
        <v>0</v>
      </c>
      <c r="J646">
        <v>45</v>
      </c>
      <c r="K646">
        <v>23</v>
      </c>
      <c r="L646" t="s">
        <v>1327</v>
      </c>
      <c r="M646">
        <v>24.359649122807021</v>
      </c>
      <c r="N646">
        <v>114</v>
      </c>
      <c r="O646">
        <v>0</v>
      </c>
      <c r="P646">
        <v>28.285714285714281</v>
      </c>
      <c r="Q646">
        <v>82.242857142857147</v>
      </c>
      <c r="R646">
        <v>3.926065162907268</v>
      </c>
      <c r="S646">
        <v>55</v>
      </c>
      <c r="T646">
        <v>0</v>
      </c>
      <c r="U646">
        <v>37.163636363636357</v>
      </c>
      <c r="V646">
        <v>303</v>
      </c>
      <c r="W646">
        <v>0</v>
      </c>
      <c r="X646">
        <v>42.251824817518248</v>
      </c>
      <c r="Y646">
        <v>264</v>
      </c>
      <c r="Z646">
        <v>0</v>
      </c>
      <c r="AA646">
        <v>77.646715328467153</v>
      </c>
      <c r="AB646">
        <v>200</v>
      </c>
      <c r="AC646">
        <v>0</v>
      </c>
      <c r="AD646">
        <v>47.472727272727283</v>
      </c>
      <c r="AE646">
        <v>171</v>
      </c>
      <c r="AF646">
        <v>0</v>
      </c>
      <c r="AG646">
        <v>81.038181818181826</v>
      </c>
      <c r="AH646">
        <v>175.4</v>
      </c>
      <c r="AI646">
        <v>0</v>
      </c>
      <c r="AJ646">
        <v>9</v>
      </c>
      <c r="AK646">
        <v>64.3</v>
      </c>
      <c r="AL646">
        <v>216</v>
      </c>
      <c r="AM646">
        <v>79</v>
      </c>
      <c r="AN646">
        <v>295</v>
      </c>
      <c r="AO646">
        <v>11</v>
      </c>
      <c r="AP646">
        <v>99</v>
      </c>
    </row>
    <row r="647" spans="1:42" x14ac:dyDescent="0.3">
      <c r="A647" t="s">
        <v>1562</v>
      </c>
      <c r="B647" t="s">
        <v>24</v>
      </c>
      <c r="C647" t="s">
        <v>16</v>
      </c>
      <c r="D647" t="s">
        <v>530</v>
      </c>
      <c r="E647" t="s">
        <v>994</v>
      </c>
      <c r="F647">
        <v>2011</v>
      </c>
      <c r="G647">
        <v>64.3</v>
      </c>
      <c r="H647">
        <v>1</v>
      </c>
      <c r="I647">
        <v>0</v>
      </c>
      <c r="J647">
        <v>14</v>
      </c>
      <c r="K647">
        <v>9</v>
      </c>
      <c r="L647" t="s">
        <v>1327</v>
      </c>
      <c r="M647">
        <v>24.495575221238941</v>
      </c>
      <c r="N647">
        <v>114</v>
      </c>
      <c r="O647">
        <v>0</v>
      </c>
      <c r="P647">
        <v>22.333333333333329</v>
      </c>
      <c r="Q647">
        <v>124.1333333333333</v>
      </c>
      <c r="R647">
        <v>-2.1622418879056049</v>
      </c>
      <c r="S647">
        <v>42</v>
      </c>
      <c r="T647">
        <v>5</v>
      </c>
      <c r="U647">
        <v>37.163636363636357</v>
      </c>
      <c r="V647">
        <v>303</v>
      </c>
      <c r="W647">
        <v>0</v>
      </c>
      <c r="X647">
        <v>42.251824817518248</v>
      </c>
      <c r="Y647">
        <v>264</v>
      </c>
      <c r="Z647">
        <v>0</v>
      </c>
      <c r="AA647">
        <v>77.646715328467153</v>
      </c>
      <c r="AB647">
        <v>200</v>
      </c>
      <c r="AC647">
        <v>0</v>
      </c>
      <c r="AD647">
        <v>47.472727272727283</v>
      </c>
      <c r="AE647">
        <v>171</v>
      </c>
      <c r="AF647">
        <v>0</v>
      </c>
      <c r="AG647">
        <v>81.038181818181826</v>
      </c>
      <c r="AH647">
        <v>175.4</v>
      </c>
      <c r="AI647">
        <v>0</v>
      </c>
      <c r="AJ647">
        <v>11</v>
      </c>
      <c r="AK647">
        <v>40.700000000000003</v>
      </c>
      <c r="AL647">
        <v>215</v>
      </c>
      <c r="AM647">
        <v>79</v>
      </c>
      <c r="AN647">
        <v>294</v>
      </c>
      <c r="AO647">
        <v>16</v>
      </c>
      <c r="AP647">
        <v>98</v>
      </c>
    </row>
    <row r="648" spans="1:42" x14ac:dyDescent="0.3">
      <c r="A648" t="s">
        <v>1534</v>
      </c>
      <c r="B648" t="s">
        <v>24</v>
      </c>
      <c r="C648" t="s">
        <v>16</v>
      </c>
      <c r="D648" t="s">
        <v>535</v>
      </c>
      <c r="E648" t="s">
        <v>994</v>
      </c>
      <c r="F648">
        <v>2011</v>
      </c>
      <c r="G648">
        <v>40.700000000000003</v>
      </c>
      <c r="H648">
        <v>1</v>
      </c>
      <c r="I648">
        <v>0</v>
      </c>
      <c r="J648">
        <v>27</v>
      </c>
      <c r="K648">
        <v>11</v>
      </c>
      <c r="L648" t="s">
        <v>1327</v>
      </c>
      <c r="M648">
        <v>24.616071428571431</v>
      </c>
      <c r="N648">
        <v>114</v>
      </c>
      <c r="O648">
        <v>0</v>
      </c>
      <c r="P648">
        <v>21.3</v>
      </c>
      <c r="Q648">
        <v>91.61</v>
      </c>
      <c r="R648">
        <v>-3.3160714285714259</v>
      </c>
      <c r="S648">
        <v>53</v>
      </c>
      <c r="T648">
        <v>3</v>
      </c>
      <c r="U648">
        <v>37.163636363636357</v>
      </c>
      <c r="V648">
        <v>303</v>
      </c>
      <c r="W648">
        <v>0</v>
      </c>
      <c r="X648">
        <v>42.251824817518248</v>
      </c>
      <c r="Y648">
        <v>264</v>
      </c>
      <c r="Z648">
        <v>0</v>
      </c>
      <c r="AA648">
        <v>77.646715328467153</v>
      </c>
      <c r="AB648">
        <v>200</v>
      </c>
      <c r="AC648">
        <v>0</v>
      </c>
      <c r="AD648">
        <v>47.472727272727283</v>
      </c>
      <c r="AE648">
        <v>171</v>
      </c>
      <c r="AF648">
        <v>0</v>
      </c>
      <c r="AG648">
        <v>81.038181818181826</v>
      </c>
      <c r="AH648">
        <v>175.4</v>
      </c>
      <c r="AI648">
        <v>0</v>
      </c>
      <c r="AJ648">
        <v>53</v>
      </c>
      <c r="AK648">
        <v>155.9</v>
      </c>
      <c r="AL648">
        <v>214</v>
      </c>
      <c r="AM648">
        <v>79</v>
      </c>
      <c r="AN648">
        <v>293</v>
      </c>
      <c r="AO648">
        <v>19</v>
      </c>
      <c r="AP648">
        <v>97</v>
      </c>
    </row>
    <row r="649" spans="1:42" x14ac:dyDescent="0.3">
      <c r="A649" t="s">
        <v>1202</v>
      </c>
      <c r="B649" t="s">
        <v>24</v>
      </c>
      <c r="C649" t="s">
        <v>5</v>
      </c>
      <c r="D649" t="s">
        <v>535</v>
      </c>
      <c r="E649" t="s">
        <v>994</v>
      </c>
      <c r="F649">
        <v>2011</v>
      </c>
      <c r="G649">
        <v>155.9</v>
      </c>
      <c r="H649">
        <v>5</v>
      </c>
      <c r="I649">
        <v>2</v>
      </c>
      <c r="J649">
        <v>34</v>
      </c>
      <c r="K649">
        <v>53</v>
      </c>
      <c r="L649" t="s">
        <v>979</v>
      </c>
      <c r="M649">
        <v>24.36036036036036</v>
      </c>
      <c r="N649">
        <v>114</v>
      </c>
      <c r="O649">
        <v>0</v>
      </c>
      <c r="P649">
        <v>21.3</v>
      </c>
      <c r="Q649">
        <v>91.61</v>
      </c>
      <c r="R649">
        <v>-3.06036036036036</v>
      </c>
      <c r="S649">
        <v>53</v>
      </c>
      <c r="T649">
        <v>3</v>
      </c>
      <c r="U649">
        <v>37.163636363636357</v>
      </c>
      <c r="V649">
        <v>303</v>
      </c>
      <c r="W649">
        <v>0</v>
      </c>
      <c r="X649">
        <v>28.189024390243901</v>
      </c>
      <c r="Y649">
        <v>121</v>
      </c>
      <c r="Z649">
        <v>0</v>
      </c>
      <c r="AA649">
        <v>116.45060975609761</v>
      </c>
      <c r="AB649">
        <v>274.39999999999998</v>
      </c>
      <c r="AC649">
        <v>0</v>
      </c>
      <c r="AD649">
        <v>47.472727272727283</v>
      </c>
      <c r="AE649">
        <v>171</v>
      </c>
      <c r="AF649">
        <v>0</v>
      </c>
      <c r="AG649">
        <v>81.038181818181826</v>
      </c>
      <c r="AH649">
        <v>175.4</v>
      </c>
      <c r="AI649">
        <v>0</v>
      </c>
      <c r="AL649">
        <v>209</v>
      </c>
      <c r="AM649">
        <v>77</v>
      </c>
      <c r="AN649">
        <v>286</v>
      </c>
      <c r="AO649">
        <v>12</v>
      </c>
      <c r="AP649">
        <v>42</v>
      </c>
    </row>
    <row r="650" spans="1:42" x14ac:dyDescent="0.3">
      <c r="A650" t="s">
        <v>1252</v>
      </c>
      <c r="B650" t="s">
        <v>15</v>
      </c>
      <c r="C650" t="s">
        <v>16</v>
      </c>
      <c r="D650" t="s">
        <v>103</v>
      </c>
      <c r="E650" t="s">
        <v>987</v>
      </c>
      <c r="F650">
        <v>2010</v>
      </c>
      <c r="G650">
        <v>91.7</v>
      </c>
      <c r="H650">
        <v>4</v>
      </c>
      <c r="I650">
        <v>1</v>
      </c>
      <c r="J650">
        <v>48</v>
      </c>
      <c r="K650">
        <v>44</v>
      </c>
      <c r="L650" t="s">
        <v>979</v>
      </c>
      <c r="M650">
        <v>24.18181818181818</v>
      </c>
      <c r="N650">
        <v>114</v>
      </c>
      <c r="O650">
        <v>0</v>
      </c>
      <c r="P650">
        <v>43.391304347826093</v>
      </c>
      <c r="Q650">
        <v>100.17391304347829</v>
      </c>
      <c r="R650">
        <v>19.209486166007899</v>
      </c>
      <c r="S650">
        <v>209</v>
      </c>
      <c r="T650">
        <v>0</v>
      </c>
      <c r="U650">
        <v>37.701754385964911</v>
      </c>
      <c r="V650">
        <v>147</v>
      </c>
      <c r="W650">
        <v>1</v>
      </c>
      <c r="X650">
        <v>42.251824817518248</v>
      </c>
      <c r="Y650">
        <v>264</v>
      </c>
      <c r="Z650">
        <v>0</v>
      </c>
      <c r="AA650">
        <v>77.646715328467153</v>
      </c>
      <c r="AB650">
        <v>200</v>
      </c>
      <c r="AC650">
        <v>0</v>
      </c>
      <c r="AD650">
        <v>40.825000000000003</v>
      </c>
      <c r="AE650">
        <v>208</v>
      </c>
      <c r="AF650">
        <v>1</v>
      </c>
      <c r="AG650">
        <v>90.646250000000009</v>
      </c>
      <c r="AH650">
        <v>274.39999999999998</v>
      </c>
      <c r="AI650">
        <v>15.4</v>
      </c>
      <c r="AL650">
        <v>205</v>
      </c>
      <c r="AM650">
        <v>76</v>
      </c>
      <c r="AN650">
        <v>281</v>
      </c>
      <c r="AO650">
        <v>9</v>
      </c>
      <c r="AP650">
        <v>92</v>
      </c>
    </row>
    <row r="651" spans="1:42" x14ac:dyDescent="0.3">
      <c r="A651" t="s">
        <v>1639</v>
      </c>
      <c r="B651" t="s">
        <v>115</v>
      </c>
      <c r="C651" t="s">
        <v>16</v>
      </c>
      <c r="D651" t="s">
        <v>568</v>
      </c>
      <c r="E651" t="s">
        <v>1021</v>
      </c>
      <c r="F651">
        <v>2010</v>
      </c>
      <c r="G651">
        <v>55.6</v>
      </c>
      <c r="H651">
        <v>0</v>
      </c>
      <c r="I651">
        <v>0</v>
      </c>
      <c r="J651">
        <v>9</v>
      </c>
      <c r="K651">
        <v>5</v>
      </c>
      <c r="L651" t="s">
        <v>1327</v>
      </c>
      <c r="M651">
        <v>24.35779816513762</v>
      </c>
      <c r="N651">
        <v>114</v>
      </c>
      <c r="O651">
        <v>0</v>
      </c>
      <c r="P651">
        <v>16.666666666666671</v>
      </c>
      <c r="Q651">
        <v>48.733333333333327</v>
      </c>
      <c r="R651">
        <v>-7.6911314984709476</v>
      </c>
      <c r="S651">
        <v>69</v>
      </c>
      <c r="T651">
        <v>0</v>
      </c>
      <c r="U651">
        <v>38.236842105263158</v>
      </c>
      <c r="V651">
        <v>264</v>
      </c>
      <c r="W651">
        <v>0</v>
      </c>
      <c r="X651">
        <v>42.251824817518248</v>
      </c>
      <c r="Y651">
        <v>264</v>
      </c>
      <c r="Z651">
        <v>0</v>
      </c>
      <c r="AA651">
        <v>77.646715328467153</v>
      </c>
      <c r="AB651">
        <v>200</v>
      </c>
      <c r="AC651">
        <v>0</v>
      </c>
      <c r="AD651">
        <v>37</v>
      </c>
      <c r="AE651">
        <v>124</v>
      </c>
      <c r="AF651">
        <v>0</v>
      </c>
      <c r="AG651">
        <v>84.736842105263165</v>
      </c>
      <c r="AH651">
        <v>221.4</v>
      </c>
      <c r="AI651">
        <v>0</v>
      </c>
      <c r="AL651">
        <v>205</v>
      </c>
      <c r="AM651">
        <v>76</v>
      </c>
      <c r="AN651">
        <v>281</v>
      </c>
      <c r="AO651">
        <v>19</v>
      </c>
      <c r="AP651">
        <v>92</v>
      </c>
    </row>
    <row r="652" spans="1:42" x14ac:dyDescent="0.3">
      <c r="A652" t="s">
        <v>1535</v>
      </c>
      <c r="B652" t="s">
        <v>115</v>
      </c>
      <c r="C652" t="s">
        <v>16</v>
      </c>
      <c r="D652" t="s">
        <v>568</v>
      </c>
      <c r="E652" t="s">
        <v>1021</v>
      </c>
      <c r="F652">
        <v>2010</v>
      </c>
      <c r="G652">
        <v>52.4</v>
      </c>
      <c r="H652">
        <v>2</v>
      </c>
      <c r="I652">
        <v>0</v>
      </c>
      <c r="J652">
        <v>21</v>
      </c>
      <c r="K652">
        <v>11</v>
      </c>
      <c r="L652" t="s">
        <v>1327</v>
      </c>
      <c r="M652">
        <v>24.481481481481481</v>
      </c>
      <c r="N652">
        <v>114</v>
      </c>
      <c r="O652">
        <v>0</v>
      </c>
      <c r="P652">
        <v>16.666666666666671</v>
      </c>
      <c r="Q652">
        <v>48.733333333333327</v>
      </c>
      <c r="R652">
        <v>-7.8148148148148131</v>
      </c>
      <c r="S652">
        <v>69</v>
      </c>
      <c r="T652">
        <v>0</v>
      </c>
      <c r="U652">
        <v>38.236842105263158</v>
      </c>
      <c r="V652">
        <v>264</v>
      </c>
      <c r="W652">
        <v>0</v>
      </c>
      <c r="X652">
        <v>42.251824817518248</v>
      </c>
      <c r="Y652">
        <v>264</v>
      </c>
      <c r="Z652">
        <v>0</v>
      </c>
      <c r="AA652">
        <v>77.646715328467153</v>
      </c>
      <c r="AB652">
        <v>200</v>
      </c>
      <c r="AC652">
        <v>0</v>
      </c>
      <c r="AD652">
        <v>37</v>
      </c>
      <c r="AE652">
        <v>124</v>
      </c>
      <c r="AF652">
        <v>0</v>
      </c>
      <c r="AG652">
        <v>84.736842105263165</v>
      </c>
      <c r="AH652">
        <v>221.4</v>
      </c>
      <c r="AI652">
        <v>0</v>
      </c>
      <c r="AL652">
        <v>203</v>
      </c>
      <c r="AM652">
        <v>76</v>
      </c>
      <c r="AN652">
        <v>279</v>
      </c>
      <c r="AO652">
        <v>17</v>
      </c>
      <c r="AP652">
        <v>90</v>
      </c>
    </row>
    <row r="653" spans="1:42" x14ac:dyDescent="0.3">
      <c r="A653" t="s">
        <v>1762</v>
      </c>
      <c r="B653" t="s">
        <v>115</v>
      </c>
      <c r="C653" t="s">
        <v>16</v>
      </c>
      <c r="D653" t="s">
        <v>568</v>
      </c>
      <c r="E653" t="s">
        <v>1021</v>
      </c>
      <c r="F653">
        <v>2010</v>
      </c>
      <c r="G653">
        <v>0</v>
      </c>
      <c r="H653">
        <v>0</v>
      </c>
      <c r="I653">
        <v>0</v>
      </c>
      <c r="J653">
        <v>2</v>
      </c>
      <c r="K653">
        <v>0</v>
      </c>
      <c r="L653" t="s">
        <v>1327</v>
      </c>
      <c r="M653">
        <v>24.710280373831779</v>
      </c>
      <c r="N653">
        <v>114</v>
      </c>
      <c r="O653">
        <v>0</v>
      </c>
      <c r="P653">
        <v>16.666666666666671</v>
      </c>
      <c r="Q653">
        <v>48.733333333333327</v>
      </c>
      <c r="R653">
        <v>-8.0436137071651075</v>
      </c>
      <c r="S653">
        <v>69</v>
      </c>
      <c r="T653">
        <v>0</v>
      </c>
      <c r="U653">
        <v>38.236842105263158</v>
      </c>
      <c r="V653">
        <v>264</v>
      </c>
      <c r="W653">
        <v>0</v>
      </c>
      <c r="X653">
        <v>42.251824817518248</v>
      </c>
      <c r="Y653">
        <v>264</v>
      </c>
      <c r="Z653">
        <v>0</v>
      </c>
      <c r="AA653">
        <v>77.646715328467153</v>
      </c>
      <c r="AB653">
        <v>200</v>
      </c>
      <c r="AC653">
        <v>0</v>
      </c>
      <c r="AD653">
        <v>37</v>
      </c>
      <c r="AE653">
        <v>124</v>
      </c>
      <c r="AF653">
        <v>0</v>
      </c>
      <c r="AG653">
        <v>84.736842105263165</v>
      </c>
      <c r="AH653">
        <v>221.4</v>
      </c>
      <c r="AI653">
        <v>0</v>
      </c>
      <c r="AL653">
        <v>203</v>
      </c>
      <c r="AM653">
        <v>76</v>
      </c>
      <c r="AN653">
        <v>279</v>
      </c>
      <c r="AO653">
        <v>17</v>
      </c>
      <c r="AP653">
        <v>90</v>
      </c>
    </row>
    <row r="654" spans="1:42" x14ac:dyDescent="0.3">
      <c r="A654" t="s">
        <v>1665</v>
      </c>
      <c r="B654" t="s">
        <v>15</v>
      </c>
      <c r="C654" t="s">
        <v>16</v>
      </c>
      <c r="D654" t="s">
        <v>568</v>
      </c>
      <c r="E654" t="s">
        <v>1021</v>
      </c>
      <c r="F654">
        <v>2010</v>
      </c>
      <c r="G654">
        <v>36.4</v>
      </c>
      <c r="H654">
        <v>0</v>
      </c>
      <c r="I654">
        <v>0</v>
      </c>
      <c r="J654">
        <v>11</v>
      </c>
      <c r="K654">
        <v>4</v>
      </c>
      <c r="L654" t="s">
        <v>1327</v>
      </c>
      <c r="M654">
        <v>24.90566037735849</v>
      </c>
      <c r="N654">
        <v>114</v>
      </c>
      <c r="O654">
        <v>0</v>
      </c>
      <c r="P654">
        <v>16.666666666666671</v>
      </c>
      <c r="Q654">
        <v>48.733333333333327</v>
      </c>
      <c r="R654">
        <v>-8.2389937106918225</v>
      </c>
      <c r="S654">
        <v>69</v>
      </c>
      <c r="T654">
        <v>0</v>
      </c>
      <c r="U654">
        <v>37.701754385964911</v>
      </c>
      <c r="V654">
        <v>147</v>
      </c>
      <c r="W654">
        <v>1</v>
      </c>
      <c r="X654">
        <v>42.251824817518248</v>
      </c>
      <c r="Y654">
        <v>264</v>
      </c>
      <c r="Z654">
        <v>0</v>
      </c>
      <c r="AA654">
        <v>77.646715328467153</v>
      </c>
      <c r="AB654">
        <v>200</v>
      </c>
      <c r="AC654">
        <v>0</v>
      </c>
      <c r="AD654">
        <v>37</v>
      </c>
      <c r="AE654">
        <v>124</v>
      </c>
      <c r="AF654">
        <v>0</v>
      </c>
      <c r="AG654">
        <v>84.736842105263165</v>
      </c>
      <c r="AH654">
        <v>221.4</v>
      </c>
      <c r="AI654">
        <v>0</v>
      </c>
      <c r="AL654">
        <v>203</v>
      </c>
      <c r="AM654">
        <v>76</v>
      </c>
      <c r="AN654">
        <v>279</v>
      </c>
      <c r="AO654">
        <v>17</v>
      </c>
      <c r="AP654">
        <v>90</v>
      </c>
    </row>
    <row r="655" spans="1:42" x14ac:dyDescent="0.3">
      <c r="A655" t="s">
        <v>1271</v>
      </c>
      <c r="B655" t="s">
        <v>115</v>
      </c>
      <c r="C655" t="s">
        <v>16</v>
      </c>
      <c r="D655" t="s">
        <v>568</v>
      </c>
      <c r="E655" t="s">
        <v>1007</v>
      </c>
      <c r="F655">
        <v>2010</v>
      </c>
      <c r="G655">
        <v>78.8</v>
      </c>
      <c r="H655">
        <v>3</v>
      </c>
      <c r="I655">
        <v>0</v>
      </c>
      <c r="J655">
        <v>52</v>
      </c>
      <c r="K655">
        <v>41</v>
      </c>
      <c r="L655" t="s">
        <v>979</v>
      </c>
      <c r="M655">
        <v>24.75238095238095</v>
      </c>
      <c r="N655">
        <v>114</v>
      </c>
      <c r="O655">
        <v>0</v>
      </c>
      <c r="P655">
        <v>16.666666666666671</v>
      </c>
      <c r="Q655">
        <v>48.733333333333327</v>
      </c>
      <c r="R655">
        <v>-8.0857142857142854</v>
      </c>
      <c r="S655">
        <v>69</v>
      </c>
      <c r="T655">
        <v>0</v>
      </c>
      <c r="U655">
        <v>38.236842105263158</v>
      </c>
      <c r="V655">
        <v>264</v>
      </c>
      <c r="W655">
        <v>0</v>
      </c>
      <c r="X655">
        <v>42.251824817518248</v>
      </c>
      <c r="Y655">
        <v>264</v>
      </c>
      <c r="Z655">
        <v>0</v>
      </c>
      <c r="AA655">
        <v>77.646715328467153</v>
      </c>
      <c r="AB655">
        <v>200</v>
      </c>
      <c r="AC655">
        <v>0</v>
      </c>
      <c r="AD655">
        <v>37.180327868852459</v>
      </c>
      <c r="AE655">
        <v>140</v>
      </c>
      <c r="AF655">
        <v>0</v>
      </c>
      <c r="AG655">
        <v>82.911475409836058</v>
      </c>
      <c r="AH655">
        <v>224.4</v>
      </c>
      <c r="AI655">
        <v>0</v>
      </c>
      <c r="AJ655">
        <v>91</v>
      </c>
      <c r="AK655">
        <v>93.1</v>
      </c>
      <c r="AL655">
        <v>200</v>
      </c>
      <c r="AM655">
        <v>76</v>
      </c>
      <c r="AN655">
        <v>276</v>
      </c>
      <c r="AO655">
        <v>14</v>
      </c>
      <c r="AP655">
        <v>87</v>
      </c>
    </row>
    <row r="656" spans="1:42" x14ac:dyDescent="0.3">
      <c r="A656" t="s">
        <v>1124</v>
      </c>
      <c r="B656" t="s">
        <v>115</v>
      </c>
      <c r="C656" t="s">
        <v>16</v>
      </c>
      <c r="D656" t="s">
        <v>568</v>
      </c>
      <c r="E656" t="s">
        <v>1007</v>
      </c>
      <c r="F656">
        <v>2010</v>
      </c>
      <c r="G656">
        <v>94.5</v>
      </c>
      <c r="H656">
        <v>7</v>
      </c>
      <c r="I656">
        <v>0</v>
      </c>
      <c r="J656">
        <v>73</v>
      </c>
      <c r="K656">
        <v>69</v>
      </c>
      <c r="L656" t="s">
        <v>979</v>
      </c>
      <c r="M656">
        <v>24.32692307692308</v>
      </c>
      <c r="N656">
        <v>114</v>
      </c>
      <c r="O656">
        <v>0</v>
      </c>
      <c r="P656">
        <v>16.666666666666671</v>
      </c>
      <c r="Q656">
        <v>48.733333333333327</v>
      </c>
      <c r="R656">
        <v>-7.6602564102564088</v>
      </c>
      <c r="S656">
        <v>69</v>
      </c>
      <c r="T656">
        <v>0</v>
      </c>
      <c r="U656">
        <v>38.236842105263158</v>
      </c>
      <c r="V656">
        <v>264</v>
      </c>
      <c r="W656">
        <v>0</v>
      </c>
      <c r="X656">
        <v>42.251824817518248</v>
      </c>
      <c r="Y656">
        <v>264</v>
      </c>
      <c r="Z656">
        <v>0</v>
      </c>
      <c r="AA656">
        <v>77.646715328467153</v>
      </c>
      <c r="AB656">
        <v>200</v>
      </c>
      <c r="AC656">
        <v>0</v>
      </c>
      <c r="AD656">
        <v>37.180327868852459</v>
      </c>
      <c r="AE656">
        <v>140</v>
      </c>
      <c r="AF656">
        <v>0</v>
      </c>
      <c r="AG656">
        <v>82.911475409836058</v>
      </c>
      <c r="AH656">
        <v>224.4</v>
      </c>
      <c r="AI656">
        <v>0</v>
      </c>
      <c r="AJ656">
        <v>22</v>
      </c>
      <c r="AK656">
        <v>91.7</v>
      </c>
      <c r="AL656">
        <v>193</v>
      </c>
      <c r="AM656">
        <v>76</v>
      </c>
      <c r="AN656">
        <v>269</v>
      </c>
      <c r="AO656">
        <v>7</v>
      </c>
      <c r="AP656">
        <v>80</v>
      </c>
    </row>
    <row r="657" spans="1:42" x14ac:dyDescent="0.3">
      <c r="A657" t="s">
        <v>1398</v>
      </c>
      <c r="B657" t="s">
        <v>71</v>
      </c>
      <c r="C657" t="s">
        <v>16</v>
      </c>
      <c r="D657" t="s">
        <v>568</v>
      </c>
      <c r="E657" t="s">
        <v>1007</v>
      </c>
      <c r="F657">
        <v>2010</v>
      </c>
      <c r="G657">
        <v>91.7</v>
      </c>
      <c r="H657">
        <v>2</v>
      </c>
      <c r="I657">
        <v>0</v>
      </c>
      <c r="J657">
        <v>24</v>
      </c>
      <c r="K657">
        <v>22</v>
      </c>
      <c r="L657" t="s">
        <v>1327</v>
      </c>
      <c r="M657">
        <v>24.349514563106801</v>
      </c>
      <c r="N657">
        <v>114</v>
      </c>
      <c r="O657">
        <v>0</v>
      </c>
      <c r="P657">
        <v>16.666666666666671</v>
      </c>
      <c r="Q657">
        <v>48.733333333333327</v>
      </c>
      <c r="R657">
        <v>-7.6828478964401299</v>
      </c>
      <c r="S657">
        <v>69</v>
      </c>
      <c r="T657">
        <v>0</v>
      </c>
      <c r="U657">
        <v>33.333333333333343</v>
      </c>
      <c r="V657">
        <v>140</v>
      </c>
      <c r="W657">
        <v>0</v>
      </c>
      <c r="X657">
        <v>42.251824817518248</v>
      </c>
      <c r="Y657">
        <v>264</v>
      </c>
      <c r="Z657">
        <v>0</v>
      </c>
      <c r="AA657">
        <v>77.646715328467153</v>
      </c>
      <c r="AB657">
        <v>200</v>
      </c>
      <c r="AC657">
        <v>0</v>
      </c>
      <c r="AD657">
        <v>37.180327868852459</v>
      </c>
      <c r="AE657">
        <v>140</v>
      </c>
      <c r="AF657">
        <v>0</v>
      </c>
      <c r="AG657">
        <v>82.911475409836058</v>
      </c>
      <c r="AH657">
        <v>224.4</v>
      </c>
      <c r="AI657">
        <v>0</v>
      </c>
      <c r="AJ657">
        <v>0</v>
      </c>
      <c r="AK657">
        <v>0</v>
      </c>
      <c r="AL657">
        <v>191</v>
      </c>
      <c r="AM657">
        <v>76</v>
      </c>
      <c r="AN657">
        <v>267</v>
      </c>
      <c r="AO657">
        <v>5</v>
      </c>
      <c r="AP657">
        <v>78</v>
      </c>
    </row>
    <row r="658" spans="1:42" x14ac:dyDescent="0.3">
      <c r="A658" t="s">
        <v>1763</v>
      </c>
      <c r="B658" t="s">
        <v>73</v>
      </c>
      <c r="C658" t="s">
        <v>16</v>
      </c>
      <c r="D658" t="s">
        <v>568</v>
      </c>
      <c r="E658" t="s">
        <v>1007</v>
      </c>
      <c r="F658">
        <v>2010</v>
      </c>
      <c r="G658">
        <v>0</v>
      </c>
      <c r="H658">
        <v>0</v>
      </c>
      <c r="I658">
        <v>0</v>
      </c>
      <c r="J658">
        <v>1</v>
      </c>
      <c r="K658">
        <v>0</v>
      </c>
      <c r="L658" t="s">
        <v>1327</v>
      </c>
      <c r="M658">
        <v>24.588235294117649</v>
      </c>
      <c r="N658">
        <v>114</v>
      </c>
      <c r="O658">
        <v>0</v>
      </c>
      <c r="P658">
        <v>16.666666666666671</v>
      </c>
      <c r="Q658">
        <v>48.733333333333327</v>
      </c>
      <c r="R658">
        <v>-7.9215686274509807</v>
      </c>
      <c r="S658">
        <v>69</v>
      </c>
      <c r="T658">
        <v>0</v>
      </c>
      <c r="U658">
        <v>38.228571428571428</v>
      </c>
      <c r="V658">
        <v>137</v>
      </c>
      <c r="W658">
        <v>0</v>
      </c>
      <c r="X658">
        <v>42.251824817518248</v>
      </c>
      <c r="Y658">
        <v>264</v>
      </c>
      <c r="Z658">
        <v>0</v>
      </c>
      <c r="AA658">
        <v>77.646715328467153</v>
      </c>
      <c r="AB658">
        <v>200</v>
      </c>
      <c r="AC658">
        <v>0</v>
      </c>
      <c r="AD658">
        <v>37.180327868852459</v>
      </c>
      <c r="AE658">
        <v>140</v>
      </c>
      <c r="AF658">
        <v>0</v>
      </c>
      <c r="AG658">
        <v>82.911475409836058</v>
      </c>
      <c r="AH658">
        <v>224.4</v>
      </c>
      <c r="AI658">
        <v>0</v>
      </c>
      <c r="AJ658">
        <v>10</v>
      </c>
      <c r="AK658">
        <v>66.7</v>
      </c>
      <c r="AL658">
        <v>191</v>
      </c>
      <c r="AM658">
        <v>76</v>
      </c>
      <c r="AN658">
        <v>267</v>
      </c>
      <c r="AO658">
        <v>5</v>
      </c>
      <c r="AP658">
        <v>78</v>
      </c>
    </row>
    <row r="659" spans="1:42" x14ac:dyDescent="0.3">
      <c r="A659" t="s">
        <v>1551</v>
      </c>
      <c r="B659" t="s">
        <v>264</v>
      </c>
      <c r="C659" t="s">
        <v>5</v>
      </c>
      <c r="D659" t="s">
        <v>763</v>
      </c>
      <c r="E659" t="s">
        <v>1007</v>
      </c>
      <c r="F659">
        <v>2010</v>
      </c>
      <c r="G659">
        <v>66.7</v>
      </c>
      <c r="H659">
        <v>1</v>
      </c>
      <c r="I659">
        <v>0</v>
      </c>
      <c r="J659">
        <v>15</v>
      </c>
      <c r="K659">
        <v>10</v>
      </c>
      <c r="L659" t="s">
        <v>1327</v>
      </c>
      <c r="M659">
        <v>24.732673267326732</v>
      </c>
      <c r="N659">
        <v>114</v>
      </c>
      <c r="O659">
        <v>0</v>
      </c>
      <c r="P659">
        <v>15</v>
      </c>
      <c r="Q659">
        <v>54.95</v>
      </c>
      <c r="R659">
        <v>-9.7326732673267315</v>
      </c>
      <c r="S659">
        <v>32</v>
      </c>
      <c r="T659">
        <v>1</v>
      </c>
      <c r="U659">
        <v>31.5</v>
      </c>
      <c r="V659">
        <v>114</v>
      </c>
      <c r="W659">
        <v>1</v>
      </c>
      <c r="X659">
        <v>28.189024390243901</v>
      </c>
      <c r="Y659">
        <v>121</v>
      </c>
      <c r="Z659">
        <v>0</v>
      </c>
      <c r="AA659">
        <v>116.45060975609761</v>
      </c>
      <c r="AB659">
        <v>274.39999999999998</v>
      </c>
      <c r="AC659">
        <v>0</v>
      </c>
      <c r="AD659">
        <v>37.180327868852459</v>
      </c>
      <c r="AE659">
        <v>140</v>
      </c>
      <c r="AF659">
        <v>0</v>
      </c>
      <c r="AG659">
        <v>82.911475409836058</v>
      </c>
      <c r="AH659">
        <v>224.4</v>
      </c>
      <c r="AI659">
        <v>0</v>
      </c>
      <c r="AL659">
        <v>190</v>
      </c>
      <c r="AM659">
        <v>76</v>
      </c>
      <c r="AN659">
        <v>266</v>
      </c>
      <c r="AO659">
        <v>1</v>
      </c>
      <c r="AP659">
        <v>41</v>
      </c>
    </row>
    <row r="660" spans="1:42" x14ac:dyDescent="0.3">
      <c r="A660" t="s">
        <v>1318</v>
      </c>
      <c r="B660" t="s">
        <v>115</v>
      </c>
      <c r="C660" t="s">
        <v>16</v>
      </c>
      <c r="D660" t="s">
        <v>763</v>
      </c>
      <c r="E660" t="s">
        <v>1007</v>
      </c>
      <c r="F660">
        <v>2010</v>
      </c>
      <c r="G660">
        <v>80</v>
      </c>
      <c r="H660">
        <v>1</v>
      </c>
      <c r="I660">
        <v>0</v>
      </c>
      <c r="J660">
        <v>40</v>
      </c>
      <c r="K660">
        <v>32</v>
      </c>
      <c r="L660" t="s">
        <v>979</v>
      </c>
      <c r="M660">
        <v>24.66</v>
      </c>
      <c r="N660">
        <v>114</v>
      </c>
      <c r="O660">
        <v>0</v>
      </c>
      <c r="P660">
        <v>15</v>
      </c>
      <c r="Q660">
        <v>54.95</v>
      </c>
      <c r="R660">
        <v>-9.66</v>
      </c>
      <c r="S660">
        <v>32</v>
      </c>
      <c r="T660">
        <v>1</v>
      </c>
      <c r="U660">
        <v>38.236842105263158</v>
      </c>
      <c r="V660">
        <v>264</v>
      </c>
      <c r="W660">
        <v>0</v>
      </c>
      <c r="X660">
        <v>42.251824817518248</v>
      </c>
      <c r="Y660">
        <v>264</v>
      </c>
      <c r="Z660">
        <v>0</v>
      </c>
      <c r="AA660">
        <v>77.646715328467153</v>
      </c>
      <c r="AB660">
        <v>200</v>
      </c>
      <c r="AC660">
        <v>0</v>
      </c>
      <c r="AD660">
        <v>37.180327868852459</v>
      </c>
      <c r="AE660">
        <v>140</v>
      </c>
      <c r="AF660">
        <v>0</v>
      </c>
      <c r="AG660">
        <v>82.911475409836058</v>
      </c>
      <c r="AH660">
        <v>224.4</v>
      </c>
      <c r="AI660">
        <v>0</v>
      </c>
      <c r="AJ660">
        <v>13</v>
      </c>
      <c r="AK660">
        <v>52</v>
      </c>
      <c r="AL660">
        <v>189</v>
      </c>
      <c r="AM660">
        <v>76</v>
      </c>
      <c r="AN660">
        <v>265</v>
      </c>
      <c r="AO660">
        <v>0</v>
      </c>
      <c r="AP660">
        <v>77</v>
      </c>
    </row>
    <row r="661" spans="1:42" x14ac:dyDescent="0.3">
      <c r="A661" t="s">
        <v>1499</v>
      </c>
      <c r="B661" t="s">
        <v>264</v>
      </c>
      <c r="C661" t="s">
        <v>16</v>
      </c>
      <c r="D661" t="s">
        <v>763</v>
      </c>
      <c r="E661" t="s">
        <v>1007</v>
      </c>
      <c r="F661">
        <v>2010</v>
      </c>
      <c r="G661">
        <v>52</v>
      </c>
      <c r="H661">
        <v>0</v>
      </c>
      <c r="I661">
        <v>0</v>
      </c>
      <c r="J661">
        <v>25</v>
      </c>
      <c r="K661">
        <v>13</v>
      </c>
      <c r="L661" t="s">
        <v>1327</v>
      </c>
      <c r="M661">
        <v>24.777777777777779</v>
      </c>
      <c r="N661">
        <v>114</v>
      </c>
      <c r="O661">
        <v>0</v>
      </c>
      <c r="P661">
        <v>15</v>
      </c>
      <c r="Q661">
        <v>54.95</v>
      </c>
      <c r="R661">
        <v>-9.7777777777777786</v>
      </c>
      <c r="S661">
        <v>32</v>
      </c>
      <c r="T661">
        <v>1</v>
      </c>
      <c r="U661">
        <v>31.5</v>
      </c>
      <c r="V661">
        <v>114</v>
      </c>
      <c r="W661">
        <v>1</v>
      </c>
      <c r="X661">
        <v>42.251824817518248</v>
      </c>
      <c r="Y661">
        <v>264</v>
      </c>
      <c r="Z661">
        <v>0</v>
      </c>
      <c r="AA661">
        <v>77.646715328467153</v>
      </c>
      <c r="AB661">
        <v>200</v>
      </c>
      <c r="AC661">
        <v>0</v>
      </c>
      <c r="AD661">
        <v>37.180327868852459</v>
      </c>
      <c r="AE661">
        <v>140</v>
      </c>
      <c r="AF661">
        <v>0</v>
      </c>
      <c r="AG661">
        <v>82.911475409836058</v>
      </c>
      <c r="AH661">
        <v>224.4</v>
      </c>
      <c r="AI661">
        <v>0</v>
      </c>
      <c r="AJ661">
        <v>101</v>
      </c>
      <c r="AK661">
        <v>101</v>
      </c>
      <c r="AL661">
        <v>189</v>
      </c>
      <c r="AM661">
        <v>76</v>
      </c>
      <c r="AN661">
        <v>265</v>
      </c>
      <c r="AP661">
        <v>77</v>
      </c>
    </row>
    <row r="662" spans="1:42" x14ac:dyDescent="0.3">
      <c r="A662" t="s">
        <v>1058</v>
      </c>
      <c r="B662" t="s">
        <v>115</v>
      </c>
      <c r="C662" t="s">
        <v>16</v>
      </c>
      <c r="D662" t="s">
        <v>761</v>
      </c>
      <c r="E662" t="s">
        <v>1036</v>
      </c>
      <c r="F662">
        <v>2010</v>
      </c>
      <c r="G662">
        <v>101</v>
      </c>
      <c r="H662">
        <v>6</v>
      </c>
      <c r="I662">
        <v>2</v>
      </c>
      <c r="J662">
        <v>100</v>
      </c>
      <c r="K662">
        <v>101</v>
      </c>
      <c r="L662" t="s">
        <v>979</v>
      </c>
      <c r="M662">
        <v>24</v>
      </c>
      <c r="N662">
        <v>114</v>
      </c>
      <c r="O662">
        <v>0</v>
      </c>
      <c r="P662">
        <v>93</v>
      </c>
      <c r="Q662">
        <v>89.3</v>
      </c>
      <c r="R662">
        <v>69</v>
      </c>
      <c r="S662">
        <v>114</v>
      </c>
      <c r="T662">
        <v>64</v>
      </c>
      <c r="U662">
        <v>38.236842105263158</v>
      </c>
      <c r="V662">
        <v>264</v>
      </c>
      <c r="W662">
        <v>0</v>
      </c>
      <c r="X662">
        <v>42.251824817518248</v>
      </c>
      <c r="Y662">
        <v>264</v>
      </c>
      <c r="Z662">
        <v>0</v>
      </c>
      <c r="AA662">
        <v>77.646715328467153</v>
      </c>
      <c r="AB662">
        <v>200</v>
      </c>
      <c r="AC662">
        <v>0</v>
      </c>
      <c r="AD662">
        <v>26.732758620689651</v>
      </c>
      <c r="AE662">
        <v>114</v>
      </c>
      <c r="AF662">
        <v>0</v>
      </c>
      <c r="AG662">
        <v>115.31896551724139</v>
      </c>
      <c r="AH662">
        <v>350</v>
      </c>
      <c r="AI662">
        <v>0</v>
      </c>
      <c r="AJ662">
        <v>114</v>
      </c>
      <c r="AK662">
        <v>95.8</v>
      </c>
      <c r="AL662">
        <v>183</v>
      </c>
      <c r="AM662">
        <v>74</v>
      </c>
      <c r="AN662">
        <v>257</v>
      </c>
      <c r="AO662">
        <v>10</v>
      </c>
      <c r="AP662">
        <v>69</v>
      </c>
    </row>
    <row r="663" spans="1:42" x14ac:dyDescent="0.3">
      <c r="A663" t="s">
        <v>1035</v>
      </c>
      <c r="B663" t="s">
        <v>264</v>
      </c>
      <c r="C663" t="s">
        <v>16</v>
      </c>
      <c r="D663" t="s">
        <v>761</v>
      </c>
      <c r="E663" t="s">
        <v>1036</v>
      </c>
      <c r="F663">
        <v>2010</v>
      </c>
      <c r="G663">
        <v>95.8</v>
      </c>
      <c r="H663">
        <v>6</v>
      </c>
      <c r="I663">
        <v>4</v>
      </c>
      <c r="J663">
        <v>119</v>
      </c>
      <c r="K663">
        <v>114</v>
      </c>
      <c r="L663" t="s">
        <v>979</v>
      </c>
      <c r="M663">
        <v>23.072164948453612</v>
      </c>
      <c r="N663">
        <v>79</v>
      </c>
      <c r="O663">
        <v>0</v>
      </c>
      <c r="P663">
        <v>93</v>
      </c>
      <c r="Q663">
        <v>89.3</v>
      </c>
      <c r="R663">
        <v>69.927835051546396</v>
      </c>
      <c r="S663">
        <v>114</v>
      </c>
      <c r="T663">
        <v>64</v>
      </c>
      <c r="U663">
        <v>31.5</v>
      </c>
      <c r="V663">
        <v>114</v>
      </c>
      <c r="W663">
        <v>1</v>
      </c>
      <c r="X663">
        <v>42.251824817518248</v>
      </c>
      <c r="Y663">
        <v>264</v>
      </c>
      <c r="Z663">
        <v>0</v>
      </c>
      <c r="AA663">
        <v>77.646715328467153</v>
      </c>
      <c r="AB663">
        <v>200</v>
      </c>
      <c r="AC663">
        <v>0</v>
      </c>
      <c r="AD663">
        <v>26.732758620689651</v>
      </c>
      <c r="AE663">
        <v>114</v>
      </c>
      <c r="AF663">
        <v>0</v>
      </c>
      <c r="AG663">
        <v>115.31896551724139</v>
      </c>
      <c r="AH663">
        <v>350</v>
      </c>
      <c r="AI663">
        <v>0</v>
      </c>
      <c r="AL663">
        <v>177</v>
      </c>
      <c r="AM663">
        <v>70</v>
      </c>
      <c r="AN663">
        <v>247</v>
      </c>
      <c r="AP663">
        <v>59</v>
      </c>
    </row>
    <row r="664" spans="1:42" x14ac:dyDescent="0.3">
      <c r="A664" t="s">
        <v>1640</v>
      </c>
      <c r="B664" t="s">
        <v>208</v>
      </c>
      <c r="C664" t="s">
        <v>5</v>
      </c>
      <c r="D664" t="s">
        <v>122</v>
      </c>
      <c r="E664" t="s">
        <v>1036</v>
      </c>
      <c r="F664">
        <v>2010</v>
      </c>
      <c r="G664">
        <v>62.5</v>
      </c>
      <c r="H664">
        <v>1</v>
      </c>
      <c r="I664">
        <v>0</v>
      </c>
      <c r="J664">
        <v>8</v>
      </c>
      <c r="K664">
        <v>5</v>
      </c>
      <c r="L664" t="s">
        <v>1327</v>
      </c>
      <c r="M664">
        <v>23.260416666666671</v>
      </c>
      <c r="N664">
        <v>79</v>
      </c>
      <c r="O664">
        <v>0</v>
      </c>
      <c r="P664">
        <v>22.6</v>
      </c>
      <c r="Q664">
        <v>107.78</v>
      </c>
      <c r="R664">
        <v>-0.66041666666666643</v>
      </c>
      <c r="S664">
        <v>79</v>
      </c>
      <c r="T664">
        <v>5</v>
      </c>
      <c r="U664">
        <v>47.081967213114751</v>
      </c>
      <c r="V664">
        <v>177</v>
      </c>
      <c r="W664">
        <v>0</v>
      </c>
      <c r="X664">
        <v>28.189024390243901</v>
      </c>
      <c r="Y664">
        <v>121</v>
      </c>
      <c r="Z664">
        <v>0</v>
      </c>
      <c r="AA664">
        <v>116.45060975609761</v>
      </c>
      <c r="AB664">
        <v>274.39999999999998</v>
      </c>
      <c r="AC664">
        <v>0</v>
      </c>
      <c r="AD664">
        <v>26.732758620689651</v>
      </c>
      <c r="AE664">
        <v>114</v>
      </c>
      <c r="AF664">
        <v>0</v>
      </c>
      <c r="AG664">
        <v>115.31896551724139</v>
      </c>
      <c r="AH664">
        <v>350</v>
      </c>
      <c r="AI664">
        <v>0</v>
      </c>
      <c r="AJ664">
        <v>79</v>
      </c>
      <c r="AK664">
        <v>171.7</v>
      </c>
      <c r="AL664">
        <v>176</v>
      </c>
      <c r="AM664">
        <v>70</v>
      </c>
      <c r="AN664">
        <v>246</v>
      </c>
      <c r="AO664">
        <v>10</v>
      </c>
      <c r="AP664">
        <v>40</v>
      </c>
    </row>
    <row r="665" spans="1:42" x14ac:dyDescent="0.3">
      <c r="A665" t="s">
        <v>1094</v>
      </c>
      <c r="B665" t="s">
        <v>32</v>
      </c>
      <c r="C665" t="s">
        <v>5</v>
      </c>
      <c r="D665" t="s">
        <v>122</v>
      </c>
      <c r="E665" t="s">
        <v>1036</v>
      </c>
      <c r="F665">
        <v>2010</v>
      </c>
      <c r="G665">
        <v>171.7</v>
      </c>
      <c r="H665">
        <v>4</v>
      </c>
      <c r="I665">
        <v>6</v>
      </c>
      <c r="J665">
        <v>46</v>
      </c>
      <c r="K665">
        <v>79</v>
      </c>
      <c r="L665" t="s">
        <v>979</v>
      </c>
      <c r="M665">
        <v>22.673684210526311</v>
      </c>
      <c r="N665">
        <v>76</v>
      </c>
      <c r="O665">
        <v>0</v>
      </c>
      <c r="P665">
        <v>22.6</v>
      </c>
      <c r="Q665">
        <v>107.78</v>
      </c>
      <c r="R665">
        <v>-7.368421052631291E-2</v>
      </c>
      <c r="S665">
        <v>79</v>
      </c>
      <c r="T665">
        <v>5</v>
      </c>
      <c r="U665">
        <v>44.710843373493979</v>
      </c>
      <c r="V665">
        <v>209</v>
      </c>
      <c r="W665">
        <v>0</v>
      </c>
      <c r="X665">
        <v>28.189024390243901</v>
      </c>
      <c r="Y665">
        <v>121</v>
      </c>
      <c r="Z665">
        <v>0</v>
      </c>
      <c r="AA665">
        <v>116.45060975609761</v>
      </c>
      <c r="AB665">
        <v>274.39999999999998</v>
      </c>
      <c r="AC665">
        <v>0</v>
      </c>
      <c r="AD665">
        <v>26.732758620689651</v>
      </c>
      <c r="AE665">
        <v>114</v>
      </c>
      <c r="AF665">
        <v>0</v>
      </c>
      <c r="AG665">
        <v>115.31896551724139</v>
      </c>
      <c r="AH665">
        <v>350</v>
      </c>
      <c r="AI665">
        <v>0</v>
      </c>
      <c r="AL665">
        <v>172</v>
      </c>
      <c r="AM665">
        <v>64</v>
      </c>
      <c r="AN665">
        <v>236</v>
      </c>
      <c r="AP665">
        <v>30</v>
      </c>
    </row>
    <row r="666" spans="1:42" x14ac:dyDescent="0.3">
      <c r="A666" t="s">
        <v>1764</v>
      </c>
      <c r="B666" t="s">
        <v>60</v>
      </c>
      <c r="C666" t="s">
        <v>1043</v>
      </c>
      <c r="D666" t="s">
        <v>300</v>
      </c>
      <c r="E666" t="s">
        <v>1047</v>
      </c>
      <c r="F666">
        <v>2010</v>
      </c>
      <c r="G666">
        <v>0</v>
      </c>
      <c r="H666">
        <v>0</v>
      </c>
      <c r="I666">
        <v>0</v>
      </c>
      <c r="J666">
        <v>4</v>
      </c>
      <c r="K666">
        <v>0</v>
      </c>
      <c r="L666" t="s">
        <v>1327</v>
      </c>
      <c r="M666">
        <v>22.914893617021281</v>
      </c>
      <c r="N666">
        <v>76</v>
      </c>
      <c r="O666">
        <v>0</v>
      </c>
      <c r="P666">
        <v>9.5555555555555554</v>
      </c>
      <c r="Q666">
        <v>71.36666666666666</v>
      </c>
      <c r="R666">
        <v>-13.359338061465721</v>
      </c>
      <c r="S666">
        <v>45</v>
      </c>
      <c r="T666">
        <v>0</v>
      </c>
      <c r="U666">
        <v>25.96875</v>
      </c>
      <c r="V666">
        <v>94</v>
      </c>
      <c r="W666">
        <v>0</v>
      </c>
      <c r="X666">
        <v>26.556862745098041</v>
      </c>
      <c r="Y666">
        <v>109</v>
      </c>
      <c r="Z666">
        <v>0</v>
      </c>
      <c r="AA666">
        <v>114.6301960784314</v>
      </c>
      <c r="AB666">
        <v>350</v>
      </c>
      <c r="AC666">
        <v>0</v>
      </c>
      <c r="AD666">
        <v>27.9758064516129</v>
      </c>
      <c r="AE666">
        <v>105</v>
      </c>
      <c r="AF666">
        <v>0</v>
      </c>
      <c r="AG666">
        <v>110.46935483870971</v>
      </c>
      <c r="AH666">
        <v>280</v>
      </c>
      <c r="AI666">
        <v>0</v>
      </c>
      <c r="AJ666">
        <v>2</v>
      </c>
      <c r="AK666">
        <v>40</v>
      </c>
      <c r="AL666">
        <v>172</v>
      </c>
      <c r="AM666">
        <v>64</v>
      </c>
      <c r="AN666">
        <v>236</v>
      </c>
      <c r="AO666">
        <v>7</v>
      </c>
      <c r="AP666">
        <v>147</v>
      </c>
    </row>
    <row r="667" spans="1:42" x14ac:dyDescent="0.3">
      <c r="A667" t="s">
        <v>1700</v>
      </c>
      <c r="B667" t="s">
        <v>56</v>
      </c>
      <c r="C667" t="s">
        <v>1043</v>
      </c>
      <c r="D667" t="s">
        <v>300</v>
      </c>
      <c r="E667" t="s">
        <v>1047</v>
      </c>
      <c r="F667">
        <v>2010</v>
      </c>
      <c r="G667">
        <v>40</v>
      </c>
      <c r="H667">
        <v>0</v>
      </c>
      <c r="I667">
        <v>0</v>
      </c>
      <c r="J667">
        <v>5</v>
      </c>
      <c r="K667">
        <v>2</v>
      </c>
      <c r="L667" t="s">
        <v>1327</v>
      </c>
      <c r="M667">
        <v>23.13978494623656</v>
      </c>
      <c r="N667">
        <v>76</v>
      </c>
      <c r="O667">
        <v>0</v>
      </c>
      <c r="P667">
        <v>9.5555555555555554</v>
      </c>
      <c r="Q667">
        <v>71.36666666666666</v>
      </c>
      <c r="R667">
        <v>-13.584229390680999</v>
      </c>
      <c r="S667">
        <v>45</v>
      </c>
      <c r="T667">
        <v>0</v>
      </c>
      <c r="U667">
        <v>25.6</v>
      </c>
      <c r="V667">
        <v>105</v>
      </c>
      <c r="W667">
        <v>0</v>
      </c>
      <c r="X667">
        <v>26.556862745098041</v>
      </c>
      <c r="Y667">
        <v>109</v>
      </c>
      <c r="Z667">
        <v>0</v>
      </c>
      <c r="AA667">
        <v>114.6301960784314</v>
      </c>
      <c r="AB667">
        <v>350</v>
      </c>
      <c r="AC667">
        <v>0</v>
      </c>
      <c r="AD667">
        <v>27.9758064516129</v>
      </c>
      <c r="AE667">
        <v>105</v>
      </c>
      <c r="AF667">
        <v>0</v>
      </c>
      <c r="AG667">
        <v>110.46935483870971</v>
      </c>
      <c r="AH667">
        <v>280</v>
      </c>
      <c r="AI667">
        <v>0</v>
      </c>
      <c r="AJ667">
        <v>11</v>
      </c>
      <c r="AK667">
        <v>122.2</v>
      </c>
      <c r="AL667">
        <v>172</v>
      </c>
      <c r="AM667">
        <v>64</v>
      </c>
      <c r="AN667">
        <v>236</v>
      </c>
      <c r="AO667">
        <v>7</v>
      </c>
      <c r="AP667">
        <v>147</v>
      </c>
    </row>
    <row r="668" spans="1:42" x14ac:dyDescent="0.3">
      <c r="A668" t="s">
        <v>1536</v>
      </c>
      <c r="B668" t="s">
        <v>8</v>
      </c>
      <c r="C668" t="s">
        <v>1043</v>
      </c>
      <c r="D668" t="s">
        <v>9</v>
      </c>
      <c r="E668" t="s">
        <v>1047</v>
      </c>
      <c r="F668">
        <v>2010</v>
      </c>
      <c r="G668">
        <v>122.2</v>
      </c>
      <c r="H668">
        <v>2</v>
      </c>
      <c r="I668">
        <v>0</v>
      </c>
      <c r="J668">
        <v>9</v>
      </c>
      <c r="K668">
        <v>11</v>
      </c>
      <c r="L668" t="s">
        <v>1327</v>
      </c>
      <c r="M668">
        <v>23.271739130434781</v>
      </c>
      <c r="N668">
        <v>76</v>
      </c>
      <c r="O668">
        <v>0</v>
      </c>
      <c r="P668">
        <v>38.36</v>
      </c>
      <c r="Q668">
        <v>122.748</v>
      </c>
      <c r="R668">
        <v>15.08826086956522</v>
      </c>
      <c r="S668">
        <v>131</v>
      </c>
      <c r="T668">
        <v>1</v>
      </c>
      <c r="U668">
        <v>28.567567567567568</v>
      </c>
      <c r="V668">
        <v>74</v>
      </c>
      <c r="W668">
        <v>0</v>
      </c>
      <c r="X668">
        <v>26.556862745098041</v>
      </c>
      <c r="Y668">
        <v>109</v>
      </c>
      <c r="Z668">
        <v>0</v>
      </c>
      <c r="AA668">
        <v>114.6301960784314</v>
      </c>
      <c r="AB668">
        <v>350</v>
      </c>
      <c r="AC668">
        <v>0</v>
      </c>
      <c r="AD668">
        <v>27.9758064516129</v>
      </c>
      <c r="AE668">
        <v>105</v>
      </c>
      <c r="AF668">
        <v>0</v>
      </c>
      <c r="AG668">
        <v>110.46935483870971</v>
      </c>
      <c r="AH668">
        <v>280</v>
      </c>
      <c r="AI668">
        <v>0</v>
      </c>
      <c r="AJ668">
        <v>68</v>
      </c>
      <c r="AK668">
        <v>178.9</v>
      </c>
      <c r="AL668">
        <v>170</v>
      </c>
      <c r="AM668">
        <v>64</v>
      </c>
      <c r="AN668">
        <v>234</v>
      </c>
      <c r="AO668">
        <v>5</v>
      </c>
      <c r="AP668">
        <v>145</v>
      </c>
    </row>
    <row r="669" spans="1:42" x14ac:dyDescent="0.3">
      <c r="A669" t="s">
        <v>1131</v>
      </c>
      <c r="B669" t="s">
        <v>40</v>
      </c>
      <c r="C669" t="s">
        <v>1043</v>
      </c>
      <c r="D669" t="s">
        <v>154</v>
      </c>
      <c r="E669" t="s">
        <v>1047</v>
      </c>
      <c r="F669">
        <v>2010</v>
      </c>
      <c r="G669">
        <v>178.9</v>
      </c>
      <c r="H669">
        <v>6</v>
      </c>
      <c r="I669">
        <v>3</v>
      </c>
      <c r="J669">
        <v>38</v>
      </c>
      <c r="K669">
        <v>68</v>
      </c>
      <c r="L669" t="s">
        <v>979</v>
      </c>
      <c r="M669">
        <v>22.780219780219781</v>
      </c>
      <c r="N669">
        <v>76</v>
      </c>
      <c r="O669">
        <v>0</v>
      </c>
      <c r="P669">
        <v>37.4</v>
      </c>
      <c r="Q669">
        <v>83.72</v>
      </c>
      <c r="R669">
        <v>14.619780219780219</v>
      </c>
      <c r="S669">
        <v>106</v>
      </c>
      <c r="T669">
        <v>1</v>
      </c>
      <c r="U669">
        <v>28.12903225806452</v>
      </c>
      <c r="V669">
        <v>79</v>
      </c>
      <c r="W669">
        <v>0</v>
      </c>
      <c r="X669">
        <v>26.556862745098041</v>
      </c>
      <c r="Y669">
        <v>109</v>
      </c>
      <c r="Z669">
        <v>0</v>
      </c>
      <c r="AA669">
        <v>114.6301960784314</v>
      </c>
      <c r="AB669">
        <v>350</v>
      </c>
      <c r="AC669">
        <v>0</v>
      </c>
      <c r="AD669">
        <v>27.9758064516129</v>
      </c>
      <c r="AE669">
        <v>105</v>
      </c>
      <c r="AF669">
        <v>0</v>
      </c>
      <c r="AG669">
        <v>110.46935483870971</v>
      </c>
      <c r="AH669">
        <v>280</v>
      </c>
      <c r="AI669">
        <v>0</v>
      </c>
      <c r="AJ669">
        <v>51</v>
      </c>
      <c r="AK669">
        <v>110.9</v>
      </c>
      <c r="AL669">
        <v>164</v>
      </c>
      <c r="AM669">
        <v>61</v>
      </c>
      <c r="AN669">
        <v>225</v>
      </c>
      <c r="AP669">
        <v>136</v>
      </c>
    </row>
    <row r="670" spans="1:42" x14ac:dyDescent="0.3">
      <c r="A670" t="s">
        <v>1218</v>
      </c>
      <c r="B670" t="s">
        <v>60</v>
      </c>
      <c r="C670" t="s">
        <v>1043</v>
      </c>
      <c r="D670" t="s">
        <v>80</v>
      </c>
      <c r="E670" t="s">
        <v>1047</v>
      </c>
      <c r="F670">
        <v>2010</v>
      </c>
      <c r="G670">
        <v>110.9</v>
      </c>
      <c r="H670">
        <v>7</v>
      </c>
      <c r="I670">
        <v>0</v>
      </c>
      <c r="J670">
        <v>46</v>
      </c>
      <c r="K670">
        <v>51</v>
      </c>
      <c r="L670" t="s">
        <v>979</v>
      </c>
      <c r="M670">
        <v>22.466666666666669</v>
      </c>
      <c r="N670">
        <v>76</v>
      </c>
      <c r="O670">
        <v>0</v>
      </c>
      <c r="P670">
        <v>45.785714285714278</v>
      </c>
      <c r="Q670">
        <v>80.371428571428552</v>
      </c>
      <c r="R670">
        <v>23.31904761904762</v>
      </c>
      <c r="S670">
        <v>125</v>
      </c>
      <c r="T670">
        <v>0</v>
      </c>
      <c r="U670">
        <v>25.96875</v>
      </c>
      <c r="V670">
        <v>94</v>
      </c>
      <c r="W670">
        <v>0</v>
      </c>
      <c r="X670">
        <v>26.556862745098041</v>
      </c>
      <c r="Y670">
        <v>109</v>
      </c>
      <c r="Z670">
        <v>0</v>
      </c>
      <c r="AA670">
        <v>114.6301960784314</v>
      </c>
      <c r="AB670">
        <v>350</v>
      </c>
      <c r="AC670">
        <v>0</v>
      </c>
      <c r="AD670">
        <v>27.9758064516129</v>
      </c>
      <c r="AE670">
        <v>105</v>
      </c>
      <c r="AF670">
        <v>0</v>
      </c>
      <c r="AG670">
        <v>110.46935483870971</v>
      </c>
      <c r="AH670">
        <v>280</v>
      </c>
      <c r="AI670">
        <v>0</v>
      </c>
      <c r="AJ670">
        <v>14</v>
      </c>
      <c r="AK670">
        <v>86.65</v>
      </c>
      <c r="AL670">
        <v>157</v>
      </c>
      <c r="AM670">
        <v>61</v>
      </c>
      <c r="AN670">
        <v>218</v>
      </c>
      <c r="AO670">
        <v>10</v>
      </c>
      <c r="AP670">
        <v>129</v>
      </c>
    </row>
    <row r="671" spans="1:42" x14ac:dyDescent="0.3">
      <c r="A671" t="s">
        <v>1584</v>
      </c>
      <c r="B671" t="s">
        <v>56</v>
      </c>
      <c r="C671" t="s">
        <v>1043</v>
      </c>
      <c r="D671" t="s">
        <v>80</v>
      </c>
      <c r="E671" t="s">
        <v>1047</v>
      </c>
      <c r="F671">
        <v>2010</v>
      </c>
      <c r="G671">
        <v>53.3</v>
      </c>
      <c r="H671">
        <v>0</v>
      </c>
      <c r="I671">
        <v>0</v>
      </c>
      <c r="J671">
        <v>15</v>
      </c>
      <c r="K671">
        <v>8</v>
      </c>
      <c r="L671" t="s">
        <v>1327</v>
      </c>
      <c r="M671">
        <v>22.629213483146071</v>
      </c>
      <c r="N671">
        <v>76</v>
      </c>
      <c r="O671">
        <v>0</v>
      </c>
      <c r="P671">
        <v>45.785714285714278</v>
      </c>
      <c r="Q671">
        <v>80.371428571428552</v>
      </c>
      <c r="R671">
        <v>23.156500802568221</v>
      </c>
      <c r="S671">
        <v>125</v>
      </c>
      <c r="T671">
        <v>0</v>
      </c>
      <c r="U671">
        <v>25.6</v>
      </c>
      <c r="V671">
        <v>105</v>
      </c>
      <c r="W671">
        <v>0</v>
      </c>
      <c r="X671">
        <v>26.556862745098041</v>
      </c>
      <c r="Y671">
        <v>109</v>
      </c>
      <c r="Z671">
        <v>0</v>
      </c>
      <c r="AA671">
        <v>114.6301960784314</v>
      </c>
      <c r="AB671">
        <v>350</v>
      </c>
      <c r="AC671">
        <v>0</v>
      </c>
      <c r="AD671">
        <v>27.9758064516129</v>
      </c>
      <c r="AE671">
        <v>105</v>
      </c>
      <c r="AF671">
        <v>0</v>
      </c>
      <c r="AG671">
        <v>110.46935483870971</v>
      </c>
      <c r="AH671">
        <v>280</v>
      </c>
      <c r="AI671">
        <v>0</v>
      </c>
      <c r="AJ671">
        <v>79</v>
      </c>
      <c r="AK671">
        <v>142.94999999999999</v>
      </c>
      <c r="AL671">
        <v>157</v>
      </c>
      <c r="AM671">
        <v>61</v>
      </c>
      <c r="AN671">
        <v>218</v>
      </c>
      <c r="AO671">
        <v>10</v>
      </c>
      <c r="AP671">
        <v>129</v>
      </c>
    </row>
    <row r="672" spans="1:42" x14ac:dyDescent="0.3">
      <c r="A672" t="s">
        <v>1613</v>
      </c>
      <c r="B672" t="s">
        <v>60</v>
      </c>
      <c r="C672" t="s">
        <v>1043</v>
      </c>
      <c r="D672" t="s">
        <v>103</v>
      </c>
      <c r="E672" t="s">
        <v>1047</v>
      </c>
      <c r="F672">
        <v>2010</v>
      </c>
      <c r="G672">
        <v>120</v>
      </c>
      <c r="H672">
        <v>1</v>
      </c>
      <c r="I672">
        <v>0</v>
      </c>
      <c r="J672">
        <v>5</v>
      </c>
      <c r="K672">
        <v>6</v>
      </c>
      <c r="L672" t="s">
        <v>1327</v>
      </c>
      <c r="M672">
        <v>22.81818181818182</v>
      </c>
      <c r="N672">
        <v>76</v>
      </c>
      <c r="O672">
        <v>0</v>
      </c>
      <c r="P672">
        <v>43.391304347826093</v>
      </c>
      <c r="Q672">
        <v>100.17391304347829</v>
      </c>
      <c r="R672">
        <v>20.573122529644269</v>
      </c>
      <c r="S672">
        <v>209</v>
      </c>
      <c r="T672">
        <v>0</v>
      </c>
      <c r="U672">
        <v>25.96875</v>
      </c>
      <c r="V672">
        <v>94</v>
      </c>
      <c r="W672">
        <v>0</v>
      </c>
      <c r="X672">
        <v>26.556862745098041</v>
      </c>
      <c r="Y672">
        <v>109</v>
      </c>
      <c r="Z672">
        <v>0</v>
      </c>
      <c r="AA672">
        <v>114.6301960784314</v>
      </c>
      <c r="AB672">
        <v>350</v>
      </c>
      <c r="AC672">
        <v>0</v>
      </c>
      <c r="AD672">
        <v>27.9758064516129</v>
      </c>
      <c r="AE672">
        <v>105</v>
      </c>
      <c r="AF672">
        <v>0</v>
      </c>
      <c r="AG672">
        <v>110.46935483870971</v>
      </c>
      <c r="AH672">
        <v>280</v>
      </c>
      <c r="AI672">
        <v>0</v>
      </c>
      <c r="AJ672">
        <v>84</v>
      </c>
      <c r="AK672">
        <v>125.25</v>
      </c>
      <c r="AL672">
        <v>156</v>
      </c>
      <c r="AM672">
        <v>61</v>
      </c>
      <c r="AN672">
        <v>217</v>
      </c>
      <c r="AO672">
        <v>8</v>
      </c>
      <c r="AP672">
        <v>128</v>
      </c>
    </row>
    <row r="673" spans="1:42" x14ac:dyDescent="0.3">
      <c r="A673" t="s">
        <v>1114</v>
      </c>
      <c r="B673" t="s">
        <v>4</v>
      </c>
      <c r="C673" t="s">
        <v>1043</v>
      </c>
      <c r="D673" t="s">
        <v>80</v>
      </c>
      <c r="E673" t="s">
        <v>1047</v>
      </c>
      <c r="F673">
        <v>2010</v>
      </c>
      <c r="G673">
        <v>165.9</v>
      </c>
      <c r="H673">
        <v>8</v>
      </c>
      <c r="I673">
        <v>2</v>
      </c>
      <c r="J673">
        <v>44</v>
      </c>
      <c r="K673">
        <v>73</v>
      </c>
      <c r="L673" t="s">
        <v>979</v>
      </c>
      <c r="M673">
        <v>22.241379310344829</v>
      </c>
      <c r="N673">
        <v>76</v>
      </c>
      <c r="O673">
        <v>0</v>
      </c>
      <c r="P673">
        <v>45.785714285714278</v>
      </c>
      <c r="Q673">
        <v>80.371428571428552</v>
      </c>
      <c r="R673">
        <v>23.544334975369459</v>
      </c>
      <c r="S673">
        <v>125</v>
      </c>
      <c r="T673">
        <v>0</v>
      </c>
      <c r="U673">
        <v>20.68965517241379</v>
      </c>
      <c r="V673">
        <v>73</v>
      </c>
      <c r="W673">
        <v>0</v>
      </c>
      <c r="X673">
        <v>26.556862745098041</v>
      </c>
      <c r="Y673">
        <v>109</v>
      </c>
      <c r="Z673">
        <v>0</v>
      </c>
      <c r="AA673">
        <v>114.6301960784314</v>
      </c>
      <c r="AB673">
        <v>350</v>
      </c>
      <c r="AC673">
        <v>0</v>
      </c>
      <c r="AD673">
        <v>27.9758064516129</v>
      </c>
      <c r="AE673">
        <v>105</v>
      </c>
      <c r="AF673">
        <v>0</v>
      </c>
      <c r="AG673">
        <v>110.46935483870971</v>
      </c>
      <c r="AH673">
        <v>280</v>
      </c>
      <c r="AI673">
        <v>0</v>
      </c>
      <c r="AJ673">
        <v>13</v>
      </c>
      <c r="AK673">
        <v>58.95</v>
      </c>
      <c r="AL673">
        <v>148</v>
      </c>
      <c r="AM673">
        <v>59</v>
      </c>
      <c r="AN673">
        <v>207</v>
      </c>
      <c r="AO673">
        <v>0</v>
      </c>
      <c r="AP673">
        <v>118</v>
      </c>
    </row>
    <row r="674" spans="1:42" x14ac:dyDescent="0.3">
      <c r="A674" t="s">
        <v>1537</v>
      </c>
      <c r="B674" t="s">
        <v>878</v>
      </c>
      <c r="C674" t="s">
        <v>1043</v>
      </c>
      <c r="D674" t="s">
        <v>12</v>
      </c>
      <c r="E674" t="s">
        <v>1047</v>
      </c>
      <c r="F674">
        <v>2010</v>
      </c>
      <c r="G674">
        <v>84.6</v>
      </c>
      <c r="H674">
        <v>0</v>
      </c>
      <c r="I674">
        <v>0</v>
      </c>
      <c r="J674">
        <v>13</v>
      </c>
      <c r="K674">
        <v>11</v>
      </c>
      <c r="L674" t="s">
        <v>1327</v>
      </c>
      <c r="M674">
        <v>22.372093023255811</v>
      </c>
      <c r="N674">
        <v>76</v>
      </c>
      <c r="O674">
        <v>0</v>
      </c>
      <c r="P674">
        <v>31.203883495145629</v>
      </c>
      <c r="Q674">
        <v>120.5689320388349</v>
      </c>
      <c r="R674">
        <v>8.8317904718898177</v>
      </c>
      <c r="S674">
        <v>162</v>
      </c>
      <c r="T674">
        <v>0</v>
      </c>
      <c r="U674">
        <v>23</v>
      </c>
      <c r="V674">
        <v>45</v>
      </c>
      <c r="W674">
        <v>3</v>
      </c>
      <c r="X674">
        <v>26.556862745098041</v>
      </c>
      <c r="Y674">
        <v>109</v>
      </c>
      <c r="Z674">
        <v>0</v>
      </c>
      <c r="AA674">
        <v>114.6301960784314</v>
      </c>
      <c r="AB674">
        <v>350</v>
      </c>
      <c r="AC674">
        <v>0</v>
      </c>
      <c r="AD674">
        <v>27.9758064516129</v>
      </c>
      <c r="AE674">
        <v>105</v>
      </c>
      <c r="AF674">
        <v>0</v>
      </c>
      <c r="AG674">
        <v>110.46935483870971</v>
      </c>
      <c r="AH674">
        <v>280</v>
      </c>
      <c r="AI674">
        <v>0</v>
      </c>
      <c r="AJ674">
        <v>2</v>
      </c>
      <c r="AK674">
        <v>33.299999999999997</v>
      </c>
      <c r="AL674">
        <v>148</v>
      </c>
      <c r="AM674">
        <v>59</v>
      </c>
      <c r="AN674">
        <v>207</v>
      </c>
      <c r="AP674">
        <v>118</v>
      </c>
    </row>
    <row r="675" spans="1:42" x14ac:dyDescent="0.3">
      <c r="A675" t="s">
        <v>1701</v>
      </c>
      <c r="B675" t="s">
        <v>11</v>
      </c>
      <c r="C675" t="s">
        <v>1043</v>
      </c>
      <c r="D675" t="s">
        <v>139</v>
      </c>
      <c r="E675" t="s">
        <v>1047</v>
      </c>
      <c r="F675">
        <v>2010</v>
      </c>
      <c r="G675">
        <v>33.299999999999997</v>
      </c>
      <c r="H675">
        <v>0</v>
      </c>
      <c r="I675">
        <v>0</v>
      </c>
      <c r="J675">
        <v>6</v>
      </c>
      <c r="K675">
        <v>2</v>
      </c>
      <c r="L675" t="s">
        <v>1327</v>
      </c>
      <c r="M675">
        <v>22.611764705882351</v>
      </c>
      <c r="N675">
        <v>76</v>
      </c>
      <c r="O675">
        <v>0</v>
      </c>
      <c r="P675">
        <v>45.666666666666657</v>
      </c>
      <c r="Q675">
        <v>104.1166666666667</v>
      </c>
      <c r="R675">
        <v>23.05490196078431</v>
      </c>
      <c r="S675">
        <v>264</v>
      </c>
      <c r="T675">
        <v>0</v>
      </c>
      <c r="U675">
        <v>31.852941176470591</v>
      </c>
      <c r="V675">
        <v>109</v>
      </c>
      <c r="W675">
        <v>0</v>
      </c>
      <c r="X675">
        <v>26.556862745098041</v>
      </c>
      <c r="Y675">
        <v>109</v>
      </c>
      <c r="Z675">
        <v>0</v>
      </c>
      <c r="AA675">
        <v>114.6301960784314</v>
      </c>
      <c r="AB675">
        <v>350</v>
      </c>
      <c r="AC675">
        <v>0</v>
      </c>
      <c r="AD675">
        <v>27.9758064516129</v>
      </c>
      <c r="AE675">
        <v>105</v>
      </c>
      <c r="AF675">
        <v>0</v>
      </c>
      <c r="AG675">
        <v>110.46935483870971</v>
      </c>
      <c r="AH675">
        <v>280</v>
      </c>
      <c r="AI675">
        <v>0</v>
      </c>
      <c r="AJ675">
        <v>45</v>
      </c>
      <c r="AK675">
        <v>160.69999999999999</v>
      </c>
      <c r="AL675">
        <v>148</v>
      </c>
      <c r="AM675">
        <v>59</v>
      </c>
      <c r="AN675">
        <v>207</v>
      </c>
      <c r="AO675">
        <v>0</v>
      </c>
      <c r="AP675">
        <v>118</v>
      </c>
    </row>
    <row r="676" spans="1:42" x14ac:dyDescent="0.3">
      <c r="A676" t="s">
        <v>1247</v>
      </c>
      <c r="B676" t="s">
        <v>878</v>
      </c>
      <c r="C676" t="s">
        <v>1043</v>
      </c>
      <c r="D676" t="s">
        <v>300</v>
      </c>
      <c r="E676" t="s">
        <v>1016</v>
      </c>
      <c r="F676">
        <v>2010</v>
      </c>
      <c r="G676">
        <v>160.69999999999999</v>
      </c>
      <c r="H676">
        <v>3</v>
      </c>
      <c r="I676">
        <v>2</v>
      </c>
      <c r="J676">
        <v>28</v>
      </c>
      <c r="K676">
        <v>45</v>
      </c>
      <c r="L676" t="s">
        <v>979</v>
      </c>
      <c r="M676">
        <v>22.345238095238091</v>
      </c>
      <c r="N676">
        <v>76</v>
      </c>
      <c r="O676">
        <v>0</v>
      </c>
      <c r="P676">
        <v>9.5555555555555554</v>
      </c>
      <c r="Q676">
        <v>71.36666666666666</v>
      </c>
      <c r="R676">
        <v>-12.78968253968254</v>
      </c>
      <c r="S676">
        <v>45</v>
      </c>
      <c r="T676">
        <v>0</v>
      </c>
      <c r="U676">
        <v>23</v>
      </c>
      <c r="V676">
        <v>45</v>
      </c>
      <c r="W676">
        <v>3</v>
      </c>
      <c r="X676">
        <v>26.556862745098041</v>
      </c>
      <c r="Y676">
        <v>109</v>
      </c>
      <c r="Z676">
        <v>0</v>
      </c>
      <c r="AA676">
        <v>114.6301960784314</v>
      </c>
      <c r="AB676">
        <v>350</v>
      </c>
      <c r="AC676">
        <v>0</v>
      </c>
      <c r="AD676">
        <v>34.313432835820898</v>
      </c>
      <c r="AE676">
        <v>137</v>
      </c>
      <c r="AF676">
        <v>0</v>
      </c>
      <c r="AG676">
        <v>101.9507462686567</v>
      </c>
      <c r="AH676">
        <v>216.7</v>
      </c>
      <c r="AI676">
        <v>0</v>
      </c>
      <c r="AJ676">
        <v>49</v>
      </c>
      <c r="AK676">
        <v>140</v>
      </c>
      <c r="AL676">
        <v>145</v>
      </c>
      <c r="AM676">
        <v>57</v>
      </c>
      <c r="AN676">
        <v>202</v>
      </c>
      <c r="AO676">
        <v>2</v>
      </c>
      <c r="AP676">
        <v>113</v>
      </c>
    </row>
    <row r="677" spans="1:42" x14ac:dyDescent="0.3">
      <c r="A677" t="s">
        <v>1231</v>
      </c>
      <c r="B677" t="s">
        <v>4</v>
      </c>
      <c r="C677" t="s">
        <v>1043</v>
      </c>
      <c r="D677" t="s">
        <v>41</v>
      </c>
      <c r="E677" t="s">
        <v>1016</v>
      </c>
      <c r="F677">
        <v>2010</v>
      </c>
      <c r="G677">
        <v>140</v>
      </c>
      <c r="H677">
        <v>2</v>
      </c>
      <c r="I677">
        <v>3</v>
      </c>
      <c r="J677">
        <v>35</v>
      </c>
      <c r="K677">
        <v>49</v>
      </c>
      <c r="L677" t="s">
        <v>979</v>
      </c>
      <c r="M677">
        <v>22.024096385542169</v>
      </c>
      <c r="N677">
        <v>76</v>
      </c>
      <c r="O677">
        <v>0</v>
      </c>
      <c r="P677">
        <v>34.043478260869563</v>
      </c>
      <c r="Q677">
        <v>108.0891304347826</v>
      </c>
      <c r="R677">
        <v>12.01938187532739</v>
      </c>
      <c r="S677">
        <v>95</v>
      </c>
      <c r="T677">
        <v>0</v>
      </c>
      <c r="U677">
        <v>20.68965517241379</v>
      </c>
      <c r="V677">
        <v>73</v>
      </c>
      <c r="W677">
        <v>0</v>
      </c>
      <c r="X677">
        <v>26.556862745098041</v>
      </c>
      <c r="Y677">
        <v>109</v>
      </c>
      <c r="Z677">
        <v>0</v>
      </c>
      <c r="AA677">
        <v>114.6301960784314</v>
      </c>
      <c r="AB677">
        <v>350</v>
      </c>
      <c r="AC677">
        <v>0</v>
      </c>
      <c r="AD677">
        <v>34.313432835820898</v>
      </c>
      <c r="AE677">
        <v>137</v>
      </c>
      <c r="AF677">
        <v>0</v>
      </c>
      <c r="AG677">
        <v>101.9507462686567</v>
      </c>
      <c r="AH677">
        <v>216.7</v>
      </c>
      <c r="AI677">
        <v>0</v>
      </c>
      <c r="AJ677">
        <v>45</v>
      </c>
      <c r="AK677">
        <v>150</v>
      </c>
      <c r="AL677">
        <v>143</v>
      </c>
      <c r="AM677">
        <v>54</v>
      </c>
      <c r="AN677">
        <v>197</v>
      </c>
      <c r="AO677">
        <v>3</v>
      </c>
      <c r="AP677">
        <v>108</v>
      </c>
    </row>
    <row r="678" spans="1:42" x14ac:dyDescent="0.3">
      <c r="A678" t="s">
        <v>1248</v>
      </c>
      <c r="B678" t="s">
        <v>8</v>
      </c>
      <c r="C678" t="s">
        <v>1043</v>
      </c>
      <c r="D678" t="s">
        <v>78</v>
      </c>
      <c r="E678" t="s">
        <v>1016</v>
      </c>
      <c r="F678">
        <v>2010</v>
      </c>
      <c r="G678">
        <v>150</v>
      </c>
      <c r="H678">
        <v>3</v>
      </c>
      <c r="I678">
        <v>3</v>
      </c>
      <c r="J678">
        <v>30</v>
      </c>
      <c r="K678">
        <v>45</v>
      </c>
      <c r="L678" t="s">
        <v>979</v>
      </c>
      <c r="M678">
        <v>21.743902439024389</v>
      </c>
      <c r="N678">
        <v>76</v>
      </c>
      <c r="O678">
        <v>0</v>
      </c>
      <c r="P678">
        <v>44.222222222222221</v>
      </c>
      <c r="Q678">
        <v>102.3</v>
      </c>
      <c r="R678">
        <v>22.478319783197829</v>
      </c>
      <c r="S678">
        <v>119</v>
      </c>
      <c r="T678">
        <v>1</v>
      </c>
      <c r="U678">
        <v>28.567567567567568</v>
      </c>
      <c r="V678">
        <v>74</v>
      </c>
      <c r="W678">
        <v>0</v>
      </c>
      <c r="X678">
        <v>26.556862745098041</v>
      </c>
      <c r="Y678">
        <v>109</v>
      </c>
      <c r="Z678">
        <v>0</v>
      </c>
      <c r="AA678">
        <v>114.6301960784314</v>
      </c>
      <c r="AB678">
        <v>350</v>
      </c>
      <c r="AC678">
        <v>0</v>
      </c>
      <c r="AD678">
        <v>34.313432835820898</v>
      </c>
      <c r="AE678">
        <v>137</v>
      </c>
      <c r="AF678">
        <v>0</v>
      </c>
      <c r="AG678">
        <v>101.9507462686567</v>
      </c>
      <c r="AH678">
        <v>216.7</v>
      </c>
      <c r="AI678">
        <v>0</v>
      </c>
      <c r="AJ678">
        <v>1</v>
      </c>
      <c r="AK678">
        <v>50</v>
      </c>
      <c r="AL678">
        <v>140</v>
      </c>
      <c r="AM678">
        <v>51</v>
      </c>
      <c r="AN678">
        <v>191</v>
      </c>
      <c r="AO678">
        <v>1</v>
      </c>
      <c r="AP678">
        <v>102</v>
      </c>
    </row>
    <row r="679" spans="1:42" x14ac:dyDescent="0.3">
      <c r="A679" t="s">
        <v>1719</v>
      </c>
      <c r="B679" t="s">
        <v>40</v>
      </c>
      <c r="C679" t="s">
        <v>1043</v>
      </c>
      <c r="D679" t="s">
        <v>78</v>
      </c>
      <c r="E679" t="s">
        <v>1016</v>
      </c>
      <c r="F679">
        <v>2010</v>
      </c>
      <c r="G679">
        <v>50</v>
      </c>
      <c r="H679">
        <v>0</v>
      </c>
      <c r="I679">
        <v>0</v>
      </c>
      <c r="J679">
        <v>2</v>
      </c>
      <c r="K679">
        <v>1</v>
      </c>
      <c r="L679" t="s">
        <v>1327</v>
      </c>
      <c r="M679">
        <v>22</v>
      </c>
      <c r="N679">
        <v>76</v>
      </c>
      <c r="O679">
        <v>0</v>
      </c>
      <c r="P679">
        <v>44.222222222222221</v>
      </c>
      <c r="Q679">
        <v>102.3</v>
      </c>
      <c r="R679">
        <v>22.222222222222221</v>
      </c>
      <c r="S679">
        <v>119</v>
      </c>
      <c r="T679">
        <v>1</v>
      </c>
      <c r="U679">
        <v>28.12903225806452</v>
      </c>
      <c r="V679">
        <v>79</v>
      </c>
      <c r="W679">
        <v>0</v>
      </c>
      <c r="X679">
        <v>26.556862745098041</v>
      </c>
      <c r="Y679">
        <v>109</v>
      </c>
      <c r="Z679">
        <v>0</v>
      </c>
      <c r="AA679">
        <v>114.6301960784314</v>
      </c>
      <c r="AB679">
        <v>350</v>
      </c>
      <c r="AC679">
        <v>0</v>
      </c>
      <c r="AD679">
        <v>34.313432835820898</v>
      </c>
      <c r="AE679">
        <v>137</v>
      </c>
      <c r="AF679">
        <v>0</v>
      </c>
      <c r="AG679">
        <v>101.9507462686567</v>
      </c>
      <c r="AH679">
        <v>216.7</v>
      </c>
      <c r="AI679">
        <v>0</v>
      </c>
      <c r="AJ679">
        <v>19</v>
      </c>
      <c r="AK679">
        <v>190</v>
      </c>
      <c r="AL679">
        <v>140</v>
      </c>
      <c r="AM679">
        <v>51</v>
      </c>
      <c r="AN679">
        <v>191</v>
      </c>
      <c r="AO679">
        <v>1</v>
      </c>
      <c r="AP679">
        <v>102</v>
      </c>
    </row>
    <row r="680" spans="1:42" x14ac:dyDescent="0.3">
      <c r="A680" t="s">
        <v>1428</v>
      </c>
      <c r="B680" t="s">
        <v>56</v>
      </c>
      <c r="C680" t="s">
        <v>1043</v>
      </c>
      <c r="D680" t="s">
        <v>64</v>
      </c>
      <c r="E680" t="s">
        <v>1016</v>
      </c>
      <c r="F680">
        <v>2010</v>
      </c>
      <c r="G680">
        <v>190</v>
      </c>
      <c r="H680">
        <v>2</v>
      </c>
      <c r="I680">
        <v>1</v>
      </c>
      <c r="J680">
        <v>10</v>
      </c>
      <c r="K680">
        <v>19</v>
      </c>
      <c r="L680" t="s">
        <v>1327</v>
      </c>
      <c r="M680">
        <v>22.037500000000001</v>
      </c>
      <c r="N680">
        <v>76</v>
      </c>
      <c r="O680">
        <v>0</v>
      </c>
      <c r="P680">
        <v>26</v>
      </c>
      <c r="Q680">
        <v>94.26964285714287</v>
      </c>
      <c r="R680">
        <v>3.962499999999999</v>
      </c>
      <c r="S680">
        <v>187</v>
      </c>
      <c r="T680">
        <v>0</v>
      </c>
      <c r="U680">
        <v>25.6</v>
      </c>
      <c r="V680">
        <v>105</v>
      </c>
      <c r="W680">
        <v>0</v>
      </c>
      <c r="X680">
        <v>26.556862745098041</v>
      </c>
      <c r="Y680">
        <v>109</v>
      </c>
      <c r="Z680">
        <v>0</v>
      </c>
      <c r="AA680">
        <v>114.6301960784314</v>
      </c>
      <c r="AB680">
        <v>350</v>
      </c>
      <c r="AC680">
        <v>0</v>
      </c>
      <c r="AD680">
        <v>34.313432835820898</v>
      </c>
      <c r="AE680">
        <v>137</v>
      </c>
      <c r="AF680">
        <v>0</v>
      </c>
      <c r="AG680">
        <v>101.9507462686567</v>
      </c>
      <c r="AH680">
        <v>216.7</v>
      </c>
      <c r="AI680">
        <v>0</v>
      </c>
      <c r="AJ680">
        <v>13</v>
      </c>
      <c r="AK680">
        <v>108.3</v>
      </c>
      <c r="AL680">
        <v>138</v>
      </c>
      <c r="AM680">
        <v>50</v>
      </c>
      <c r="AN680">
        <v>188</v>
      </c>
      <c r="AO680">
        <v>3</v>
      </c>
      <c r="AP680">
        <v>99</v>
      </c>
    </row>
    <row r="681" spans="1:42" x14ac:dyDescent="0.3">
      <c r="A681" t="s">
        <v>1500</v>
      </c>
      <c r="B681" t="s">
        <v>11</v>
      </c>
      <c r="C681" t="s">
        <v>1043</v>
      </c>
      <c r="D681" t="s">
        <v>300</v>
      </c>
      <c r="E681" t="s">
        <v>1016</v>
      </c>
      <c r="F681">
        <v>2010</v>
      </c>
      <c r="G681">
        <v>108.3</v>
      </c>
      <c r="H681">
        <v>2</v>
      </c>
      <c r="I681">
        <v>0</v>
      </c>
      <c r="J681">
        <v>12</v>
      </c>
      <c r="K681">
        <v>13</v>
      </c>
      <c r="L681" t="s">
        <v>1327</v>
      </c>
      <c r="M681">
        <v>22.15189873417722</v>
      </c>
      <c r="N681">
        <v>76</v>
      </c>
      <c r="O681">
        <v>0</v>
      </c>
      <c r="P681">
        <v>9.5555555555555554</v>
      </c>
      <c r="Q681">
        <v>71.36666666666666</v>
      </c>
      <c r="R681">
        <v>-12.596343178621661</v>
      </c>
      <c r="S681">
        <v>45</v>
      </c>
      <c r="T681">
        <v>0</v>
      </c>
      <c r="U681">
        <v>31.852941176470591</v>
      </c>
      <c r="V681">
        <v>109</v>
      </c>
      <c r="W681">
        <v>0</v>
      </c>
      <c r="X681">
        <v>26.556862745098041</v>
      </c>
      <c r="Y681">
        <v>109</v>
      </c>
      <c r="Z681">
        <v>0</v>
      </c>
      <c r="AA681">
        <v>114.6301960784314</v>
      </c>
      <c r="AB681">
        <v>350</v>
      </c>
      <c r="AC681">
        <v>0</v>
      </c>
      <c r="AD681">
        <v>34.313432835820898</v>
      </c>
      <c r="AE681">
        <v>137</v>
      </c>
      <c r="AF681">
        <v>0</v>
      </c>
      <c r="AG681">
        <v>101.9507462686567</v>
      </c>
      <c r="AH681">
        <v>216.7</v>
      </c>
      <c r="AI681">
        <v>0</v>
      </c>
      <c r="AL681">
        <v>136</v>
      </c>
      <c r="AM681">
        <v>50</v>
      </c>
      <c r="AN681">
        <v>186</v>
      </c>
      <c r="AP681">
        <v>97</v>
      </c>
    </row>
    <row r="682" spans="1:42" x14ac:dyDescent="0.3">
      <c r="A682" t="s">
        <v>1239</v>
      </c>
      <c r="B682" t="s">
        <v>24</v>
      </c>
      <c r="C682" t="s">
        <v>16</v>
      </c>
      <c r="D682" t="s">
        <v>41</v>
      </c>
      <c r="E682" t="s">
        <v>990</v>
      </c>
      <c r="F682">
        <v>2010</v>
      </c>
      <c r="G682">
        <v>78.7</v>
      </c>
      <c r="H682">
        <v>3</v>
      </c>
      <c r="I682">
        <v>0</v>
      </c>
      <c r="J682">
        <v>61</v>
      </c>
      <c r="K682">
        <v>48</v>
      </c>
      <c r="L682" t="s">
        <v>979</v>
      </c>
      <c r="M682">
        <v>21.820512820512821</v>
      </c>
      <c r="N682">
        <v>76</v>
      </c>
      <c r="O682">
        <v>0</v>
      </c>
      <c r="P682">
        <v>34.043478260869563</v>
      </c>
      <c r="Q682">
        <v>108.0891304347826</v>
      </c>
      <c r="R682">
        <v>12.22296544035674</v>
      </c>
      <c r="S682">
        <v>95</v>
      </c>
      <c r="T682">
        <v>0</v>
      </c>
      <c r="U682">
        <v>37.163636363636357</v>
      </c>
      <c r="V682">
        <v>303</v>
      </c>
      <c r="W682">
        <v>0</v>
      </c>
      <c r="X682">
        <v>42.251824817518248</v>
      </c>
      <c r="Y682">
        <v>264</v>
      </c>
      <c r="Z682">
        <v>0</v>
      </c>
      <c r="AA682">
        <v>77.646715328467153</v>
      </c>
      <c r="AB682">
        <v>200</v>
      </c>
      <c r="AC682">
        <v>0</v>
      </c>
      <c r="AD682">
        <v>31.115942028985511</v>
      </c>
      <c r="AE682">
        <v>187</v>
      </c>
      <c r="AF682">
        <v>0</v>
      </c>
      <c r="AG682">
        <v>73.336956521739125</v>
      </c>
      <c r="AH682">
        <v>233.3</v>
      </c>
      <c r="AI682">
        <v>0</v>
      </c>
      <c r="AL682">
        <v>133</v>
      </c>
      <c r="AM682">
        <v>50</v>
      </c>
      <c r="AN682">
        <v>183</v>
      </c>
      <c r="AP682">
        <v>56</v>
      </c>
    </row>
    <row r="683" spans="1:42" x14ac:dyDescent="0.3">
      <c r="A683" t="s">
        <v>1676</v>
      </c>
      <c r="B683" t="s">
        <v>115</v>
      </c>
      <c r="C683" t="s">
        <v>5</v>
      </c>
      <c r="D683" t="s">
        <v>80</v>
      </c>
      <c r="E683" t="s">
        <v>987</v>
      </c>
      <c r="F683">
        <v>2009</v>
      </c>
      <c r="G683">
        <v>75</v>
      </c>
      <c r="H683">
        <v>0</v>
      </c>
      <c r="I683">
        <v>0</v>
      </c>
      <c r="J683">
        <v>4</v>
      </c>
      <c r="K683">
        <v>3</v>
      </c>
      <c r="L683" t="s">
        <v>1327</v>
      </c>
      <c r="M683">
        <v>22.06493506493506</v>
      </c>
      <c r="N683">
        <v>76</v>
      </c>
      <c r="O683">
        <v>0</v>
      </c>
      <c r="P683">
        <v>45.785714285714278</v>
      </c>
      <c r="Q683">
        <v>80.371428571428552</v>
      </c>
      <c r="R683">
        <v>23.720779220779221</v>
      </c>
      <c r="S683">
        <v>125</v>
      </c>
      <c r="T683">
        <v>0</v>
      </c>
      <c r="U683">
        <v>38.236842105263158</v>
      </c>
      <c r="V683">
        <v>264</v>
      </c>
      <c r="W683">
        <v>0</v>
      </c>
      <c r="X683">
        <v>28.189024390243901</v>
      </c>
      <c r="Y683">
        <v>121</v>
      </c>
      <c r="Z683">
        <v>0</v>
      </c>
      <c r="AA683">
        <v>116.45060975609761</v>
      </c>
      <c r="AB683">
        <v>274.39999999999998</v>
      </c>
      <c r="AC683">
        <v>0</v>
      </c>
      <c r="AD683">
        <v>40.825000000000003</v>
      </c>
      <c r="AE683">
        <v>208</v>
      </c>
      <c r="AF683">
        <v>1</v>
      </c>
      <c r="AG683">
        <v>90.646250000000009</v>
      </c>
      <c r="AH683">
        <v>274.39999999999998</v>
      </c>
      <c r="AI683">
        <v>15.4</v>
      </c>
      <c r="AL683">
        <v>133</v>
      </c>
      <c r="AM683">
        <v>50</v>
      </c>
      <c r="AN683">
        <v>183</v>
      </c>
      <c r="AP683">
        <v>30</v>
      </c>
    </row>
    <row r="684" spans="1:42" x14ac:dyDescent="0.3">
      <c r="A684" t="s">
        <v>1538</v>
      </c>
      <c r="B684" t="s">
        <v>208</v>
      </c>
      <c r="C684" t="s">
        <v>16</v>
      </c>
      <c r="D684" t="s">
        <v>126</v>
      </c>
      <c r="E684" t="s">
        <v>1012</v>
      </c>
      <c r="F684">
        <v>2009</v>
      </c>
      <c r="G684">
        <v>122.2</v>
      </c>
      <c r="H684">
        <v>0</v>
      </c>
      <c r="I684">
        <v>0</v>
      </c>
      <c r="J684">
        <v>9</v>
      </c>
      <c r="K684">
        <v>11</v>
      </c>
      <c r="L684" t="s">
        <v>1327</v>
      </c>
      <c r="M684">
        <v>22.210526315789469</v>
      </c>
      <c r="N684">
        <v>76</v>
      </c>
      <c r="O684">
        <v>0</v>
      </c>
      <c r="P684">
        <v>51</v>
      </c>
      <c r="Q684">
        <v>133.6166666666667</v>
      </c>
      <c r="R684">
        <v>28.789473684210531</v>
      </c>
      <c r="S684">
        <v>92</v>
      </c>
      <c r="T684">
        <v>11</v>
      </c>
      <c r="U684">
        <v>47.081967213114751</v>
      </c>
      <c r="V684">
        <v>177</v>
      </c>
      <c r="W684">
        <v>0</v>
      </c>
      <c r="X684">
        <v>42.251824817518248</v>
      </c>
      <c r="Y684">
        <v>264</v>
      </c>
      <c r="Z684">
        <v>0</v>
      </c>
      <c r="AA684">
        <v>77.646715328467153</v>
      </c>
      <c r="AB684">
        <v>200</v>
      </c>
      <c r="AC684">
        <v>0</v>
      </c>
      <c r="AD684">
        <v>37.228571428571428</v>
      </c>
      <c r="AE684">
        <v>137</v>
      </c>
      <c r="AF684">
        <v>0</v>
      </c>
      <c r="AG684">
        <v>73.452857142857127</v>
      </c>
      <c r="AH684">
        <v>178.6</v>
      </c>
      <c r="AI684">
        <v>0</v>
      </c>
      <c r="AJ684">
        <v>0</v>
      </c>
      <c r="AK684">
        <v>0</v>
      </c>
      <c r="AL684">
        <v>133</v>
      </c>
      <c r="AM684">
        <v>50</v>
      </c>
      <c r="AN684">
        <v>183</v>
      </c>
      <c r="AP684">
        <v>56</v>
      </c>
    </row>
    <row r="685" spans="1:42" x14ac:dyDescent="0.3">
      <c r="A685" t="s">
        <v>1765</v>
      </c>
      <c r="B685" t="s">
        <v>208</v>
      </c>
      <c r="C685" t="s">
        <v>16</v>
      </c>
      <c r="D685" t="s">
        <v>770</v>
      </c>
      <c r="E685" t="s">
        <v>1007</v>
      </c>
      <c r="F685">
        <v>2009</v>
      </c>
      <c r="G685">
        <v>0</v>
      </c>
      <c r="H685">
        <v>0</v>
      </c>
      <c r="I685">
        <v>0</v>
      </c>
      <c r="J685">
        <v>2</v>
      </c>
      <c r="K685">
        <v>0</v>
      </c>
      <c r="L685" t="s">
        <v>1327</v>
      </c>
      <c r="M685">
        <v>22.506666666666671</v>
      </c>
      <c r="N685">
        <v>76</v>
      </c>
      <c r="O685">
        <v>0</v>
      </c>
      <c r="P685">
        <v>25.2</v>
      </c>
      <c r="Q685">
        <v>43.68</v>
      </c>
      <c r="R685">
        <v>2.693333333333332</v>
      </c>
      <c r="S685">
        <v>60</v>
      </c>
      <c r="T685">
        <v>0</v>
      </c>
      <c r="U685">
        <v>47.081967213114751</v>
      </c>
      <c r="V685">
        <v>177</v>
      </c>
      <c r="W685">
        <v>0</v>
      </c>
      <c r="X685">
        <v>42.251824817518248</v>
      </c>
      <c r="Y685">
        <v>264</v>
      </c>
      <c r="Z685">
        <v>0</v>
      </c>
      <c r="AA685">
        <v>77.646715328467153</v>
      </c>
      <c r="AB685">
        <v>200</v>
      </c>
      <c r="AC685">
        <v>0</v>
      </c>
      <c r="AD685">
        <v>37.180327868852459</v>
      </c>
      <c r="AE685">
        <v>140</v>
      </c>
      <c r="AF685">
        <v>0</v>
      </c>
      <c r="AG685">
        <v>82.911475409836058</v>
      </c>
      <c r="AH685">
        <v>224.4</v>
      </c>
      <c r="AI685">
        <v>0</v>
      </c>
      <c r="AJ685">
        <v>4</v>
      </c>
      <c r="AK685">
        <v>33.299999999999997</v>
      </c>
      <c r="AL685">
        <v>133</v>
      </c>
      <c r="AM685">
        <v>50</v>
      </c>
      <c r="AN685">
        <v>183</v>
      </c>
      <c r="AO685">
        <v>0</v>
      </c>
      <c r="AP685">
        <v>56</v>
      </c>
    </row>
    <row r="686" spans="1:42" x14ac:dyDescent="0.3">
      <c r="A686" t="s">
        <v>1666</v>
      </c>
      <c r="B686" t="s">
        <v>208</v>
      </c>
      <c r="C686" t="s">
        <v>16</v>
      </c>
      <c r="D686" t="s">
        <v>770</v>
      </c>
      <c r="E686" t="s">
        <v>1007</v>
      </c>
      <c r="F686">
        <v>2009</v>
      </c>
      <c r="G686">
        <v>33.299999999999997</v>
      </c>
      <c r="H686">
        <v>0</v>
      </c>
      <c r="I686">
        <v>0</v>
      </c>
      <c r="J686">
        <v>12</v>
      </c>
      <c r="K686">
        <v>4</v>
      </c>
      <c r="L686" t="s">
        <v>1327</v>
      </c>
      <c r="M686">
        <v>22.756756756756761</v>
      </c>
      <c r="N686">
        <v>76</v>
      </c>
      <c r="O686">
        <v>0</v>
      </c>
      <c r="P686">
        <v>25.2</v>
      </c>
      <c r="Q686">
        <v>43.68</v>
      </c>
      <c r="R686">
        <v>2.4432432432432409</v>
      </c>
      <c r="S686">
        <v>60</v>
      </c>
      <c r="T686">
        <v>0</v>
      </c>
      <c r="U686">
        <v>47.081967213114751</v>
      </c>
      <c r="V686">
        <v>177</v>
      </c>
      <c r="W686">
        <v>0</v>
      </c>
      <c r="X686">
        <v>42.251824817518248</v>
      </c>
      <c r="Y686">
        <v>264</v>
      </c>
      <c r="Z686">
        <v>0</v>
      </c>
      <c r="AA686">
        <v>77.646715328467153</v>
      </c>
      <c r="AB686">
        <v>200</v>
      </c>
      <c r="AC686">
        <v>0</v>
      </c>
      <c r="AD686">
        <v>37.180327868852459</v>
      </c>
      <c r="AE686">
        <v>140</v>
      </c>
      <c r="AF686">
        <v>0</v>
      </c>
      <c r="AG686">
        <v>82.911475409836058</v>
      </c>
      <c r="AH686">
        <v>224.4</v>
      </c>
      <c r="AI686">
        <v>0</v>
      </c>
      <c r="AL686">
        <v>133</v>
      </c>
      <c r="AM686">
        <v>50</v>
      </c>
      <c r="AN686">
        <v>183</v>
      </c>
      <c r="AP686">
        <v>56</v>
      </c>
    </row>
    <row r="687" spans="1:42" x14ac:dyDescent="0.3">
      <c r="A687" t="s">
        <v>1341</v>
      </c>
      <c r="B687" t="s">
        <v>24</v>
      </c>
      <c r="C687" t="s">
        <v>5</v>
      </c>
      <c r="D687" t="s">
        <v>290</v>
      </c>
      <c r="E687" t="s">
        <v>1007</v>
      </c>
      <c r="F687">
        <v>2009</v>
      </c>
      <c r="G687">
        <v>103.6</v>
      </c>
      <c r="H687">
        <v>3</v>
      </c>
      <c r="I687">
        <v>0</v>
      </c>
      <c r="J687">
        <v>28</v>
      </c>
      <c r="K687">
        <v>29</v>
      </c>
      <c r="L687" t="s">
        <v>1327</v>
      </c>
      <c r="M687">
        <v>22.671232876712331</v>
      </c>
      <c r="N687">
        <v>76</v>
      </c>
      <c r="O687">
        <v>0</v>
      </c>
      <c r="P687">
        <v>52.166666666666657</v>
      </c>
      <c r="Q687">
        <v>103.6666666666667</v>
      </c>
      <c r="R687">
        <v>29.49543378995434</v>
      </c>
      <c r="S687">
        <v>137</v>
      </c>
      <c r="T687">
        <v>11</v>
      </c>
      <c r="U687">
        <v>37.163636363636357</v>
      </c>
      <c r="V687">
        <v>303</v>
      </c>
      <c r="W687">
        <v>0</v>
      </c>
      <c r="X687">
        <v>28.189024390243901</v>
      </c>
      <c r="Y687">
        <v>121</v>
      </c>
      <c r="Z687">
        <v>0</v>
      </c>
      <c r="AA687">
        <v>116.45060975609761</v>
      </c>
      <c r="AB687">
        <v>274.39999999999998</v>
      </c>
      <c r="AC687">
        <v>0</v>
      </c>
      <c r="AD687">
        <v>37.180327868852459</v>
      </c>
      <c r="AE687">
        <v>140</v>
      </c>
      <c r="AF687">
        <v>0</v>
      </c>
      <c r="AG687">
        <v>82.911475409836058</v>
      </c>
      <c r="AH687">
        <v>224.4</v>
      </c>
      <c r="AI687">
        <v>0</v>
      </c>
      <c r="AJ687">
        <v>14</v>
      </c>
      <c r="AK687">
        <v>139.6</v>
      </c>
      <c r="AL687">
        <v>130</v>
      </c>
      <c r="AM687">
        <v>50</v>
      </c>
      <c r="AN687">
        <v>180</v>
      </c>
      <c r="AO687">
        <v>10</v>
      </c>
      <c r="AP687">
        <v>27</v>
      </c>
    </row>
    <row r="688" spans="1:42" x14ac:dyDescent="0.3">
      <c r="A688" t="s">
        <v>1563</v>
      </c>
      <c r="B688" t="s">
        <v>76</v>
      </c>
      <c r="C688" t="s">
        <v>5</v>
      </c>
      <c r="D688" t="s">
        <v>218</v>
      </c>
      <c r="E688" t="s">
        <v>1007</v>
      </c>
      <c r="F688">
        <v>2009</v>
      </c>
      <c r="G688">
        <v>112.5</v>
      </c>
      <c r="H688">
        <v>1</v>
      </c>
      <c r="I688">
        <v>0</v>
      </c>
      <c r="J688">
        <v>8</v>
      </c>
      <c r="K688">
        <v>9</v>
      </c>
      <c r="L688" t="s">
        <v>1327</v>
      </c>
      <c r="M688">
        <v>22.861111111111111</v>
      </c>
      <c r="N688">
        <v>76</v>
      </c>
      <c r="O688">
        <v>0</v>
      </c>
      <c r="P688">
        <v>46.46153846153846</v>
      </c>
      <c r="Q688">
        <v>74.492307692307705</v>
      </c>
      <c r="R688">
        <v>23.600427350427349</v>
      </c>
      <c r="S688">
        <v>138</v>
      </c>
      <c r="T688">
        <v>0</v>
      </c>
      <c r="U688">
        <v>48.215686274509807</v>
      </c>
      <c r="V688">
        <v>187</v>
      </c>
      <c r="W688">
        <v>0</v>
      </c>
      <c r="X688">
        <v>28.189024390243901</v>
      </c>
      <c r="Y688">
        <v>121</v>
      </c>
      <c r="Z688">
        <v>0</v>
      </c>
      <c r="AA688">
        <v>116.45060975609761</v>
      </c>
      <c r="AB688">
        <v>274.39999999999998</v>
      </c>
      <c r="AC688">
        <v>0</v>
      </c>
      <c r="AD688">
        <v>37.180327868852459</v>
      </c>
      <c r="AE688">
        <v>140</v>
      </c>
      <c r="AF688">
        <v>0</v>
      </c>
      <c r="AG688">
        <v>82.911475409836058</v>
      </c>
      <c r="AH688">
        <v>224.4</v>
      </c>
      <c r="AI688">
        <v>0</v>
      </c>
      <c r="AJ688">
        <v>57</v>
      </c>
      <c r="AK688">
        <v>141.15</v>
      </c>
      <c r="AL688">
        <v>129</v>
      </c>
      <c r="AM688">
        <v>50</v>
      </c>
      <c r="AN688">
        <v>179</v>
      </c>
      <c r="AO688">
        <v>1</v>
      </c>
      <c r="AP688">
        <v>26</v>
      </c>
    </row>
    <row r="689" spans="1:42" x14ac:dyDescent="0.3">
      <c r="A689" t="s">
        <v>1641</v>
      </c>
      <c r="B689" t="s">
        <v>208</v>
      </c>
      <c r="C689" t="s">
        <v>5</v>
      </c>
      <c r="D689" t="s">
        <v>218</v>
      </c>
      <c r="E689" t="s">
        <v>1007</v>
      </c>
      <c r="F689">
        <v>2009</v>
      </c>
      <c r="G689">
        <v>166.7</v>
      </c>
      <c r="H689">
        <v>1</v>
      </c>
      <c r="I689">
        <v>0</v>
      </c>
      <c r="J689">
        <v>3</v>
      </c>
      <c r="K689">
        <v>5</v>
      </c>
      <c r="L689" t="s">
        <v>1327</v>
      </c>
      <c r="M689">
        <v>23.112676056338032</v>
      </c>
      <c r="N689">
        <v>76</v>
      </c>
      <c r="O689">
        <v>0</v>
      </c>
      <c r="P689">
        <v>46.46153846153846</v>
      </c>
      <c r="Q689">
        <v>74.492307692307705</v>
      </c>
      <c r="R689">
        <v>23.348862405200428</v>
      </c>
      <c r="S689">
        <v>138</v>
      </c>
      <c r="T689">
        <v>0</v>
      </c>
      <c r="U689">
        <v>47.081967213114751</v>
      </c>
      <c r="V689">
        <v>177</v>
      </c>
      <c r="W689">
        <v>0</v>
      </c>
      <c r="X689">
        <v>28.189024390243901</v>
      </c>
      <c r="Y689">
        <v>121</v>
      </c>
      <c r="Z689">
        <v>0</v>
      </c>
      <c r="AA689">
        <v>116.45060975609761</v>
      </c>
      <c r="AB689">
        <v>274.39999999999998</v>
      </c>
      <c r="AC689">
        <v>0</v>
      </c>
      <c r="AD689">
        <v>37.180327868852459</v>
      </c>
      <c r="AE689">
        <v>140</v>
      </c>
      <c r="AF689">
        <v>0</v>
      </c>
      <c r="AG689">
        <v>82.911475409836058</v>
      </c>
      <c r="AH689">
        <v>224.4</v>
      </c>
      <c r="AI689">
        <v>0</v>
      </c>
      <c r="AJ689">
        <v>52</v>
      </c>
      <c r="AK689">
        <v>115.6</v>
      </c>
      <c r="AL689">
        <v>128</v>
      </c>
      <c r="AM689">
        <v>50</v>
      </c>
      <c r="AN689">
        <v>178</v>
      </c>
      <c r="AP689">
        <v>25</v>
      </c>
    </row>
    <row r="690" spans="1:42" x14ac:dyDescent="0.3">
      <c r="A690" t="s">
        <v>1208</v>
      </c>
      <c r="B690" t="s">
        <v>135</v>
      </c>
      <c r="C690" t="s">
        <v>5</v>
      </c>
      <c r="D690" t="s">
        <v>290</v>
      </c>
      <c r="E690" t="s">
        <v>1007</v>
      </c>
      <c r="F690">
        <v>2009</v>
      </c>
      <c r="G690">
        <v>115.6</v>
      </c>
      <c r="H690">
        <v>4</v>
      </c>
      <c r="I690">
        <v>1</v>
      </c>
      <c r="J690">
        <v>45</v>
      </c>
      <c r="K690">
        <v>52</v>
      </c>
      <c r="L690" t="s">
        <v>979</v>
      </c>
      <c r="M690">
        <v>22.7</v>
      </c>
      <c r="N690">
        <v>76</v>
      </c>
      <c r="O690">
        <v>0</v>
      </c>
      <c r="P690">
        <v>52.166666666666657</v>
      </c>
      <c r="Q690">
        <v>103.6666666666667</v>
      </c>
      <c r="R690">
        <v>29.466666666666669</v>
      </c>
      <c r="S690">
        <v>137</v>
      </c>
      <c r="T690">
        <v>11</v>
      </c>
      <c r="U690">
        <v>53.25</v>
      </c>
      <c r="V690">
        <v>97</v>
      </c>
      <c r="W690">
        <v>0</v>
      </c>
      <c r="X690">
        <v>28.189024390243901</v>
      </c>
      <c r="Y690">
        <v>121</v>
      </c>
      <c r="Z690">
        <v>0</v>
      </c>
      <c r="AA690">
        <v>116.45060975609761</v>
      </c>
      <c r="AB690">
        <v>274.39999999999998</v>
      </c>
      <c r="AC690">
        <v>0</v>
      </c>
      <c r="AD690">
        <v>37.180327868852459</v>
      </c>
      <c r="AE690">
        <v>140</v>
      </c>
      <c r="AF690">
        <v>0</v>
      </c>
      <c r="AG690">
        <v>82.911475409836058</v>
      </c>
      <c r="AH690">
        <v>224.4</v>
      </c>
      <c r="AI690">
        <v>0</v>
      </c>
      <c r="AJ690">
        <v>36</v>
      </c>
      <c r="AK690">
        <v>156.5</v>
      </c>
      <c r="AL690">
        <v>124</v>
      </c>
      <c r="AM690">
        <v>49</v>
      </c>
      <c r="AN690">
        <v>173</v>
      </c>
      <c r="AO690">
        <v>5</v>
      </c>
      <c r="AP690">
        <v>20</v>
      </c>
    </row>
    <row r="691" spans="1:42" x14ac:dyDescent="0.3">
      <c r="A691" t="s">
        <v>1295</v>
      </c>
      <c r="B691" t="s">
        <v>73</v>
      </c>
      <c r="C691" t="s">
        <v>5</v>
      </c>
      <c r="D691" t="s">
        <v>290</v>
      </c>
      <c r="E691" t="s">
        <v>1007</v>
      </c>
      <c r="F691">
        <v>2009</v>
      </c>
      <c r="G691">
        <v>156.5</v>
      </c>
      <c r="H691">
        <v>3</v>
      </c>
      <c r="I691">
        <v>2</v>
      </c>
      <c r="J691">
        <v>23</v>
      </c>
      <c r="K691">
        <v>36</v>
      </c>
      <c r="L691" t="s">
        <v>979</v>
      </c>
      <c r="M691">
        <v>22.50724637681159</v>
      </c>
      <c r="N691">
        <v>76</v>
      </c>
      <c r="O691">
        <v>0</v>
      </c>
      <c r="P691">
        <v>52.166666666666657</v>
      </c>
      <c r="Q691">
        <v>103.6666666666667</v>
      </c>
      <c r="R691">
        <v>29.659420289855071</v>
      </c>
      <c r="S691">
        <v>137</v>
      </c>
      <c r="T691">
        <v>11</v>
      </c>
      <c r="U691">
        <v>38.228571428571428</v>
      </c>
      <c r="V691">
        <v>137</v>
      </c>
      <c r="W691">
        <v>0</v>
      </c>
      <c r="X691">
        <v>28.189024390243901</v>
      </c>
      <c r="Y691">
        <v>121</v>
      </c>
      <c r="Z691">
        <v>0</v>
      </c>
      <c r="AA691">
        <v>116.45060975609761</v>
      </c>
      <c r="AB691">
        <v>274.39999999999998</v>
      </c>
      <c r="AC691">
        <v>0</v>
      </c>
      <c r="AD691">
        <v>37.180327868852459</v>
      </c>
      <c r="AE691">
        <v>140</v>
      </c>
      <c r="AF691">
        <v>0</v>
      </c>
      <c r="AG691">
        <v>82.911475409836058</v>
      </c>
      <c r="AH691">
        <v>224.4</v>
      </c>
      <c r="AI691">
        <v>0</v>
      </c>
      <c r="AL691">
        <v>121</v>
      </c>
      <c r="AM691">
        <v>47</v>
      </c>
      <c r="AN691">
        <v>168</v>
      </c>
      <c r="AP691">
        <v>15</v>
      </c>
    </row>
    <row r="692" spans="1:42" x14ac:dyDescent="0.3">
      <c r="A692" t="s">
        <v>1387</v>
      </c>
      <c r="B692" t="s">
        <v>60</v>
      </c>
      <c r="C692" t="s">
        <v>1043</v>
      </c>
      <c r="D692" t="s">
        <v>530</v>
      </c>
      <c r="E692" t="s">
        <v>1036</v>
      </c>
      <c r="F692">
        <v>2009</v>
      </c>
      <c r="G692">
        <v>104.3</v>
      </c>
      <c r="H692">
        <v>1</v>
      </c>
      <c r="I692">
        <v>1</v>
      </c>
      <c r="J692">
        <v>23</v>
      </c>
      <c r="K692">
        <v>24</v>
      </c>
      <c r="L692" t="s">
        <v>1327</v>
      </c>
      <c r="M692">
        <v>22.485294117647062</v>
      </c>
      <c r="N692">
        <v>76</v>
      </c>
      <c r="O692">
        <v>0</v>
      </c>
      <c r="P692">
        <v>22.333333333333329</v>
      </c>
      <c r="Q692">
        <v>124.1333333333333</v>
      </c>
      <c r="R692">
        <v>-0.15196078431372581</v>
      </c>
      <c r="S692">
        <v>42</v>
      </c>
      <c r="T692">
        <v>5</v>
      </c>
      <c r="U692">
        <v>25.96875</v>
      </c>
      <c r="V692">
        <v>94</v>
      </c>
      <c r="W692">
        <v>0</v>
      </c>
      <c r="X692">
        <v>26.556862745098041</v>
      </c>
      <c r="Y692">
        <v>109</v>
      </c>
      <c r="Z692">
        <v>0</v>
      </c>
      <c r="AA692">
        <v>114.6301960784314</v>
      </c>
      <c r="AB692">
        <v>350</v>
      </c>
      <c r="AC692">
        <v>0</v>
      </c>
      <c r="AD692">
        <v>26.732758620689651</v>
      </c>
      <c r="AE692">
        <v>114</v>
      </c>
      <c r="AF692">
        <v>0</v>
      </c>
      <c r="AG692">
        <v>115.31896551724139</v>
      </c>
      <c r="AH692">
        <v>350</v>
      </c>
      <c r="AI692">
        <v>0</v>
      </c>
      <c r="AJ692">
        <v>17</v>
      </c>
      <c r="AK692">
        <v>72.75</v>
      </c>
      <c r="AL692">
        <v>120</v>
      </c>
      <c r="AM692">
        <v>46</v>
      </c>
      <c r="AN692">
        <v>166</v>
      </c>
      <c r="AO692">
        <v>14</v>
      </c>
      <c r="AP692">
        <v>95</v>
      </c>
    </row>
    <row r="693" spans="1:42" x14ac:dyDescent="0.3">
      <c r="A693" t="s">
        <v>1642</v>
      </c>
      <c r="B693" t="s">
        <v>8</v>
      </c>
      <c r="C693" t="s">
        <v>1043</v>
      </c>
      <c r="D693" t="s">
        <v>180</v>
      </c>
      <c r="E693" t="s">
        <v>1036</v>
      </c>
      <c r="F693">
        <v>2009</v>
      </c>
      <c r="G693">
        <v>45.5</v>
      </c>
      <c r="H693">
        <v>0</v>
      </c>
      <c r="I693">
        <v>0</v>
      </c>
      <c r="J693">
        <v>11</v>
      </c>
      <c r="K693">
        <v>5</v>
      </c>
      <c r="L693" t="s">
        <v>1327</v>
      </c>
      <c r="M693">
        <v>22.746268656716421</v>
      </c>
      <c r="N693">
        <v>76</v>
      </c>
      <c r="O693">
        <v>0</v>
      </c>
      <c r="P693">
        <v>16.899999999999999</v>
      </c>
      <c r="Q693">
        <v>68.815000000000012</v>
      </c>
      <c r="R693">
        <v>-5.8462686567164184</v>
      </c>
      <c r="S693">
        <v>57</v>
      </c>
      <c r="T693">
        <v>0</v>
      </c>
      <c r="U693">
        <v>28.567567567567568</v>
      </c>
      <c r="V693">
        <v>74</v>
      </c>
      <c r="W693">
        <v>0</v>
      </c>
      <c r="X693">
        <v>26.556862745098041</v>
      </c>
      <c r="Y693">
        <v>109</v>
      </c>
      <c r="Z693">
        <v>0</v>
      </c>
      <c r="AA693">
        <v>114.6301960784314</v>
      </c>
      <c r="AB693">
        <v>350</v>
      </c>
      <c r="AC693">
        <v>0</v>
      </c>
      <c r="AD693">
        <v>26.732758620689651</v>
      </c>
      <c r="AE693">
        <v>114</v>
      </c>
      <c r="AF693">
        <v>0</v>
      </c>
      <c r="AG693">
        <v>115.31896551724139</v>
      </c>
      <c r="AH693">
        <v>350</v>
      </c>
      <c r="AI693">
        <v>0</v>
      </c>
      <c r="AJ693">
        <v>54</v>
      </c>
      <c r="AK693">
        <v>130.75</v>
      </c>
      <c r="AL693">
        <v>120</v>
      </c>
      <c r="AM693">
        <v>46</v>
      </c>
      <c r="AN693">
        <v>166</v>
      </c>
      <c r="AO693">
        <v>6</v>
      </c>
      <c r="AP693">
        <v>95</v>
      </c>
    </row>
    <row r="694" spans="1:42" x14ac:dyDescent="0.3">
      <c r="A694" t="s">
        <v>1515</v>
      </c>
      <c r="B694" t="s">
        <v>60</v>
      </c>
      <c r="C694" t="s">
        <v>1043</v>
      </c>
      <c r="D694" t="s">
        <v>180</v>
      </c>
      <c r="E694" t="s">
        <v>1036</v>
      </c>
      <c r="F694">
        <v>2009</v>
      </c>
      <c r="G694">
        <v>100</v>
      </c>
      <c r="H694">
        <v>1</v>
      </c>
      <c r="I694">
        <v>0</v>
      </c>
      <c r="J694">
        <v>12</v>
      </c>
      <c r="K694">
        <v>12</v>
      </c>
      <c r="L694" t="s">
        <v>1327</v>
      </c>
      <c r="M694">
        <v>22.90909090909091</v>
      </c>
      <c r="N694">
        <v>76</v>
      </c>
      <c r="O694">
        <v>0</v>
      </c>
      <c r="P694">
        <v>16.899999999999999</v>
      </c>
      <c r="Q694">
        <v>68.815000000000012</v>
      </c>
      <c r="R694">
        <v>-6.0090909090909106</v>
      </c>
      <c r="S694">
        <v>57</v>
      </c>
      <c r="T694">
        <v>0</v>
      </c>
      <c r="U694">
        <v>25.96875</v>
      </c>
      <c r="V694">
        <v>94</v>
      </c>
      <c r="W694">
        <v>0</v>
      </c>
      <c r="X694">
        <v>26.556862745098041</v>
      </c>
      <c r="Y694">
        <v>109</v>
      </c>
      <c r="Z694">
        <v>0</v>
      </c>
      <c r="AA694">
        <v>114.6301960784314</v>
      </c>
      <c r="AB694">
        <v>350</v>
      </c>
      <c r="AC694">
        <v>0</v>
      </c>
      <c r="AD694">
        <v>26.732758620689651</v>
      </c>
      <c r="AE694">
        <v>114</v>
      </c>
      <c r="AF694">
        <v>0</v>
      </c>
      <c r="AG694">
        <v>115.31896551724139</v>
      </c>
      <c r="AH694">
        <v>350</v>
      </c>
      <c r="AI694">
        <v>0</v>
      </c>
      <c r="AJ694">
        <v>74</v>
      </c>
      <c r="AK694">
        <v>203.85</v>
      </c>
      <c r="AL694">
        <v>119</v>
      </c>
      <c r="AM694">
        <v>46</v>
      </c>
      <c r="AN694">
        <v>165</v>
      </c>
      <c r="AO694">
        <v>5</v>
      </c>
      <c r="AP694">
        <v>94</v>
      </c>
    </row>
    <row r="695" spans="1:42" x14ac:dyDescent="0.3">
      <c r="A695" t="s">
        <v>1267</v>
      </c>
      <c r="B695" t="s">
        <v>40</v>
      </c>
      <c r="C695" t="s">
        <v>1043</v>
      </c>
      <c r="D695" t="s">
        <v>530</v>
      </c>
      <c r="E695" t="s">
        <v>1036</v>
      </c>
      <c r="F695">
        <v>2009</v>
      </c>
      <c r="G695">
        <v>161.5</v>
      </c>
      <c r="H695">
        <v>3</v>
      </c>
      <c r="I695">
        <v>3</v>
      </c>
      <c r="J695">
        <v>26</v>
      </c>
      <c r="K695">
        <v>42</v>
      </c>
      <c r="L695" t="s">
        <v>979</v>
      </c>
      <c r="M695">
        <v>22.61538461538462</v>
      </c>
      <c r="N695">
        <v>76</v>
      </c>
      <c r="O695">
        <v>0</v>
      </c>
      <c r="P695">
        <v>22.333333333333329</v>
      </c>
      <c r="Q695">
        <v>124.1333333333333</v>
      </c>
      <c r="R695">
        <v>-0.2820512820512846</v>
      </c>
      <c r="S695">
        <v>42</v>
      </c>
      <c r="T695">
        <v>5</v>
      </c>
      <c r="U695">
        <v>28.12903225806452</v>
      </c>
      <c r="V695">
        <v>79</v>
      </c>
      <c r="W695">
        <v>0</v>
      </c>
      <c r="X695">
        <v>26.556862745098041</v>
      </c>
      <c r="Y695">
        <v>109</v>
      </c>
      <c r="Z695">
        <v>0</v>
      </c>
      <c r="AA695">
        <v>114.6301960784314</v>
      </c>
      <c r="AB695">
        <v>350</v>
      </c>
      <c r="AC695">
        <v>0</v>
      </c>
      <c r="AD695">
        <v>26.732758620689651</v>
      </c>
      <c r="AE695">
        <v>114</v>
      </c>
      <c r="AF695">
        <v>0</v>
      </c>
      <c r="AG695">
        <v>115.31896551724139</v>
      </c>
      <c r="AH695">
        <v>350</v>
      </c>
      <c r="AI695">
        <v>0</v>
      </c>
      <c r="AJ695">
        <v>38</v>
      </c>
      <c r="AK695">
        <v>165.95</v>
      </c>
      <c r="AL695">
        <v>116</v>
      </c>
      <c r="AM695">
        <v>43</v>
      </c>
      <c r="AN695">
        <v>159</v>
      </c>
      <c r="AO695">
        <v>8</v>
      </c>
      <c r="AP695">
        <v>88</v>
      </c>
    </row>
    <row r="696" spans="1:42" x14ac:dyDescent="0.3">
      <c r="A696" t="s">
        <v>1319</v>
      </c>
      <c r="B696" t="s">
        <v>11</v>
      </c>
      <c r="C696" t="s">
        <v>1043</v>
      </c>
      <c r="D696" t="s">
        <v>530</v>
      </c>
      <c r="E696" t="s">
        <v>1036</v>
      </c>
      <c r="F696">
        <v>2009</v>
      </c>
      <c r="G696">
        <v>246.2</v>
      </c>
      <c r="H696">
        <v>3</v>
      </c>
      <c r="I696">
        <v>2</v>
      </c>
      <c r="J696">
        <v>13</v>
      </c>
      <c r="K696">
        <v>32</v>
      </c>
      <c r="L696" t="s">
        <v>979</v>
      </c>
      <c r="M696">
        <v>22.46875</v>
      </c>
      <c r="N696">
        <v>76</v>
      </c>
      <c r="O696">
        <v>0</v>
      </c>
      <c r="P696">
        <v>22.333333333333329</v>
      </c>
      <c r="Q696">
        <v>124.1333333333333</v>
      </c>
      <c r="R696">
        <v>-0.13541666666666791</v>
      </c>
      <c r="S696">
        <v>42</v>
      </c>
      <c r="T696">
        <v>5</v>
      </c>
      <c r="U696">
        <v>31.852941176470591</v>
      </c>
      <c r="V696">
        <v>109</v>
      </c>
      <c r="W696">
        <v>0</v>
      </c>
      <c r="X696">
        <v>26.556862745098041</v>
      </c>
      <c r="Y696">
        <v>109</v>
      </c>
      <c r="Z696">
        <v>0</v>
      </c>
      <c r="AA696">
        <v>114.6301960784314</v>
      </c>
      <c r="AB696">
        <v>350</v>
      </c>
      <c r="AC696">
        <v>0</v>
      </c>
      <c r="AD696">
        <v>26.732758620689651</v>
      </c>
      <c r="AE696">
        <v>114</v>
      </c>
      <c r="AF696">
        <v>0</v>
      </c>
      <c r="AG696">
        <v>115.31896551724139</v>
      </c>
      <c r="AH696">
        <v>350</v>
      </c>
      <c r="AI696">
        <v>0</v>
      </c>
      <c r="AJ696">
        <v>15</v>
      </c>
      <c r="AK696">
        <v>75</v>
      </c>
      <c r="AL696">
        <v>113</v>
      </c>
      <c r="AM696">
        <v>41</v>
      </c>
      <c r="AN696">
        <v>154</v>
      </c>
      <c r="AO696">
        <v>3</v>
      </c>
      <c r="AP696">
        <v>83</v>
      </c>
    </row>
    <row r="697" spans="1:42" x14ac:dyDescent="0.3">
      <c r="A697" t="s">
        <v>1614</v>
      </c>
      <c r="B697" t="s">
        <v>8</v>
      </c>
      <c r="C697" t="s">
        <v>1043</v>
      </c>
      <c r="D697" t="s">
        <v>535</v>
      </c>
      <c r="E697" t="s">
        <v>1036</v>
      </c>
      <c r="F697">
        <v>2009</v>
      </c>
      <c r="G697">
        <v>85.7</v>
      </c>
      <c r="H697">
        <v>1</v>
      </c>
      <c r="I697">
        <v>0</v>
      </c>
      <c r="J697">
        <v>7</v>
      </c>
      <c r="K697">
        <v>6</v>
      </c>
      <c r="L697" t="s">
        <v>1327</v>
      </c>
      <c r="M697">
        <v>22.730158730158731</v>
      </c>
      <c r="N697">
        <v>76</v>
      </c>
      <c r="O697">
        <v>0</v>
      </c>
      <c r="P697">
        <v>21.3</v>
      </c>
      <c r="Q697">
        <v>91.61</v>
      </c>
      <c r="R697">
        <v>-1.43015873015873</v>
      </c>
      <c r="S697">
        <v>53</v>
      </c>
      <c r="T697">
        <v>3</v>
      </c>
      <c r="U697">
        <v>28.567567567567568</v>
      </c>
      <c r="V697">
        <v>74</v>
      </c>
      <c r="W697">
        <v>0</v>
      </c>
      <c r="X697">
        <v>26.556862745098041</v>
      </c>
      <c r="Y697">
        <v>109</v>
      </c>
      <c r="Z697">
        <v>0</v>
      </c>
      <c r="AA697">
        <v>114.6301960784314</v>
      </c>
      <c r="AB697">
        <v>350</v>
      </c>
      <c r="AC697">
        <v>0</v>
      </c>
      <c r="AD697">
        <v>26.732758620689651</v>
      </c>
      <c r="AE697">
        <v>114</v>
      </c>
      <c r="AF697">
        <v>0</v>
      </c>
      <c r="AG697">
        <v>115.31896551724139</v>
      </c>
      <c r="AH697">
        <v>350</v>
      </c>
      <c r="AI697">
        <v>0</v>
      </c>
      <c r="AJ697">
        <v>18</v>
      </c>
      <c r="AK697">
        <v>62.15</v>
      </c>
      <c r="AL697">
        <v>112</v>
      </c>
      <c r="AM697">
        <v>41</v>
      </c>
      <c r="AN697">
        <v>153</v>
      </c>
      <c r="AO697">
        <v>11</v>
      </c>
      <c r="AP697">
        <v>82</v>
      </c>
    </row>
    <row r="698" spans="1:42" x14ac:dyDescent="0.3">
      <c r="A698" t="s">
        <v>1564</v>
      </c>
      <c r="B698" t="s">
        <v>4</v>
      </c>
      <c r="C698" t="s">
        <v>1043</v>
      </c>
      <c r="D698" t="s">
        <v>898</v>
      </c>
      <c r="E698" t="s">
        <v>1036</v>
      </c>
      <c r="F698">
        <v>2009</v>
      </c>
      <c r="G698">
        <v>64.3</v>
      </c>
      <c r="H698">
        <v>0</v>
      </c>
      <c r="I698">
        <v>0</v>
      </c>
      <c r="J698">
        <v>14</v>
      </c>
      <c r="K698">
        <v>9</v>
      </c>
      <c r="L698" t="s">
        <v>1327</v>
      </c>
      <c r="M698">
        <v>22.951612903225811</v>
      </c>
      <c r="N698">
        <v>76</v>
      </c>
      <c r="O698">
        <v>0</v>
      </c>
      <c r="P698">
        <v>9</v>
      </c>
      <c r="Q698">
        <v>62.15</v>
      </c>
      <c r="R698">
        <v>-13.95161290322581</v>
      </c>
      <c r="S698">
        <v>9</v>
      </c>
      <c r="T698">
        <v>9</v>
      </c>
      <c r="U698">
        <v>20.68965517241379</v>
      </c>
      <c r="V698">
        <v>73</v>
      </c>
      <c r="W698">
        <v>0</v>
      </c>
      <c r="X698">
        <v>26.556862745098041</v>
      </c>
      <c r="Y698">
        <v>109</v>
      </c>
      <c r="Z698">
        <v>0</v>
      </c>
      <c r="AA698">
        <v>114.6301960784314</v>
      </c>
      <c r="AB698">
        <v>350</v>
      </c>
      <c r="AC698">
        <v>0</v>
      </c>
      <c r="AD698">
        <v>26.732758620689651</v>
      </c>
      <c r="AE698">
        <v>114</v>
      </c>
      <c r="AF698">
        <v>0</v>
      </c>
      <c r="AG698">
        <v>115.31896551724139</v>
      </c>
      <c r="AH698">
        <v>350</v>
      </c>
      <c r="AI698">
        <v>0</v>
      </c>
      <c r="AJ698">
        <v>47</v>
      </c>
      <c r="AK698">
        <v>82.8</v>
      </c>
      <c r="AL698">
        <v>112</v>
      </c>
      <c r="AM698">
        <v>41</v>
      </c>
      <c r="AN698">
        <v>153</v>
      </c>
      <c r="AO698">
        <v>1</v>
      </c>
      <c r="AP698">
        <v>82</v>
      </c>
    </row>
    <row r="699" spans="1:42" x14ac:dyDescent="0.3">
      <c r="A699" t="s">
        <v>1565</v>
      </c>
      <c r="B699" t="s">
        <v>40</v>
      </c>
      <c r="C699" t="s">
        <v>1043</v>
      </c>
      <c r="D699" t="s">
        <v>898</v>
      </c>
      <c r="E699" t="s">
        <v>1036</v>
      </c>
      <c r="F699">
        <v>2009</v>
      </c>
      <c r="G699">
        <v>60</v>
      </c>
      <c r="H699">
        <v>1</v>
      </c>
      <c r="I699">
        <v>0</v>
      </c>
      <c r="J699">
        <v>15</v>
      </c>
      <c r="K699">
        <v>9</v>
      </c>
      <c r="L699" t="s">
        <v>1327</v>
      </c>
      <c r="M699">
        <v>23.180327868852459</v>
      </c>
      <c r="N699">
        <v>76</v>
      </c>
      <c r="O699">
        <v>0</v>
      </c>
      <c r="P699">
        <v>9</v>
      </c>
      <c r="Q699">
        <v>62.15</v>
      </c>
      <c r="R699">
        <v>-14.18032786885246</v>
      </c>
      <c r="S699">
        <v>9</v>
      </c>
      <c r="T699">
        <v>9</v>
      </c>
      <c r="U699">
        <v>28.12903225806452</v>
      </c>
      <c r="V699">
        <v>79</v>
      </c>
      <c r="W699">
        <v>0</v>
      </c>
      <c r="X699">
        <v>26.556862745098041</v>
      </c>
      <c r="Y699">
        <v>109</v>
      </c>
      <c r="Z699">
        <v>0</v>
      </c>
      <c r="AA699">
        <v>114.6301960784314</v>
      </c>
      <c r="AB699">
        <v>350</v>
      </c>
      <c r="AC699">
        <v>0</v>
      </c>
      <c r="AD699">
        <v>26.732758620689651</v>
      </c>
      <c r="AE699">
        <v>114</v>
      </c>
      <c r="AF699">
        <v>0</v>
      </c>
      <c r="AG699">
        <v>115.31896551724139</v>
      </c>
      <c r="AH699">
        <v>350</v>
      </c>
      <c r="AI699">
        <v>0</v>
      </c>
      <c r="AJ699">
        <v>59</v>
      </c>
      <c r="AK699">
        <v>105.3</v>
      </c>
      <c r="AL699">
        <v>111</v>
      </c>
      <c r="AM699">
        <v>41</v>
      </c>
      <c r="AN699">
        <v>152</v>
      </c>
      <c r="AP699">
        <v>81</v>
      </c>
    </row>
    <row r="700" spans="1:42" x14ac:dyDescent="0.3">
      <c r="A700" t="s">
        <v>1286</v>
      </c>
      <c r="B700" t="s">
        <v>878</v>
      </c>
      <c r="C700" t="s">
        <v>1043</v>
      </c>
      <c r="D700" t="s">
        <v>180</v>
      </c>
      <c r="E700" t="s">
        <v>1036</v>
      </c>
      <c r="F700">
        <v>2009</v>
      </c>
      <c r="G700">
        <v>105.6</v>
      </c>
      <c r="H700">
        <v>2</v>
      </c>
      <c r="I700">
        <v>1</v>
      </c>
      <c r="J700">
        <v>36</v>
      </c>
      <c r="K700">
        <v>38</v>
      </c>
      <c r="L700" t="s">
        <v>979</v>
      </c>
      <c r="M700">
        <v>22.93333333333333</v>
      </c>
      <c r="N700">
        <v>76</v>
      </c>
      <c r="O700">
        <v>0</v>
      </c>
      <c r="P700">
        <v>16.899999999999999</v>
      </c>
      <c r="Q700">
        <v>68.815000000000012</v>
      </c>
      <c r="R700">
        <v>-6.033333333333335</v>
      </c>
      <c r="S700">
        <v>57</v>
      </c>
      <c r="T700">
        <v>0</v>
      </c>
      <c r="U700">
        <v>23</v>
      </c>
      <c r="V700">
        <v>45</v>
      </c>
      <c r="W700">
        <v>3</v>
      </c>
      <c r="X700">
        <v>26.556862745098041</v>
      </c>
      <c r="Y700">
        <v>109</v>
      </c>
      <c r="Z700">
        <v>0</v>
      </c>
      <c r="AA700">
        <v>114.6301960784314</v>
      </c>
      <c r="AB700">
        <v>350</v>
      </c>
      <c r="AC700">
        <v>0</v>
      </c>
      <c r="AD700">
        <v>26.732758620689651</v>
      </c>
      <c r="AE700">
        <v>114</v>
      </c>
      <c r="AF700">
        <v>0</v>
      </c>
      <c r="AG700">
        <v>115.31896551724139</v>
      </c>
      <c r="AH700">
        <v>350</v>
      </c>
      <c r="AI700">
        <v>0</v>
      </c>
      <c r="AJ700">
        <v>59</v>
      </c>
      <c r="AK700">
        <v>111.9</v>
      </c>
      <c r="AL700">
        <v>109</v>
      </c>
      <c r="AM700">
        <v>40</v>
      </c>
      <c r="AN700">
        <v>149</v>
      </c>
      <c r="AO700">
        <v>2</v>
      </c>
      <c r="AP700">
        <v>78</v>
      </c>
    </row>
    <row r="701" spans="1:42" x14ac:dyDescent="0.3">
      <c r="A701" t="s">
        <v>1411</v>
      </c>
      <c r="B701" t="s">
        <v>56</v>
      </c>
      <c r="C701" t="s">
        <v>1043</v>
      </c>
      <c r="D701" t="s">
        <v>902</v>
      </c>
      <c r="E701" t="s">
        <v>1036</v>
      </c>
      <c r="F701">
        <v>2009</v>
      </c>
      <c r="G701">
        <v>105</v>
      </c>
      <c r="H701">
        <v>2</v>
      </c>
      <c r="I701">
        <v>1</v>
      </c>
      <c r="J701">
        <v>20</v>
      </c>
      <c r="K701">
        <v>21</v>
      </c>
      <c r="L701" t="s">
        <v>1327</v>
      </c>
      <c r="M701">
        <v>22.966101694915249</v>
      </c>
      <c r="N701">
        <v>76</v>
      </c>
      <c r="O701">
        <v>0</v>
      </c>
      <c r="P701">
        <v>21</v>
      </c>
      <c r="Q701">
        <v>105</v>
      </c>
      <c r="R701">
        <v>-1.966101694915253</v>
      </c>
      <c r="S701">
        <v>21</v>
      </c>
      <c r="T701">
        <v>21</v>
      </c>
      <c r="U701">
        <v>25.6</v>
      </c>
      <c r="V701">
        <v>105</v>
      </c>
      <c r="W701">
        <v>0</v>
      </c>
      <c r="X701">
        <v>26.556862745098041</v>
      </c>
      <c r="Y701">
        <v>109</v>
      </c>
      <c r="Z701">
        <v>0</v>
      </c>
      <c r="AA701">
        <v>114.6301960784314</v>
      </c>
      <c r="AB701">
        <v>350</v>
      </c>
      <c r="AC701">
        <v>0</v>
      </c>
      <c r="AD701">
        <v>26.732758620689651</v>
      </c>
      <c r="AE701">
        <v>114</v>
      </c>
      <c r="AF701">
        <v>0</v>
      </c>
      <c r="AG701">
        <v>115.31896551724139</v>
      </c>
      <c r="AH701">
        <v>350</v>
      </c>
      <c r="AI701">
        <v>0</v>
      </c>
      <c r="AJ701">
        <v>55</v>
      </c>
      <c r="AK701">
        <v>101.9</v>
      </c>
      <c r="AL701">
        <v>107</v>
      </c>
      <c r="AM701">
        <v>39</v>
      </c>
      <c r="AN701">
        <v>146</v>
      </c>
      <c r="AP701">
        <v>75</v>
      </c>
    </row>
    <row r="702" spans="1:42" x14ac:dyDescent="0.3">
      <c r="A702" t="s">
        <v>1287</v>
      </c>
      <c r="B702" t="s">
        <v>4</v>
      </c>
      <c r="C702" t="s">
        <v>1043</v>
      </c>
      <c r="D702" t="s">
        <v>532</v>
      </c>
      <c r="E702" t="s">
        <v>1036</v>
      </c>
      <c r="F702">
        <v>2009</v>
      </c>
      <c r="G702">
        <v>118.8</v>
      </c>
      <c r="H702">
        <v>2</v>
      </c>
      <c r="I702">
        <v>2</v>
      </c>
      <c r="J702">
        <v>32</v>
      </c>
      <c r="K702">
        <v>38</v>
      </c>
      <c r="L702" t="s">
        <v>979</v>
      </c>
      <c r="M702">
        <v>22.706896551724139</v>
      </c>
      <c r="N702">
        <v>76</v>
      </c>
      <c r="O702">
        <v>0</v>
      </c>
      <c r="P702">
        <v>51.333333333333343</v>
      </c>
      <c r="Q702">
        <v>75.600000000000009</v>
      </c>
      <c r="R702">
        <v>28.6264367816092</v>
      </c>
      <c r="S702">
        <v>115</v>
      </c>
      <c r="T702">
        <v>1</v>
      </c>
      <c r="U702">
        <v>20.68965517241379</v>
      </c>
      <c r="V702">
        <v>73</v>
      </c>
      <c r="W702">
        <v>0</v>
      </c>
      <c r="X702">
        <v>26.556862745098041</v>
      </c>
      <c r="Y702">
        <v>109</v>
      </c>
      <c r="Z702">
        <v>0</v>
      </c>
      <c r="AA702">
        <v>114.6301960784314</v>
      </c>
      <c r="AB702">
        <v>350</v>
      </c>
      <c r="AC702">
        <v>0</v>
      </c>
      <c r="AD702">
        <v>26.732758620689651</v>
      </c>
      <c r="AE702">
        <v>114</v>
      </c>
      <c r="AF702">
        <v>0</v>
      </c>
      <c r="AG702">
        <v>115.31896551724139</v>
      </c>
      <c r="AH702">
        <v>350</v>
      </c>
      <c r="AI702">
        <v>0</v>
      </c>
      <c r="AJ702">
        <v>35</v>
      </c>
      <c r="AK702">
        <v>89.85</v>
      </c>
      <c r="AL702">
        <v>105</v>
      </c>
      <c r="AM702">
        <v>37</v>
      </c>
      <c r="AN702">
        <v>142</v>
      </c>
      <c r="AP702">
        <v>71</v>
      </c>
    </row>
    <row r="703" spans="1:42" x14ac:dyDescent="0.3">
      <c r="A703" t="s">
        <v>1452</v>
      </c>
      <c r="B703" t="s">
        <v>8</v>
      </c>
      <c r="C703" t="s">
        <v>1043</v>
      </c>
      <c r="D703" t="s">
        <v>180</v>
      </c>
      <c r="E703" t="s">
        <v>1047</v>
      </c>
      <c r="F703">
        <v>2009</v>
      </c>
      <c r="G703">
        <v>85</v>
      </c>
      <c r="H703">
        <v>2</v>
      </c>
      <c r="I703">
        <v>0</v>
      </c>
      <c r="J703">
        <v>20</v>
      </c>
      <c r="K703">
        <v>17</v>
      </c>
      <c r="L703" t="s">
        <v>1327</v>
      </c>
      <c r="M703">
        <v>22.807017543859651</v>
      </c>
      <c r="N703">
        <v>76</v>
      </c>
      <c r="O703">
        <v>0</v>
      </c>
      <c r="P703">
        <v>16.899999999999999</v>
      </c>
      <c r="Q703">
        <v>68.815000000000012</v>
      </c>
      <c r="R703">
        <v>-5.9070175438596522</v>
      </c>
      <c r="S703">
        <v>57</v>
      </c>
      <c r="T703">
        <v>0</v>
      </c>
      <c r="U703">
        <v>28.567567567567568</v>
      </c>
      <c r="V703">
        <v>74</v>
      </c>
      <c r="W703">
        <v>0</v>
      </c>
      <c r="X703">
        <v>26.556862745098041</v>
      </c>
      <c r="Y703">
        <v>109</v>
      </c>
      <c r="Z703">
        <v>0</v>
      </c>
      <c r="AA703">
        <v>114.6301960784314</v>
      </c>
      <c r="AB703">
        <v>350</v>
      </c>
      <c r="AC703">
        <v>0</v>
      </c>
      <c r="AD703">
        <v>27.9758064516129</v>
      </c>
      <c r="AE703">
        <v>105</v>
      </c>
      <c r="AF703">
        <v>0</v>
      </c>
      <c r="AG703">
        <v>110.46935483870971</v>
      </c>
      <c r="AH703">
        <v>280</v>
      </c>
      <c r="AI703">
        <v>0</v>
      </c>
      <c r="AJ703">
        <v>21</v>
      </c>
      <c r="AK703">
        <v>77.349999999999994</v>
      </c>
      <c r="AL703">
        <v>103</v>
      </c>
      <c r="AM703">
        <v>37</v>
      </c>
      <c r="AN703">
        <v>140</v>
      </c>
      <c r="AP703">
        <v>69</v>
      </c>
    </row>
    <row r="704" spans="1:42" x14ac:dyDescent="0.3">
      <c r="A704" t="s">
        <v>1444</v>
      </c>
      <c r="B704" t="s">
        <v>56</v>
      </c>
      <c r="C704" t="s">
        <v>1043</v>
      </c>
      <c r="D704" t="s">
        <v>535</v>
      </c>
      <c r="E704" t="s">
        <v>1047</v>
      </c>
      <c r="F704">
        <v>2009</v>
      </c>
      <c r="G704">
        <v>94.7</v>
      </c>
      <c r="H704">
        <v>0</v>
      </c>
      <c r="I704">
        <v>1</v>
      </c>
      <c r="J704">
        <v>19</v>
      </c>
      <c r="K704">
        <v>18</v>
      </c>
      <c r="L704" t="s">
        <v>1327</v>
      </c>
      <c r="M704">
        <v>22.892857142857139</v>
      </c>
      <c r="N704">
        <v>76</v>
      </c>
      <c r="O704">
        <v>0</v>
      </c>
      <c r="P704">
        <v>21.3</v>
      </c>
      <c r="Q704">
        <v>91.61</v>
      </c>
      <c r="R704">
        <v>-1.5928571428571421</v>
      </c>
      <c r="S704">
        <v>53</v>
      </c>
      <c r="T704">
        <v>3</v>
      </c>
      <c r="U704">
        <v>25.6</v>
      </c>
      <c r="V704">
        <v>105</v>
      </c>
      <c r="W704">
        <v>0</v>
      </c>
      <c r="X704">
        <v>26.556862745098041</v>
      </c>
      <c r="Y704">
        <v>109</v>
      </c>
      <c r="Z704">
        <v>0</v>
      </c>
      <c r="AA704">
        <v>114.6301960784314</v>
      </c>
      <c r="AB704">
        <v>350</v>
      </c>
      <c r="AC704">
        <v>0</v>
      </c>
      <c r="AD704">
        <v>27.9758064516129</v>
      </c>
      <c r="AE704">
        <v>105</v>
      </c>
      <c r="AF704">
        <v>0</v>
      </c>
      <c r="AG704">
        <v>110.46935483870971</v>
      </c>
      <c r="AH704">
        <v>280</v>
      </c>
      <c r="AI704">
        <v>0</v>
      </c>
      <c r="AJ704">
        <v>55</v>
      </c>
      <c r="AK704">
        <v>116.65</v>
      </c>
      <c r="AL704">
        <v>103</v>
      </c>
      <c r="AM704">
        <v>36</v>
      </c>
      <c r="AN704">
        <v>139</v>
      </c>
      <c r="AO704">
        <v>10</v>
      </c>
      <c r="AP704">
        <v>68</v>
      </c>
    </row>
    <row r="705" spans="1:42" x14ac:dyDescent="0.3">
      <c r="A705" t="s">
        <v>1677</v>
      </c>
      <c r="B705" t="s">
        <v>878</v>
      </c>
      <c r="C705" t="s">
        <v>1043</v>
      </c>
      <c r="D705" t="s">
        <v>535</v>
      </c>
      <c r="E705" t="s">
        <v>1047</v>
      </c>
      <c r="F705">
        <v>2009</v>
      </c>
      <c r="G705">
        <v>60</v>
      </c>
      <c r="H705">
        <v>0</v>
      </c>
      <c r="I705">
        <v>0</v>
      </c>
      <c r="J705">
        <v>5</v>
      </c>
      <c r="K705">
        <v>3</v>
      </c>
      <c r="L705" t="s">
        <v>1327</v>
      </c>
      <c r="M705">
        <v>23.25454545454545</v>
      </c>
      <c r="N705">
        <v>76</v>
      </c>
      <c r="O705">
        <v>0</v>
      </c>
      <c r="P705">
        <v>21.3</v>
      </c>
      <c r="Q705">
        <v>91.61</v>
      </c>
      <c r="R705">
        <v>-1.954545454545453</v>
      </c>
      <c r="S705">
        <v>53</v>
      </c>
      <c r="T705">
        <v>3</v>
      </c>
      <c r="U705">
        <v>23</v>
      </c>
      <c r="V705">
        <v>45</v>
      </c>
      <c r="W705">
        <v>3</v>
      </c>
      <c r="X705">
        <v>26.556862745098041</v>
      </c>
      <c r="Y705">
        <v>109</v>
      </c>
      <c r="Z705">
        <v>0</v>
      </c>
      <c r="AA705">
        <v>114.6301960784314</v>
      </c>
      <c r="AB705">
        <v>350</v>
      </c>
      <c r="AC705">
        <v>0</v>
      </c>
      <c r="AD705">
        <v>27.9758064516129</v>
      </c>
      <c r="AE705">
        <v>105</v>
      </c>
      <c r="AF705">
        <v>0</v>
      </c>
      <c r="AG705">
        <v>110.46935483870971</v>
      </c>
      <c r="AH705">
        <v>280</v>
      </c>
      <c r="AI705">
        <v>0</v>
      </c>
      <c r="AJ705">
        <v>52</v>
      </c>
      <c r="AK705">
        <v>173.3</v>
      </c>
      <c r="AL705">
        <v>103</v>
      </c>
      <c r="AM705">
        <v>36</v>
      </c>
      <c r="AN705">
        <v>139</v>
      </c>
      <c r="AO705">
        <v>10</v>
      </c>
      <c r="AP705">
        <v>68</v>
      </c>
    </row>
    <row r="706" spans="1:42" x14ac:dyDescent="0.3">
      <c r="A706" t="s">
        <v>1210</v>
      </c>
      <c r="B706" t="s">
        <v>60</v>
      </c>
      <c r="C706" t="s">
        <v>1043</v>
      </c>
      <c r="D706" t="s">
        <v>176</v>
      </c>
      <c r="E706" t="s">
        <v>1047</v>
      </c>
      <c r="F706">
        <v>2009</v>
      </c>
      <c r="G706">
        <v>173.3</v>
      </c>
      <c r="H706">
        <v>1</v>
      </c>
      <c r="I706">
        <v>5</v>
      </c>
      <c r="J706">
        <v>30</v>
      </c>
      <c r="K706">
        <v>52</v>
      </c>
      <c r="L706" t="s">
        <v>979</v>
      </c>
      <c r="M706">
        <v>22.722222222222221</v>
      </c>
      <c r="N706">
        <v>76</v>
      </c>
      <c r="O706">
        <v>0</v>
      </c>
      <c r="P706">
        <v>28.285714285714281</v>
      </c>
      <c r="Q706">
        <v>82.242857142857147</v>
      </c>
      <c r="R706">
        <v>5.5634920634920633</v>
      </c>
      <c r="S706">
        <v>55</v>
      </c>
      <c r="T706">
        <v>0</v>
      </c>
      <c r="U706">
        <v>25.96875</v>
      </c>
      <c r="V706">
        <v>94</v>
      </c>
      <c r="W706">
        <v>0</v>
      </c>
      <c r="X706">
        <v>26.556862745098041</v>
      </c>
      <c r="Y706">
        <v>109</v>
      </c>
      <c r="Z706">
        <v>0</v>
      </c>
      <c r="AA706">
        <v>114.6301960784314</v>
      </c>
      <c r="AB706">
        <v>350</v>
      </c>
      <c r="AC706">
        <v>0</v>
      </c>
      <c r="AD706">
        <v>27.9758064516129</v>
      </c>
      <c r="AE706">
        <v>105</v>
      </c>
      <c r="AF706">
        <v>0</v>
      </c>
      <c r="AG706">
        <v>110.46935483870971</v>
      </c>
      <c r="AH706">
        <v>280</v>
      </c>
      <c r="AI706">
        <v>0</v>
      </c>
      <c r="AJ706">
        <v>36</v>
      </c>
      <c r="AK706">
        <v>112.5</v>
      </c>
      <c r="AL706">
        <v>102</v>
      </c>
      <c r="AM706">
        <v>31</v>
      </c>
      <c r="AN706">
        <v>133</v>
      </c>
      <c r="AO706">
        <v>5</v>
      </c>
      <c r="AP706">
        <v>62</v>
      </c>
    </row>
    <row r="707" spans="1:42" x14ac:dyDescent="0.3">
      <c r="A707" t="s">
        <v>1296</v>
      </c>
      <c r="B707" t="s">
        <v>11</v>
      </c>
      <c r="C707" t="s">
        <v>1043</v>
      </c>
      <c r="D707" t="s">
        <v>176</v>
      </c>
      <c r="E707" t="s">
        <v>1047</v>
      </c>
      <c r="F707">
        <v>2009</v>
      </c>
      <c r="G707">
        <v>112.5</v>
      </c>
      <c r="H707">
        <v>3</v>
      </c>
      <c r="I707">
        <v>2</v>
      </c>
      <c r="J707">
        <v>32</v>
      </c>
      <c r="K707">
        <v>36</v>
      </c>
      <c r="L707" t="s">
        <v>979</v>
      </c>
      <c r="M707">
        <v>22.471698113207552</v>
      </c>
      <c r="N707">
        <v>76</v>
      </c>
      <c r="O707">
        <v>0</v>
      </c>
      <c r="P707">
        <v>28.285714285714281</v>
      </c>
      <c r="Q707">
        <v>82.242857142857147</v>
      </c>
      <c r="R707">
        <v>5.8140161725067374</v>
      </c>
      <c r="S707">
        <v>55</v>
      </c>
      <c r="T707">
        <v>0</v>
      </c>
      <c r="U707">
        <v>31.852941176470591</v>
      </c>
      <c r="V707">
        <v>109</v>
      </c>
      <c r="W707">
        <v>0</v>
      </c>
      <c r="X707">
        <v>26.556862745098041</v>
      </c>
      <c r="Y707">
        <v>109</v>
      </c>
      <c r="Z707">
        <v>0</v>
      </c>
      <c r="AA707">
        <v>114.6301960784314</v>
      </c>
      <c r="AB707">
        <v>350</v>
      </c>
      <c r="AC707">
        <v>0</v>
      </c>
      <c r="AD707">
        <v>27.9758064516129</v>
      </c>
      <c r="AE707">
        <v>105</v>
      </c>
      <c r="AF707">
        <v>0</v>
      </c>
      <c r="AG707">
        <v>110.46935483870971</v>
      </c>
      <c r="AH707">
        <v>280</v>
      </c>
      <c r="AI707">
        <v>0</v>
      </c>
      <c r="AL707">
        <v>99</v>
      </c>
      <c r="AM707">
        <v>29</v>
      </c>
      <c r="AN707">
        <v>128</v>
      </c>
      <c r="AP707">
        <v>57</v>
      </c>
    </row>
    <row r="708" spans="1:42" x14ac:dyDescent="0.3">
      <c r="A708" t="s">
        <v>1261</v>
      </c>
      <c r="B708" t="s">
        <v>15</v>
      </c>
      <c r="C708" t="s">
        <v>16</v>
      </c>
      <c r="D708" t="s">
        <v>407</v>
      </c>
      <c r="E708" t="s">
        <v>1016</v>
      </c>
      <c r="F708">
        <v>2009</v>
      </c>
      <c r="G708">
        <v>58.1</v>
      </c>
      <c r="H708">
        <v>1</v>
      </c>
      <c r="I708">
        <v>1</v>
      </c>
      <c r="J708">
        <v>74</v>
      </c>
      <c r="K708">
        <v>43</v>
      </c>
      <c r="L708" t="s">
        <v>979</v>
      </c>
      <c r="M708">
        <v>22.07692307692308</v>
      </c>
      <c r="N708">
        <v>76</v>
      </c>
      <c r="O708">
        <v>0</v>
      </c>
      <c r="P708">
        <v>36.285714285714278</v>
      </c>
      <c r="Q708">
        <v>100.7714285714286</v>
      </c>
      <c r="R708">
        <v>14.20879120879121</v>
      </c>
      <c r="S708">
        <v>91</v>
      </c>
      <c r="T708">
        <v>7</v>
      </c>
      <c r="U708">
        <v>37.701754385964911</v>
      </c>
      <c r="V708">
        <v>147</v>
      </c>
      <c r="W708">
        <v>1</v>
      </c>
      <c r="X708">
        <v>42.251824817518248</v>
      </c>
      <c r="Y708">
        <v>264</v>
      </c>
      <c r="Z708">
        <v>0</v>
      </c>
      <c r="AA708">
        <v>77.646715328467153</v>
      </c>
      <c r="AB708">
        <v>200</v>
      </c>
      <c r="AC708">
        <v>0</v>
      </c>
      <c r="AD708">
        <v>34.313432835820898</v>
      </c>
      <c r="AE708">
        <v>137</v>
      </c>
      <c r="AF708">
        <v>0</v>
      </c>
      <c r="AG708">
        <v>101.9507462686567</v>
      </c>
      <c r="AH708">
        <v>216.7</v>
      </c>
      <c r="AI708">
        <v>0</v>
      </c>
      <c r="AL708">
        <v>98</v>
      </c>
      <c r="AM708">
        <v>28</v>
      </c>
      <c r="AN708">
        <v>126</v>
      </c>
      <c r="AP708">
        <v>54</v>
      </c>
    </row>
    <row r="709" spans="1:42" x14ac:dyDescent="0.3">
      <c r="A709" t="s">
        <v>1604</v>
      </c>
      <c r="B709" t="s">
        <v>15</v>
      </c>
      <c r="C709" t="s">
        <v>5</v>
      </c>
      <c r="D709" t="s">
        <v>911</v>
      </c>
      <c r="E709" t="s">
        <v>990</v>
      </c>
      <c r="F709">
        <v>2009</v>
      </c>
      <c r="G709">
        <v>100</v>
      </c>
      <c r="H709">
        <v>0</v>
      </c>
      <c r="I709">
        <v>1</v>
      </c>
      <c r="J709">
        <v>7</v>
      </c>
      <c r="K709">
        <v>7</v>
      </c>
      <c r="L709" t="s">
        <v>1327</v>
      </c>
      <c r="M709">
        <v>22.372549019607838</v>
      </c>
      <c r="N709">
        <v>76</v>
      </c>
      <c r="O709">
        <v>0</v>
      </c>
      <c r="P709">
        <v>7</v>
      </c>
      <c r="Q709">
        <v>100</v>
      </c>
      <c r="R709">
        <v>-15.37254901960784</v>
      </c>
      <c r="S709">
        <v>7</v>
      </c>
      <c r="T709">
        <v>7</v>
      </c>
      <c r="U709">
        <v>37.701754385964911</v>
      </c>
      <c r="V709">
        <v>147</v>
      </c>
      <c r="W709">
        <v>1</v>
      </c>
      <c r="X709">
        <v>28.189024390243901</v>
      </c>
      <c r="Y709">
        <v>121</v>
      </c>
      <c r="Z709">
        <v>0</v>
      </c>
      <c r="AA709">
        <v>116.45060975609761</v>
      </c>
      <c r="AB709">
        <v>274.39999999999998</v>
      </c>
      <c r="AC709">
        <v>0</v>
      </c>
      <c r="AD709">
        <v>31.115942028985511</v>
      </c>
      <c r="AE709">
        <v>187</v>
      </c>
      <c r="AF709">
        <v>0</v>
      </c>
      <c r="AG709">
        <v>73.336956521739125</v>
      </c>
      <c r="AH709">
        <v>233.3</v>
      </c>
      <c r="AI709">
        <v>0</v>
      </c>
      <c r="AL709">
        <v>98</v>
      </c>
      <c r="AM709">
        <v>27</v>
      </c>
      <c r="AN709">
        <v>125</v>
      </c>
      <c r="AP709">
        <v>14</v>
      </c>
    </row>
    <row r="710" spans="1:42" x14ac:dyDescent="0.3">
      <c r="A710" t="s">
        <v>1667</v>
      </c>
      <c r="B710" t="s">
        <v>115</v>
      </c>
      <c r="C710" t="s">
        <v>5</v>
      </c>
      <c r="D710" t="s">
        <v>116</v>
      </c>
      <c r="E710" t="s">
        <v>990</v>
      </c>
      <c r="F710">
        <v>2009</v>
      </c>
      <c r="G710">
        <v>36.4</v>
      </c>
      <c r="H710">
        <v>0</v>
      </c>
      <c r="I710">
        <v>0</v>
      </c>
      <c r="J710">
        <v>11</v>
      </c>
      <c r="K710">
        <v>4</v>
      </c>
      <c r="L710" t="s">
        <v>1327</v>
      </c>
      <c r="M710">
        <v>22.74</v>
      </c>
      <c r="N710">
        <v>76</v>
      </c>
      <c r="O710">
        <v>0</v>
      </c>
      <c r="P710">
        <v>32.821428571428569</v>
      </c>
      <c r="Q710">
        <v>89.621428571428581</v>
      </c>
      <c r="R710">
        <v>10.081428571428569</v>
      </c>
      <c r="S710">
        <v>113</v>
      </c>
      <c r="T710">
        <v>0</v>
      </c>
      <c r="U710">
        <v>38.236842105263158</v>
      </c>
      <c r="V710">
        <v>264</v>
      </c>
      <c r="W710">
        <v>0</v>
      </c>
      <c r="X710">
        <v>28.189024390243901</v>
      </c>
      <c r="Y710">
        <v>121</v>
      </c>
      <c r="Z710">
        <v>0</v>
      </c>
      <c r="AA710">
        <v>116.45060975609761</v>
      </c>
      <c r="AB710">
        <v>274.39999999999998</v>
      </c>
      <c r="AC710">
        <v>0</v>
      </c>
      <c r="AD710">
        <v>31.115942028985511</v>
      </c>
      <c r="AE710">
        <v>187</v>
      </c>
      <c r="AF710">
        <v>0</v>
      </c>
      <c r="AG710">
        <v>73.336956521739125</v>
      </c>
      <c r="AH710">
        <v>233.3</v>
      </c>
      <c r="AI710">
        <v>0</v>
      </c>
      <c r="AJ710">
        <v>19</v>
      </c>
      <c r="AK710">
        <v>67.45</v>
      </c>
      <c r="AL710">
        <v>98</v>
      </c>
      <c r="AM710">
        <v>27</v>
      </c>
      <c r="AN710">
        <v>125</v>
      </c>
      <c r="AO710">
        <v>4</v>
      </c>
      <c r="AP710">
        <v>14</v>
      </c>
    </row>
    <row r="711" spans="1:42" x14ac:dyDescent="0.3">
      <c r="A711" t="s">
        <v>1475</v>
      </c>
      <c r="B711" t="s">
        <v>115</v>
      </c>
      <c r="C711" t="s">
        <v>16</v>
      </c>
      <c r="D711" t="s">
        <v>116</v>
      </c>
      <c r="E711" t="s">
        <v>990</v>
      </c>
      <c r="F711">
        <v>2009</v>
      </c>
      <c r="G711">
        <v>68.2</v>
      </c>
      <c r="H711">
        <v>1</v>
      </c>
      <c r="I711">
        <v>0</v>
      </c>
      <c r="J711">
        <v>22</v>
      </c>
      <c r="K711">
        <v>15</v>
      </c>
      <c r="L711" t="s">
        <v>1327</v>
      </c>
      <c r="M711">
        <v>22.897959183673471</v>
      </c>
      <c r="N711">
        <v>76</v>
      </c>
      <c r="O711">
        <v>0</v>
      </c>
      <c r="P711">
        <v>32.821428571428569</v>
      </c>
      <c r="Q711">
        <v>89.621428571428581</v>
      </c>
      <c r="R711">
        <v>9.9234693877551017</v>
      </c>
      <c r="S711">
        <v>113</v>
      </c>
      <c r="T711">
        <v>0</v>
      </c>
      <c r="U711">
        <v>38.236842105263158</v>
      </c>
      <c r="V711">
        <v>264</v>
      </c>
      <c r="W711">
        <v>0</v>
      </c>
      <c r="X711">
        <v>42.251824817518248</v>
      </c>
      <c r="Y711">
        <v>264</v>
      </c>
      <c r="Z711">
        <v>0</v>
      </c>
      <c r="AA711">
        <v>77.646715328467153</v>
      </c>
      <c r="AB711">
        <v>200</v>
      </c>
      <c r="AC711">
        <v>0</v>
      </c>
      <c r="AD711">
        <v>31.115942028985511</v>
      </c>
      <c r="AE711">
        <v>187</v>
      </c>
      <c r="AF711">
        <v>0</v>
      </c>
      <c r="AG711">
        <v>73.336956521739125</v>
      </c>
      <c r="AH711">
        <v>233.3</v>
      </c>
      <c r="AI711">
        <v>0</v>
      </c>
      <c r="AJ711">
        <v>4</v>
      </c>
      <c r="AK711">
        <v>66.7</v>
      </c>
      <c r="AL711">
        <v>97</v>
      </c>
      <c r="AM711">
        <v>27</v>
      </c>
      <c r="AN711">
        <v>124</v>
      </c>
      <c r="AO711">
        <v>3</v>
      </c>
      <c r="AP711">
        <v>53</v>
      </c>
    </row>
    <row r="712" spans="1:42" x14ac:dyDescent="0.3">
      <c r="A712" t="s">
        <v>1668</v>
      </c>
      <c r="B712" t="s">
        <v>115</v>
      </c>
      <c r="C712" t="s">
        <v>16</v>
      </c>
      <c r="D712" t="s">
        <v>116</v>
      </c>
      <c r="E712" t="s">
        <v>990</v>
      </c>
      <c r="F712">
        <v>2009</v>
      </c>
      <c r="G712">
        <v>66.7</v>
      </c>
      <c r="H712">
        <v>0</v>
      </c>
      <c r="I712">
        <v>0</v>
      </c>
      <c r="J712">
        <v>6</v>
      </c>
      <c r="K712">
        <v>4</v>
      </c>
      <c r="L712" t="s">
        <v>1327</v>
      </c>
      <c r="M712">
        <v>23.291666666666671</v>
      </c>
      <c r="N712">
        <v>76</v>
      </c>
      <c r="O712">
        <v>0</v>
      </c>
      <c r="P712">
        <v>32.821428571428569</v>
      </c>
      <c r="Q712">
        <v>89.621428571428581</v>
      </c>
      <c r="R712">
        <v>9.5297619047619015</v>
      </c>
      <c r="S712">
        <v>113</v>
      </c>
      <c r="T712">
        <v>0</v>
      </c>
      <c r="U712">
        <v>38.236842105263158</v>
      </c>
      <c r="V712">
        <v>264</v>
      </c>
      <c r="W712">
        <v>0</v>
      </c>
      <c r="X712">
        <v>42.251824817518248</v>
      </c>
      <c r="Y712">
        <v>264</v>
      </c>
      <c r="Z712">
        <v>0</v>
      </c>
      <c r="AA712">
        <v>77.646715328467153</v>
      </c>
      <c r="AB712">
        <v>200</v>
      </c>
      <c r="AC712">
        <v>0</v>
      </c>
      <c r="AD712">
        <v>31.115942028985511</v>
      </c>
      <c r="AE712">
        <v>187</v>
      </c>
      <c r="AF712">
        <v>0</v>
      </c>
      <c r="AG712">
        <v>73.336956521739125</v>
      </c>
      <c r="AH712">
        <v>233.3</v>
      </c>
      <c r="AI712">
        <v>0</v>
      </c>
      <c r="AL712">
        <v>97</v>
      </c>
      <c r="AM712">
        <v>27</v>
      </c>
      <c r="AN712">
        <v>124</v>
      </c>
      <c r="AO712">
        <v>3</v>
      </c>
      <c r="AP712">
        <v>53</v>
      </c>
    </row>
    <row r="713" spans="1:42" x14ac:dyDescent="0.3">
      <c r="A713" t="s">
        <v>1374</v>
      </c>
      <c r="B713" t="s">
        <v>115</v>
      </c>
      <c r="C713" t="s">
        <v>16</v>
      </c>
      <c r="D713" t="s">
        <v>568</v>
      </c>
      <c r="E713" t="s">
        <v>994</v>
      </c>
      <c r="F713">
        <v>2009</v>
      </c>
      <c r="G713">
        <v>83.3</v>
      </c>
      <c r="H713">
        <v>3</v>
      </c>
      <c r="I713">
        <v>0</v>
      </c>
      <c r="J713">
        <v>30</v>
      </c>
      <c r="K713">
        <v>25</v>
      </c>
      <c r="L713" t="s">
        <v>1327</v>
      </c>
      <c r="M713">
        <v>23.25531914893617</v>
      </c>
      <c r="N713">
        <v>76</v>
      </c>
      <c r="O713">
        <v>0</v>
      </c>
      <c r="P713">
        <v>16.666666666666671</v>
      </c>
      <c r="Q713">
        <v>48.733333333333327</v>
      </c>
      <c r="R713">
        <v>-6.5886524822695023</v>
      </c>
      <c r="S713">
        <v>69</v>
      </c>
      <c r="T713">
        <v>0</v>
      </c>
      <c r="U713">
        <v>38.236842105263158</v>
      </c>
      <c r="V713">
        <v>264</v>
      </c>
      <c r="W713">
        <v>0</v>
      </c>
      <c r="X713">
        <v>42.251824817518248</v>
      </c>
      <c r="Y713">
        <v>264</v>
      </c>
      <c r="Z713">
        <v>0</v>
      </c>
      <c r="AA713">
        <v>77.646715328467153</v>
      </c>
      <c r="AB713">
        <v>200</v>
      </c>
      <c r="AC713">
        <v>0</v>
      </c>
      <c r="AD713">
        <v>47.472727272727283</v>
      </c>
      <c r="AE713">
        <v>171</v>
      </c>
      <c r="AF713">
        <v>0</v>
      </c>
      <c r="AG713">
        <v>81.038181818181826</v>
      </c>
      <c r="AH713">
        <v>175.4</v>
      </c>
      <c r="AI713">
        <v>0</v>
      </c>
      <c r="AL713">
        <v>94</v>
      </c>
      <c r="AM713">
        <v>27</v>
      </c>
      <c r="AN713">
        <v>121</v>
      </c>
      <c r="AO713">
        <v>2</v>
      </c>
      <c r="AP713">
        <v>50</v>
      </c>
    </row>
    <row r="714" spans="1:42" x14ac:dyDescent="0.3">
      <c r="A714" t="s">
        <v>1585</v>
      </c>
      <c r="B714" t="s">
        <v>76</v>
      </c>
      <c r="C714" t="s">
        <v>16</v>
      </c>
      <c r="D714" t="s">
        <v>78</v>
      </c>
      <c r="E714" t="s">
        <v>981</v>
      </c>
      <c r="F714">
        <v>2008</v>
      </c>
      <c r="G714">
        <v>80</v>
      </c>
      <c r="H714">
        <v>1</v>
      </c>
      <c r="I714">
        <v>0</v>
      </c>
      <c r="J714">
        <v>10</v>
      </c>
      <c r="K714">
        <v>8</v>
      </c>
      <c r="L714" t="s">
        <v>1327</v>
      </c>
      <c r="M714">
        <v>23.586956521739129</v>
      </c>
      <c r="N714">
        <v>76</v>
      </c>
      <c r="O714">
        <v>0</v>
      </c>
      <c r="P714">
        <v>44.222222222222221</v>
      </c>
      <c r="Q714">
        <v>102.3</v>
      </c>
      <c r="R714">
        <v>20.635265700483089</v>
      </c>
      <c r="S714">
        <v>119</v>
      </c>
      <c r="T714">
        <v>1</v>
      </c>
      <c r="U714">
        <v>48.215686274509807</v>
      </c>
      <c r="V714">
        <v>187</v>
      </c>
      <c r="W714">
        <v>0</v>
      </c>
      <c r="X714">
        <v>42.251824817518248</v>
      </c>
      <c r="Y714">
        <v>264</v>
      </c>
      <c r="Z714">
        <v>0</v>
      </c>
      <c r="AA714">
        <v>77.646715328467153</v>
      </c>
      <c r="AB714">
        <v>200</v>
      </c>
      <c r="AC714">
        <v>0</v>
      </c>
      <c r="AD714">
        <v>47.122448979591837</v>
      </c>
      <c r="AE714">
        <v>264</v>
      </c>
      <c r="AF714">
        <v>0</v>
      </c>
      <c r="AG714">
        <v>105.5040816326531</v>
      </c>
      <c r="AH714">
        <v>200</v>
      </c>
      <c r="AI714">
        <v>0</v>
      </c>
      <c r="AL714">
        <v>93</v>
      </c>
      <c r="AM714">
        <v>27</v>
      </c>
      <c r="AN714">
        <v>120</v>
      </c>
      <c r="AP714">
        <v>49</v>
      </c>
    </row>
    <row r="715" spans="1:42" x14ac:dyDescent="0.3">
      <c r="A715" t="s">
        <v>1350</v>
      </c>
      <c r="B715" t="s">
        <v>76</v>
      </c>
      <c r="C715" t="s">
        <v>16</v>
      </c>
      <c r="D715" t="s">
        <v>107</v>
      </c>
      <c r="E715" t="s">
        <v>981</v>
      </c>
      <c r="F715">
        <v>2008</v>
      </c>
      <c r="G715">
        <v>68.3</v>
      </c>
      <c r="H715">
        <v>3</v>
      </c>
      <c r="I715">
        <v>0</v>
      </c>
      <c r="J715">
        <v>41</v>
      </c>
      <c r="K715">
        <v>28</v>
      </c>
      <c r="L715" t="s">
        <v>1327</v>
      </c>
      <c r="M715">
        <v>23.488888888888891</v>
      </c>
      <c r="N715">
        <v>76</v>
      </c>
      <c r="O715">
        <v>0</v>
      </c>
      <c r="P715">
        <v>70.428571428571431</v>
      </c>
      <c r="Q715">
        <v>102.42142857142861</v>
      </c>
      <c r="R715">
        <v>46.939682539682543</v>
      </c>
      <c r="S715">
        <v>150</v>
      </c>
      <c r="T715">
        <v>4</v>
      </c>
      <c r="U715">
        <v>48.215686274509807</v>
      </c>
      <c r="V715">
        <v>187</v>
      </c>
      <c r="W715">
        <v>0</v>
      </c>
      <c r="X715">
        <v>42.251824817518248</v>
      </c>
      <c r="Y715">
        <v>264</v>
      </c>
      <c r="Z715">
        <v>0</v>
      </c>
      <c r="AA715">
        <v>77.646715328467153</v>
      </c>
      <c r="AB715">
        <v>200</v>
      </c>
      <c r="AC715">
        <v>0</v>
      </c>
      <c r="AD715">
        <v>47.122448979591837</v>
      </c>
      <c r="AE715">
        <v>264</v>
      </c>
      <c r="AF715">
        <v>0</v>
      </c>
      <c r="AG715">
        <v>105.5040816326531</v>
      </c>
      <c r="AH715">
        <v>200</v>
      </c>
      <c r="AI715">
        <v>0</v>
      </c>
      <c r="AJ715">
        <v>3</v>
      </c>
      <c r="AK715">
        <v>23.1</v>
      </c>
      <c r="AL715">
        <v>90</v>
      </c>
      <c r="AM715">
        <v>27</v>
      </c>
      <c r="AN715">
        <v>117</v>
      </c>
      <c r="AP715">
        <v>46</v>
      </c>
    </row>
    <row r="716" spans="1:42" x14ac:dyDescent="0.3">
      <c r="A716" t="s">
        <v>1678</v>
      </c>
      <c r="B716" t="s">
        <v>76</v>
      </c>
      <c r="C716" t="s">
        <v>16</v>
      </c>
      <c r="D716" t="s">
        <v>17</v>
      </c>
      <c r="E716" t="s">
        <v>981</v>
      </c>
      <c r="F716">
        <v>2008</v>
      </c>
      <c r="G716">
        <v>23.1</v>
      </c>
      <c r="H716">
        <v>0</v>
      </c>
      <c r="I716">
        <v>0</v>
      </c>
      <c r="J716">
        <v>13</v>
      </c>
      <c r="K716">
        <v>3</v>
      </c>
      <c r="L716" t="s">
        <v>1327</v>
      </c>
      <c r="M716">
        <v>23.95454545454545</v>
      </c>
      <c r="N716">
        <v>76</v>
      </c>
      <c r="O716">
        <v>0</v>
      </c>
      <c r="P716">
        <v>33.769230769230766</v>
      </c>
      <c r="Q716">
        <v>87.853846153846149</v>
      </c>
      <c r="R716">
        <v>9.8146853146853132</v>
      </c>
      <c r="S716">
        <v>118</v>
      </c>
      <c r="T716">
        <v>0</v>
      </c>
      <c r="U716">
        <v>48.215686274509807</v>
      </c>
      <c r="V716">
        <v>187</v>
      </c>
      <c r="W716">
        <v>0</v>
      </c>
      <c r="X716">
        <v>42.251824817518248</v>
      </c>
      <c r="Y716">
        <v>264</v>
      </c>
      <c r="Z716">
        <v>0</v>
      </c>
      <c r="AA716">
        <v>77.646715328467153</v>
      </c>
      <c r="AB716">
        <v>200</v>
      </c>
      <c r="AC716">
        <v>0</v>
      </c>
      <c r="AD716">
        <v>47.122448979591837</v>
      </c>
      <c r="AE716">
        <v>264</v>
      </c>
      <c r="AF716">
        <v>0</v>
      </c>
      <c r="AG716">
        <v>105.5040816326531</v>
      </c>
      <c r="AH716">
        <v>200</v>
      </c>
      <c r="AI716">
        <v>0</v>
      </c>
      <c r="AJ716">
        <v>11</v>
      </c>
      <c r="AK716">
        <v>137.5</v>
      </c>
      <c r="AL716">
        <v>90</v>
      </c>
      <c r="AM716">
        <v>27</v>
      </c>
      <c r="AN716">
        <v>117</v>
      </c>
      <c r="AP716">
        <v>46</v>
      </c>
    </row>
    <row r="717" spans="1:42" x14ac:dyDescent="0.3">
      <c r="A717" t="s">
        <v>1539</v>
      </c>
      <c r="B717" t="s">
        <v>76</v>
      </c>
      <c r="C717" t="s">
        <v>16</v>
      </c>
      <c r="D717" t="s">
        <v>19</v>
      </c>
      <c r="E717" t="s">
        <v>981</v>
      </c>
      <c r="F717">
        <v>2008</v>
      </c>
      <c r="G717">
        <v>137.5</v>
      </c>
      <c r="H717">
        <v>1</v>
      </c>
      <c r="I717">
        <v>0</v>
      </c>
      <c r="J717">
        <v>8</v>
      </c>
      <c r="K717">
        <v>11</v>
      </c>
      <c r="L717" t="s">
        <v>1327</v>
      </c>
      <c r="M717">
        <v>24.255813953488371</v>
      </c>
      <c r="N717">
        <v>76</v>
      </c>
      <c r="O717">
        <v>0</v>
      </c>
      <c r="P717">
        <v>47.6</v>
      </c>
      <c r="Q717">
        <v>101.29</v>
      </c>
      <c r="R717">
        <v>23.344186046511631</v>
      </c>
      <c r="S717">
        <v>150</v>
      </c>
      <c r="T717">
        <v>5</v>
      </c>
      <c r="U717">
        <v>48.215686274509807</v>
      </c>
      <c r="V717">
        <v>187</v>
      </c>
      <c r="W717">
        <v>0</v>
      </c>
      <c r="X717">
        <v>42.251824817518248</v>
      </c>
      <c r="Y717">
        <v>264</v>
      </c>
      <c r="Z717">
        <v>0</v>
      </c>
      <c r="AA717">
        <v>77.646715328467153</v>
      </c>
      <c r="AB717">
        <v>200</v>
      </c>
      <c r="AC717">
        <v>0</v>
      </c>
      <c r="AD717">
        <v>47.122448979591837</v>
      </c>
      <c r="AE717">
        <v>264</v>
      </c>
      <c r="AF717">
        <v>0</v>
      </c>
      <c r="AG717">
        <v>105.5040816326531</v>
      </c>
      <c r="AH717">
        <v>200</v>
      </c>
      <c r="AI717">
        <v>0</v>
      </c>
      <c r="AL717">
        <v>89</v>
      </c>
      <c r="AM717">
        <v>27</v>
      </c>
      <c r="AN717">
        <v>116</v>
      </c>
      <c r="AP717">
        <v>45</v>
      </c>
    </row>
    <row r="718" spans="1:42" x14ac:dyDescent="0.3">
      <c r="A718" t="s">
        <v>1679</v>
      </c>
      <c r="B718" t="s">
        <v>115</v>
      </c>
      <c r="C718" t="s">
        <v>16</v>
      </c>
      <c r="D718" t="s">
        <v>116</v>
      </c>
      <c r="E718" t="s">
        <v>1021</v>
      </c>
      <c r="F718">
        <v>2008</v>
      </c>
      <c r="G718">
        <v>60</v>
      </c>
      <c r="H718">
        <v>0</v>
      </c>
      <c r="I718">
        <v>0</v>
      </c>
      <c r="J718">
        <v>5</v>
      </c>
      <c r="K718">
        <v>3</v>
      </c>
      <c r="L718" t="s">
        <v>1327</v>
      </c>
      <c r="M718">
        <v>24.761904761904759</v>
      </c>
      <c r="N718">
        <v>76</v>
      </c>
      <c r="O718">
        <v>0</v>
      </c>
      <c r="P718">
        <v>32.821428571428569</v>
      </c>
      <c r="Q718">
        <v>89.621428571428581</v>
      </c>
      <c r="R718">
        <v>8.0595238095238066</v>
      </c>
      <c r="S718">
        <v>113</v>
      </c>
      <c r="T718">
        <v>0</v>
      </c>
      <c r="U718">
        <v>38.236842105263158</v>
      </c>
      <c r="V718">
        <v>264</v>
      </c>
      <c r="W718">
        <v>0</v>
      </c>
      <c r="X718">
        <v>42.251824817518248</v>
      </c>
      <c r="Y718">
        <v>264</v>
      </c>
      <c r="Z718">
        <v>0</v>
      </c>
      <c r="AA718">
        <v>77.646715328467153</v>
      </c>
      <c r="AB718">
        <v>200</v>
      </c>
      <c r="AC718">
        <v>0</v>
      </c>
      <c r="AD718">
        <v>37</v>
      </c>
      <c r="AE718">
        <v>124</v>
      </c>
      <c r="AF718">
        <v>0</v>
      </c>
      <c r="AG718">
        <v>84.736842105263165</v>
      </c>
      <c r="AH718">
        <v>221.4</v>
      </c>
      <c r="AI718">
        <v>0</v>
      </c>
      <c r="AJ718">
        <v>50</v>
      </c>
      <c r="AK718">
        <v>89.15</v>
      </c>
      <c r="AL718">
        <v>89</v>
      </c>
      <c r="AM718">
        <v>27</v>
      </c>
      <c r="AN718">
        <v>116</v>
      </c>
      <c r="AO718">
        <v>3</v>
      </c>
      <c r="AP718">
        <v>45</v>
      </c>
    </row>
    <row r="719" spans="1:42" x14ac:dyDescent="0.3">
      <c r="A719" t="s">
        <v>1445</v>
      </c>
      <c r="B719" t="s">
        <v>115</v>
      </c>
      <c r="C719" t="s">
        <v>16</v>
      </c>
      <c r="D719" t="s">
        <v>116</v>
      </c>
      <c r="E719" t="s">
        <v>1021</v>
      </c>
      <c r="F719">
        <v>2008</v>
      </c>
      <c r="G719">
        <v>78.3</v>
      </c>
      <c r="H719">
        <v>0</v>
      </c>
      <c r="I719">
        <v>0</v>
      </c>
      <c r="J719">
        <v>23</v>
      </c>
      <c r="K719">
        <v>18</v>
      </c>
      <c r="L719" t="s">
        <v>1327</v>
      </c>
      <c r="M719">
        <v>24.926829268292678</v>
      </c>
      <c r="N719">
        <v>76</v>
      </c>
      <c r="O719">
        <v>0</v>
      </c>
      <c r="P719">
        <v>32.821428571428569</v>
      </c>
      <c r="Q719">
        <v>89.621428571428581</v>
      </c>
      <c r="R719">
        <v>7.8945993031358874</v>
      </c>
      <c r="S719">
        <v>113</v>
      </c>
      <c r="T719">
        <v>0</v>
      </c>
      <c r="U719">
        <v>38.236842105263158</v>
      </c>
      <c r="V719">
        <v>264</v>
      </c>
      <c r="W719">
        <v>0</v>
      </c>
      <c r="X719">
        <v>42.251824817518248</v>
      </c>
      <c r="Y719">
        <v>264</v>
      </c>
      <c r="Z719">
        <v>0</v>
      </c>
      <c r="AA719">
        <v>77.646715328467153</v>
      </c>
      <c r="AB719">
        <v>200</v>
      </c>
      <c r="AC719">
        <v>0</v>
      </c>
      <c r="AD719">
        <v>37</v>
      </c>
      <c r="AE719">
        <v>124</v>
      </c>
      <c r="AF719">
        <v>0</v>
      </c>
      <c r="AG719">
        <v>84.736842105263165</v>
      </c>
      <c r="AH719">
        <v>221.4</v>
      </c>
      <c r="AI719">
        <v>0</v>
      </c>
      <c r="AJ719">
        <v>32</v>
      </c>
      <c r="AK719">
        <v>100</v>
      </c>
      <c r="AL719">
        <v>89</v>
      </c>
      <c r="AM719">
        <v>27</v>
      </c>
      <c r="AN719">
        <v>116</v>
      </c>
      <c r="AO719">
        <v>3</v>
      </c>
      <c r="AP719">
        <v>45</v>
      </c>
    </row>
    <row r="720" spans="1:42" x14ac:dyDescent="0.3">
      <c r="A720" t="s">
        <v>1320</v>
      </c>
      <c r="B720" t="s">
        <v>115</v>
      </c>
      <c r="C720" t="s">
        <v>16</v>
      </c>
      <c r="D720" t="s">
        <v>116</v>
      </c>
      <c r="E720" t="s">
        <v>1021</v>
      </c>
      <c r="F720">
        <v>2008</v>
      </c>
      <c r="G720">
        <v>100</v>
      </c>
      <c r="H720">
        <v>3</v>
      </c>
      <c r="I720">
        <v>0</v>
      </c>
      <c r="J720">
        <v>32</v>
      </c>
      <c r="K720">
        <v>32</v>
      </c>
      <c r="L720" t="s">
        <v>979</v>
      </c>
      <c r="M720">
        <v>24.75</v>
      </c>
      <c r="N720">
        <v>76</v>
      </c>
      <c r="O720">
        <v>0</v>
      </c>
      <c r="P720">
        <v>32.821428571428569</v>
      </c>
      <c r="Q720">
        <v>89.621428571428581</v>
      </c>
      <c r="R720">
        <v>8.0714285714285694</v>
      </c>
      <c r="S720">
        <v>113</v>
      </c>
      <c r="T720">
        <v>0</v>
      </c>
      <c r="U720">
        <v>38.236842105263158</v>
      </c>
      <c r="V720">
        <v>264</v>
      </c>
      <c r="W720">
        <v>0</v>
      </c>
      <c r="X720">
        <v>42.251824817518248</v>
      </c>
      <c r="Y720">
        <v>264</v>
      </c>
      <c r="Z720">
        <v>0</v>
      </c>
      <c r="AA720">
        <v>77.646715328467153</v>
      </c>
      <c r="AB720">
        <v>200</v>
      </c>
      <c r="AC720">
        <v>0</v>
      </c>
      <c r="AD720">
        <v>37</v>
      </c>
      <c r="AE720">
        <v>124</v>
      </c>
      <c r="AF720">
        <v>0</v>
      </c>
      <c r="AG720">
        <v>84.736842105263165</v>
      </c>
      <c r="AH720">
        <v>221.4</v>
      </c>
      <c r="AI720">
        <v>0</v>
      </c>
      <c r="AJ720">
        <v>0</v>
      </c>
      <c r="AK720">
        <v>0</v>
      </c>
      <c r="AL720">
        <v>86</v>
      </c>
      <c r="AM720">
        <v>27</v>
      </c>
      <c r="AN720">
        <v>113</v>
      </c>
      <c r="AP720">
        <v>42</v>
      </c>
    </row>
    <row r="721" spans="1:42" x14ac:dyDescent="0.3">
      <c r="A721" t="s">
        <v>1766</v>
      </c>
      <c r="B721" t="s">
        <v>115</v>
      </c>
      <c r="C721" t="s">
        <v>16</v>
      </c>
      <c r="D721" t="s">
        <v>568</v>
      </c>
      <c r="E721" t="s">
        <v>1021</v>
      </c>
      <c r="F721">
        <v>2008</v>
      </c>
      <c r="G721">
        <v>0</v>
      </c>
      <c r="H721">
        <v>0</v>
      </c>
      <c r="I721">
        <v>0</v>
      </c>
      <c r="J721">
        <v>2</v>
      </c>
      <c r="K721">
        <v>0</v>
      </c>
      <c r="L721" t="s">
        <v>1327</v>
      </c>
      <c r="M721">
        <v>25.38461538461538</v>
      </c>
      <c r="N721">
        <v>76</v>
      </c>
      <c r="O721">
        <v>0</v>
      </c>
      <c r="P721">
        <v>16.666666666666671</v>
      </c>
      <c r="Q721">
        <v>48.733333333333327</v>
      </c>
      <c r="R721">
        <v>-8.7179487179487154</v>
      </c>
      <c r="S721">
        <v>69</v>
      </c>
      <c r="T721">
        <v>0</v>
      </c>
      <c r="U721">
        <v>38.236842105263158</v>
      </c>
      <c r="V721">
        <v>264</v>
      </c>
      <c r="W721">
        <v>0</v>
      </c>
      <c r="X721">
        <v>42.251824817518248</v>
      </c>
      <c r="Y721">
        <v>264</v>
      </c>
      <c r="Z721">
        <v>0</v>
      </c>
      <c r="AA721">
        <v>77.646715328467153</v>
      </c>
      <c r="AB721">
        <v>200</v>
      </c>
      <c r="AC721">
        <v>0</v>
      </c>
      <c r="AD721">
        <v>37</v>
      </c>
      <c r="AE721">
        <v>124</v>
      </c>
      <c r="AF721">
        <v>0</v>
      </c>
      <c r="AG721">
        <v>84.736842105263165</v>
      </c>
      <c r="AH721">
        <v>221.4</v>
      </c>
      <c r="AI721">
        <v>0</v>
      </c>
      <c r="AJ721">
        <v>19</v>
      </c>
      <c r="AK721">
        <v>61.3</v>
      </c>
      <c r="AL721">
        <v>86</v>
      </c>
      <c r="AM721">
        <v>27</v>
      </c>
      <c r="AN721">
        <v>113</v>
      </c>
      <c r="AO721">
        <v>2</v>
      </c>
      <c r="AP721">
        <v>42</v>
      </c>
    </row>
    <row r="722" spans="1:42" x14ac:dyDescent="0.3">
      <c r="A722" t="s">
        <v>1429</v>
      </c>
      <c r="B722" t="s">
        <v>115</v>
      </c>
      <c r="C722" t="s">
        <v>16</v>
      </c>
      <c r="D722" t="s">
        <v>568</v>
      </c>
      <c r="E722" t="s">
        <v>1021</v>
      </c>
      <c r="F722">
        <v>2008</v>
      </c>
      <c r="G722">
        <v>61.3</v>
      </c>
      <c r="H722">
        <v>1</v>
      </c>
      <c r="I722">
        <v>1</v>
      </c>
      <c r="J722">
        <v>31</v>
      </c>
      <c r="K722">
        <v>19</v>
      </c>
      <c r="L722" t="s">
        <v>1327</v>
      </c>
      <c r="M722">
        <v>25.55263157894737</v>
      </c>
      <c r="N722">
        <v>76</v>
      </c>
      <c r="O722">
        <v>0</v>
      </c>
      <c r="P722">
        <v>16.666666666666671</v>
      </c>
      <c r="Q722">
        <v>48.733333333333327</v>
      </c>
      <c r="R722">
        <v>-8.8859649122807021</v>
      </c>
      <c r="S722">
        <v>69</v>
      </c>
      <c r="T722">
        <v>0</v>
      </c>
      <c r="U722">
        <v>38.236842105263158</v>
      </c>
      <c r="V722">
        <v>264</v>
      </c>
      <c r="W722">
        <v>0</v>
      </c>
      <c r="X722">
        <v>42.251824817518248</v>
      </c>
      <c r="Y722">
        <v>264</v>
      </c>
      <c r="Z722">
        <v>0</v>
      </c>
      <c r="AA722">
        <v>77.646715328467153</v>
      </c>
      <c r="AB722">
        <v>200</v>
      </c>
      <c r="AC722">
        <v>0</v>
      </c>
      <c r="AD722">
        <v>37</v>
      </c>
      <c r="AE722">
        <v>124</v>
      </c>
      <c r="AF722">
        <v>0</v>
      </c>
      <c r="AG722">
        <v>84.736842105263165</v>
      </c>
      <c r="AH722">
        <v>221.4</v>
      </c>
      <c r="AI722">
        <v>0</v>
      </c>
      <c r="AL722">
        <v>85</v>
      </c>
      <c r="AM722">
        <v>26</v>
      </c>
      <c r="AN722">
        <v>111</v>
      </c>
      <c r="AP722">
        <v>40</v>
      </c>
    </row>
    <row r="723" spans="1:42" x14ac:dyDescent="0.3">
      <c r="A723" t="s">
        <v>1680</v>
      </c>
      <c r="B723" t="s">
        <v>115</v>
      </c>
      <c r="C723" t="s">
        <v>16</v>
      </c>
      <c r="D723" t="s">
        <v>926</v>
      </c>
      <c r="E723" t="s">
        <v>1012</v>
      </c>
      <c r="F723">
        <v>2008</v>
      </c>
      <c r="G723">
        <v>37.5</v>
      </c>
      <c r="H723">
        <v>0</v>
      </c>
      <c r="I723">
        <v>0</v>
      </c>
      <c r="J723">
        <v>8</v>
      </c>
      <c r="K723">
        <v>3</v>
      </c>
      <c r="L723" t="s">
        <v>1327</v>
      </c>
      <c r="M723">
        <v>26.162162162162161</v>
      </c>
      <c r="N723">
        <v>76</v>
      </c>
      <c r="O723">
        <v>0</v>
      </c>
      <c r="P723">
        <v>19.333333333333329</v>
      </c>
      <c r="Q723">
        <v>55.233333333333327</v>
      </c>
      <c r="R723">
        <v>-6.8288288288288292</v>
      </c>
      <c r="S723">
        <v>58</v>
      </c>
      <c r="T723">
        <v>0</v>
      </c>
      <c r="U723">
        <v>38.236842105263158</v>
      </c>
      <c r="V723">
        <v>264</v>
      </c>
      <c r="W723">
        <v>0</v>
      </c>
      <c r="X723">
        <v>42.251824817518248</v>
      </c>
      <c r="Y723">
        <v>264</v>
      </c>
      <c r="Z723">
        <v>0</v>
      </c>
      <c r="AA723">
        <v>77.646715328467153</v>
      </c>
      <c r="AB723">
        <v>200</v>
      </c>
      <c r="AC723">
        <v>0</v>
      </c>
      <c r="AD723">
        <v>37.228571428571428</v>
      </c>
      <c r="AE723">
        <v>137</v>
      </c>
      <c r="AF723">
        <v>0</v>
      </c>
      <c r="AG723">
        <v>73.452857142857127</v>
      </c>
      <c r="AH723">
        <v>178.6</v>
      </c>
      <c r="AI723">
        <v>0</v>
      </c>
      <c r="AJ723">
        <v>80</v>
      </c>
      <c r="AK723">
        <v>80.150000000000006</v>
      </c>
      <c r="AL723">
        <v>85</v>
      </c>
      <c r="AM723">
        <v>26</v>
      </c>
      <c r="AN723">
        <v>111</v>
      </c>
      <c r="AO723">
        <v>8</v>
      </c>
      <c r="AP723">
        <v>40</v>
      </c>
    </row>
    <row r="724" spans="1:42" x14ac:dyDescent="0.3">
      <c r="A724" t="s">
        <v>1399</v>
      </c>
      <c r="B724" t="s">
        <v>115</v>
      </c>
      <c r="C724" t="s">
        <v>16</v>
      </c>
      <c r="D724" t="s">
        <v>926</v>
      </c>
      <c r="E724" t="s">
        <v>1012</v>
      </c>
      <c r="F724">
        <v>2008</v>
      </c>
      <c r="G724">
        <v>78.599999999999994</v>
      </c>
      <c r="H724">
        <v>2</v>
      </c>
      <c r="I724">
        <v>0</v>
      </c>
      <c r="J724">
        <v>28</v>
      </c>
      <c r="K724">
        <v>22</v>
      </c>
      <c r="L724" t="s">
        <v>1327</v>
      </c>
      <c r="M724">
        <v>26.277777777777779</v>
      </c>
      <c r="N724">
        <v>76</v>
      </c>
      <c r="O724">
        <v>0</v>
      </c>
      <c r="P724">
        <v>19.333333333333329</v>
      </c>
      <c r="Q724">
        <v>55.233333333333327</v>
      </c>
      <c r="R724">
        <v>-6.9444444444444464</v>
      </c>
      <c r="S724">
        <v>58</v>
      </c>
      <c r="T724">
        <v>0</v>
      </c>
      <c r="U724">
        <v>38.236842105263158</v>
      </c>
      <c r="V724">
        <v>264</v>
      </c>
      <c r="W724">
        <v>0</v>
      </c>
      <c r="X724">
        <v>42.251824817518248</v>
      </c>
      <c r="Y724">
        <v>264</v>
      </c>
      <c r="Z724">
        <v>0</v>
      </c>
      <c r="AA724">
        <v>77.646715328467153</v>
      </c>
      <c r="AB724">
        <v>200</v>
      </c>
      <c r="AC724">
        <v>0</v>
      </c>
      <c r="AD724">
        <v>37.228571428571428</v>
      </c>
      <c r="AE724">
        <v>137</v>
      </c>
      <c r="AF724">
        <v>0</v>
      </c>
      <c r="AG724">
        <v>73.452857142857127</v>
      </c>
      <c r="AH724">
        <v>178.6</v>
      </c>
      <c r="AI724">
        <v>0</v>
      </c>
      <c r="AJ724">
        <v>80</v>
      </c>
      <c r="AK724">
        <v>88.7</v>
      </c>
      <c r="AL724">
        <v>83</v>
      </c>
      <c r="AM724">
        <v>26</v>
      </c>
      <c r="AN724">
        <v>109</v>
      </c>
      <c r="AO724">
        <v>6</v>
      </c>
      <c r="AP724">
        <v>38</v>
      </c>
    </row>
    <row r="725" spans="1:42" x14ac:dyDescent="0.3">
      <c r="A725" t="s">
        <v>1173</v>
      </c>
      <c r="B725" t="s">
        <v>71</v>
      </c>
      <c r="C725" t="s">
        <v>16</v>
      </c>
      <c r="D725" t="s">
        <v>926</v>
      </c>
      <c r="E725" t="s">
        <v>1012</v>
      </c>
      <c r="F725">
        <v>2008</v>
      </c>
      <c r="G725">
        <v>81.7</v>
      </c>
      <c r="H725">
        <v>4</v>
      </c>
      <c r="I725">
        <v>0</v>
      </c>
      <c r="J725">
        <v>71</v>
      </c>
      <c r="K725">
        <v>58</v>
      </c>
      <c r="L725" t="s">
        <v>979</v>
      </c>
      <c r="M725">
        <v>25.37142857142857</v>
      </c>
      <c r="N725">
        <v>76</v>
      </c>
      <c r="O725">
        <v>0</v>
      </c>
      <c r="P725">
        <v>19.333333333333329</v>
      </c>
      <c r="Q725">
        <v>55.233333333333327</v>
      </c>
      <c r="R725">
        <v>-6.038095238095238</v>
      </c>
      <c r="S725">
        <v>58</v>
      </c>
      <c r="T725">
        <v>0</v>
      </c>
      <c r="U725">
        <v>33.333333333333343</v>
      </c>
      <c r="V725">
        <v>140</v>
      </c>
      <c r="W725">
        <v>0</v>
      </c>
      <c r="X725">
        <v>42.251824817518248</v>
      </c>
      <c r="Y725">
        <v>264</v>
      </c>
      <c r="Z725">
        <v>0</v>
      </c>
      <c r="AA725">
        <v>77.646715328467153</v>
      </c>
      <c r="AB725">
        <v>200</v>
      </c>
      <c r="AC725">
        <v>0</v>
      </c>
      <c r="AD725">
        <v>37.228571428571428</v>
      </c>
      <c r="AE725">
        <v>137</v>
      </c>
      <c r="AF725">
        <v>0</v>
      </c>
      <c r="AG725">
        <v>73.452857142857127</v>
      </c>
      <c r="AH725">
        <v>178.6</v>
      </c>
      <c r="AI725">
        <v>0</v>
      </c>
      <c r="AJ725">
        <v>22</v>
      </c>
      <c r="AK725">
        <v>95.7</v>
      </c>
      <c r="AL725">
        <v>79</v>
      </c>
      <c r="AM725">
        <v>26</v>
      </c>
      <c r="AN725">
        <v>105</v>
      </c>
      <c r="AO725">
        <v>2</v>
      </c>
      <c r="AP725">
        <v>34</v>
      </c>
    </row>
    <row r="726" spans="1:42" x14ac:dyDescent="0.3">
      <c r="A726" t="s">
        <v>1400</v>
      </c>
      <c r="B726" t="s">
        <v>73</v>
      </c>
      <c r="C726" t="s">
        <v>16</v>
      </c>
      <c r="D726" t="s">
        <v>926</v>
      </c>
      <c r="E726" t="s">
        <v>1007</v>
      </c>
      <c r="F726">
        <v>2008</v>
      </c>
      <c r="G726">
        <v>95.7</v>
      </c>
      <c r="H726">
        <v>2</v>
      </c>
      <c r="I726">
        <v>0</v>
      </c>
      <c r="J726">
        <v>23</v>
      </c>
      <c r="K726">
        <v>22</v>
      </c>
      <c r="L726" t="s">
        <v>1327</v>
      </c>
      <c r="M726">
        <v>25.47058823529412</v>
      </c>
      <c r="N726">
        <v>76</v>
      </c>
      <c r="O726">
        <v>0</v>
      </c>
      <c r="P726">
        <v>19.333333333333329</v>
      </c>
      <c r="Q726">
        <v>55.233333333333327</v>
      </c>
      <c r="R726">
        <v>-6.1372549019607838</v>
      </c>
      <c r="S726">
        <v>58</v>
      </c>
      <c r="T726">
        <v>0</v>
      </c>
      <c r="U726">
        <v>38.228571428571428</v>
      </c>
      <c r="V726">
        <v>137</v>
      </c>
      <c r="W726">
        <v>0</v>
      </c>
      <c r="X726">
        <v>42.251824817518248</v>
      </c>
      <c r="Y726">
        <v>264</v>
      </c>
      <c r="Z726">
        <v>0</v>
      </c>
      <c r="AA726">
        <v>77.646715328467153</v>
      </c>
      <c r="AB726">
        <v>200</v>
      </c>
      <c r="AC726">
        <v>0</v>
      </c>
      <c r="AD726">
        <v>37.180327868852459</v>
      </c>
      <c r="AE726">
        <v>140</v>
      </c>
      <c r="AF726">
        <v>0</v>
      </c>
      <c r="AG726">
        <v>82.911475409836058</v>
      </c>
      <c r="AH726">
        <v>224.4</v>
      </c>
      <c r="AI726">
        <v>0</v>
      </c>
      <c r="AJ726">
        <v>11</v>
      </c>
      <c r="AK726">
        <v>18.95</v>
      </c>
      <c r="AL726">
        <v>77</v>
      </c>
      <c r="AM726">
        <v>26</v>
      </c>
      <c r="AN726">
        <v>103</v>
      </c>
      <c r="AO726">
        <v>0</v>
      </c>
      <c r="AP726">
        <v>32</v>
      </c>
    </row>
    <row r="727" spans="1:42" x14ac:dyDescent="0.3">
      <c r="A727" t="s">
        <v>1767</v>
      </c>
      <c r="B727" t="s">
        <v>71</v>
      </c>
      <c r="C727" t="s">
        <v>16</v>
      </c>
      <c r="D727" t="s">
        <v>926</v>
      </c>
      <c r="E727" t="s">
        <v>1007</v>
      </c>
      <c r="F727">
        <v>2008</v>
      </c>
      <c r="G727">
        <v>0</v>
      </c>
      <c r="H727">
        <v>0</v>
      </c>
      <c r="I727">
        <v>0</v>
      </c>
      <c r="J727">
        <v>1</v>
      </c>
      <c r="K727">
        <v>0</v>
      </c>
      <c r="L727" t="s">
        <v>1327</v>
      </c>
      <c r="M727">
        <v>26.242424242424239</v>
      </c>
      <c r="N727">
        <v>76</v>
      </c>
      <c r="O727">
        <v>0</v>
      </c>
      <c r="P727">
        <v>19.333333333333329</v>
      </c>
      <c r="Q727">
        <v>55.233333333333327</v>
      </c>
      <c r="R727">
        <v>-6.9090909090909101</v>
      </c>
      <c r="S727">
        <v>58</v>
      </c>
      <c r="T727">
        <v>0</v>
      </c>
      <c r="U727">
        <v>33.333333333333343</v>
      </c>
      <c r="V727">
        <v>140</v>
      </c>
      <c r="W727">
        <v>0</v>
      </c>
      <c r="X727">
        <v>42.251824817518248</v>
      </c>
      <c r="Y727">
        <v>264</v>
      </c>
      <c r="Z727">
        <v>0</v>
      </c>
      <c r="AA727">
        <v>77.646715328467153</v>
      </c>
      <c r="AB727">
        <v>200</v>
      </c>
      <c r="AC727">
        <v>0</v>
      </c>
      <c r="AD727">
        <v>37.180327868852459</v>
      </c>
      <c r="AE727">
        <v>140</v>
      </c>
      <c r="AF727">
        <v>0</v>
      </c>
      <c r="AG727">
        <v>82.911475409836058</v>
      </c>
      <c r="AH727">
        <v>224.4</v>
      </c>
      <c r="AI727">
        <v>0</v>
      </c>
      <c r="AJ727">
        <v>11</v>
      </c>
      <c r="AK727">
        <v>37.9</v>
      </c>
      <c r="AL727">
        <v>77</v>
      </c>
      <c r="AM727">
        <v>26</v>
      </c>
      <c r="AN727">
        <v>103</v>
      </c>
      <c r="AO727">
        <v>0</v>
      </c>
      <c r="AP727">
        <v>32</v>
      </c>
    </row>
    <row r="728" spans="1:42" x14ac:dyDescent="0.3">
      <c r="A728" t="s">
        <v>1540</v>
      </c>
      <c r="B728" t="s">
        <v>277</v>
      </c>
      <c r="C728" t="s">
        <v>16</v>
      </c>
      <c r="D728" t="s">
        <v>926</v>
      </c>
      <c r="E728" t="s">
        <v>1007</v>
      </c>
      <c r="F728">
        <v>2008</v>
      </c>
      <c r="G728">
        <v>37.9</v>
      </c>
      <c r="H728">
        <v>0</v>
      </c>
      <c r="I728">
        <v>0</v>
      </c>
      <c r="J728">
        <v>29</v>
      </c>
      <c r="K728">
        <v>11</v>
      </c>
      <c r="L728" t="s">
        <v>1327</v>
      </c>
      <c r="M728">
        <v>26.71875</v>
      </c>
      <c r="N728">
        <v>76</v>
      </c>
      <c r="O728">
        <v>0</v>
      </c>
      <c r="P728">
        <v>19.333333333333329</v>
      </c>
      <c r="Q728">
        <v>55.233333333333327</v>
      </c>
      <c r="R728">
        <v>-7.3854166666666679</v>
      </c>
      <c r="S728">
        <v>58</v>
      </c>
      <c r="T728">
        <v>0</v>
      </c>
      <c r="U728">
        <v>17</v>
      </c>
      <c r="V728">
        <v>23</v>
      </c>
      <c r="W728">
        <v>11</v>
      </c>
      <c r="X728">
        <v>42.251824817518248</v>
      </c>
      <c r="Y728">
        <v>264</v>
      </c>
      <c r="Z728">
        <v>0</v>
      </c>
      <c r="AA728">
        <v>77.646715328467153</v>
      </c>
      <c r="AB728">
        <v>200</v>
      </c>
      <c r="AC728">
        <v>0</v>
      </c>
      <c r="AD728">
        <v>37.180327868852459</v>
      </c>
      <c r="AE728">
        <v>140</v>
      </c>
      <c r="AF728">
        <v>0</v>
      </c>
      <c r="AG728">
        <v>82.911475409836058</v>
      </c>
      <c r="AH728">
        <v>224.4</v>
      </c>
      <c r="AI728">
        <v>0</v>
      </c>
      <c r="AL728">
        <v>77</v>
      </c>
      <c r="AM728">
        <v>26</v>
      </c>
      <c r="AN728">
        <v>103</v>
      </c>
      <c r="AP728">
        <v>32</v>
      </c>
    </row>
    <row r="729" spans="1:42" x14ac:dyDescent="0.3">
      <c r="A729" t="s">
        <v>1388</v>
      </c>
      <c r="B729" t="s">
        <v>71</v>
      </c>
      <c r="C729" t="s">
        <v>16</v>
      </c>
      <c r="D729" t="s">
        <v>259</v>
      </c>
      <c r="E729" t="s">
        <v>1007</v>
      </c>
      <c r="F729">
        <v>2008</v>
      </c>
      <c r="G729">
        <v>88.9</v>
      </c>
      <c r="H729">
        <v>5</v>
      </c>
      <c r="I729">
        <v>0</v>
      </c>
      <c r="J729">
        <v>27</v>
      </c>
      <c r="K729">
        <v>24</v>
      </c>
      <c r="L729" t="s">
        <v>1327</v>
      </c>
      <c r="M729">
        <v>26.806451612903221</v>
      </c>
      <c r="N729">
        <v>76</v>
      </c>
      <c r="O729">
        <v>0</v>
      </c>
      <c r="P729">
        <v>31</v>
      </c>
      <c r="Q729">
        <v>95.613043478260863</v>
      </c>
      <c r="R729">
        <v>4.1935483870967758</v>
      </c>
      <c r="S729">
        <v>83</v>
      </c>
      <c r="T729">
        <v>0</v>
      </c>
      <c r="U729">
        <v>33.333333333333343</v>
      </c>
      <c r="V729">
        <v>140</v>
      </c>
      <c r="W729">
        <v>0</v>
      </c>
      <c r="X729">
        <v>42.251824817518248</v>
      </c>
      <c r="Y729">
        <v>264</v>
      </c>
      <c r="Z729">
        <v>0</v>
      </c>
      <c r="AA729">
        <v>77.646715328467153</v>
      </c>
      <c r="AB729">
        <v>200</v>
      </c>
      <c r="AC729">
        <v>0</v>
      </c>
      <c r="AD729">
        <v>37.180327868852459</v>
      </c>
      <c r="AE729">
        <v>140</v>
      </c>
      <c r="AF729">
        <v>0</v>
      </c>
      <c r="AG729">
        <v>82.911475409836058</v>
      </c>
      <c r="AH729">
        <v>224.4</v>
      </c>
      <c r="AI729">
        <v>0</v>
      </c>
      <c r="AJ729">
        <v>35</v>
      </c>
      <c r="AK729">
        <v>46.9</v>
      </c>
      <c r="AL729">
        <v>72</v>
      </c>
      <c r="AM729">
        <v>26</v>
      </c>
      <c r="AN729">
        <v>98</v>
      </c>
      <c r="AO729">
        <v>2</v>
      </c>
      <c r="AP729">
        <v>27</v>
      </c>
    </row>
    <row r="730" spans="1:42" x14ac:dyDescent="0.3">
      <c r="A730" t="s">
        <v>1367</v>
      </c>
      <c r="B730" t="s">
        <v>73</v>
      </c>
      <c r="C730" t="s">
        <v>16</v>
      </c>
      <c r="D730" t="s">
        <v>259</v>
      </c>
      <c r="E730" t="s">
        <v>1007</v>
      </c>
      <c r="F730">
        <v>2008</v>
      </c>
      <c r="G730">
        <v>60.5</v>
      </c>
      <c r="H730">
        <v>1</v>
      </c>
      <c r="I730">
        <v>1</v>
      </c>
      <c r="J730">
        <v>43</v>
      </c>
      <c r="K730">
        <v>26</v>
      </c>
      <c r="L730" t="s">
        <v>1327</v>
      </c>
      <c r="M730">
        <v>26.833333333333329</v>
      </c>
      <c r="N730">
        <v>76</v>
      </c>
      <c r="O730">
        <v>0</v>
      </c>
      <c r="P730">
        <v>31</v>
      </c>
      <c r="Q730">
        <v>95.613043478260863</v>
      </c>
      <c r="R730">
        <v>4.1666666666666679</v>
      </c>
      <c r="S730">
        <v>83</v>
      </c>
      <c r="T730">
        <v>0</v>
      </c>
      <c r="U730">
        <v>38.228571428571428</v>
      </c>
      <c r="V730">
        <v>137</v>
      </c>
      <c r="W730">
        <v>0</v>
      </c>
      <c r="X730">
        <v>42.251824817518248</v>
      </c>
      <c r="Y730">
        <v>264</v>
      </c>
      <c r="Z730">
        <v>0</v>
      </c>
      <c r="AA730">
        <v>77.646715328467153</v>
      </c>
      <c r="AB730">
        <v>200</v>
      </c>
      <c r="AC730">
        <v>0</v>
      </c>
      <c r="AD730">
        <v>37.180327868852459</v>
      </c>
      <c r="AE730">
        <v>140</v>
      </c>
      <c r="AF730">
        <v>0</v>
      </c>
      <c r="AG730">
        <v>82.911475409836058</v>
      </c>
      <c r="AH730">
        <v>224.4</v>
      </c>
      <c r="AI730">
        <v>0</v>
      </c>
      <c r="AJ730">
        <v>9</v>
      </c>
      <c r="AK730">
        <v>33.299999999999997</v>
      </c>
      <c r="AL730">
        <v>71</v>
      </c>
      <c r="AM730">
        <v>25</v>
      </c>
      <c r="AN730">
        <v>96</v>
      </c>
      <c r="AO730">
        <v>0</v>
      </c>
      <c r="AP730">
        <v>25</v>
      </c>
    </row>
    <row r="731" spans="1:42" x14ac:dyDescent="0.3">
      <c r="A731" t="s">
        <v>1566</v>
      </c>
      <c r="B731" t="s">
        <v>71</v>
      </c>
      <c r="C731" t="s">
        <v>16</v>
      </c>
      <c r="D731" t="s">
        <v>259</v>
      </c>
      <c r="E731" t="s">
        <v>1007</v>
      </c>
      <c r="F731">
        <v>2008</v>
      </c>
      <c r="G731">
        <v>33.299999999999997</v>
      </c>
      <c r="H731">
        <v>0</v>
      </c>
      <c r="I731">
        <v>0</v>
      </c>
      <c r="J731">
        <v>27</v>
      </c>
      <c r="K731">
        <v>9</v>
      </c>
      <c r="L731" t="s">
        <v>1327</v>
      </c>
      <c r="M731">
        <v>27.448275862068961</v>
      </c>
      <c r="N731">
        <v>76</v>
      </c>
      <c r="O731">
        <v>0</v>
      </c>
      <c r="P731">
        <v>31</v>
      </c>
      <c r="Q731">
        <v>95.613043478260863</v>
      </c>
      <c r="R731">
        <v>3.551724137931036</v>
      </c>
      <c r="S731">
        <v>83</v>
      </c>
      <c r="T731">
        <v>0</v>
      </c>
      <c r="U731">
        <v>33.333333333333343</v>
      </c>
      <c r="V731">
        <v>140</v>
      </c>
      <c r="W731">
        <v>0</v>
      </c>
      <c r="X731">
        <v>42.251824817518248</v>
      </c>
      <c r="Y731">
        <v>264</v>
      </c>
      <c r="Z731">
        <v>0</v>
      </c>
      <c r="AA731">
        <v>77.646715328467153</v>
      </c>
      <c r="AB731">
        <v>200</v>
      </c>
      <c r="AC731">
        <v>0</v>
      </c>
      <c r="AD731">
        <v>37.180327868852459</v>
      </c>
      <c r="AE731">
        <v>140</v>
      </c>
      <c r="AF731">
        <v>0</v>
      </c>
      <c r="AG731">
        <v>82.911475409836058</v>
      </c>
      <c r="AH731">
        <v>224.4</v>
      </c>
      <c r="AI731">
        <v>0</v>
      </c>
      <c r="AL731">
        <v>71</v>
      </c>
      <c r="AM731">
        <v>25</v>
      </c>
      <c r="AN731">
        <v>96</v>
      </c>
      <c r="AP731">
        <v>25</v>
      </c>
    </row>
    <row r="732" spans="1:42" x14ac:dyDescent="0.3">
      <c r="A732" t="s">
        <v>1453</v>
      </c>
      <c r="B732" t="s">
        <v>60</v>
      </c>
      <c r="C732" t="s">
        <v>1043</v>
      </c>
      <c r="D732" t="s">
        <v>54</v>
      </c>
      <c r="E732" t="s">
        <v>1036</v>
      </c>
      <c r="F732">
        <v>2008</v>
      </c>
      <c r="G732">
        <v>106.3</v>
      </c>
      <c r="H732">
        <v>2</v>
      </c>
      <c r="I732">
        <v>0</v>
      </c>
      <c r="J732">
        <v>16</v>
      </c>
      <c r="K732">
        <v>17</v>
      </c>
      <c r="L732" t="s">
        <v>1327</v>
      </c>
      <c r="M732">
        <v>27.821428571428569</v>
      </c>
      <c r="N732">
        <v>76</v>
      </c>
      <c r="O732">
        <v>0</v>
      </c>
      <c r="P732">
        <v>30</v>
      </c>
      <c r="Q732">
        <v>129.072</v>
      </c>
      <c r="R732">
        <v>2.178571428571427</v>
      </c>
      <c r="S732">
        <v>76</v>
      </c>
      <c r="T732">
        <v>1</v>
      </c>
      <c r="U732">
        <v>25.96875</v>
      </c>
      <c r="V732">
        <v>94</v>
      </c>
      <c r="W732">
        <v>0</v>
      </c>
      <c r="X732">
        <v>26.556862745098041</v>
      </c>
      <c r="Y732">
        <v>109</v>
      </c>
      <c r="Z732">
        <v>0</v>
      </c>
      <c r="AA732">
        <v>114.6301960784314</v>
      </c>
      <c r="AB732">
        <v>350</v>
      </c>
      <c r="AC732">
        <v>0</v>
      </c>
      <c r="AD732">
        <v>26.732758620689651</v>
      </c>
      <c r="AE732">
        <v>114</v>
      </c>
      <c r="AF732">
        <v>0</v>
      </c>
      <c r="AG732">
        <v>115.31896551724139</v>
      </c>
      <c r="AH732">
        <v>350</v>
      </c>
      <c r="AI732">
        <v>0</v>
      </c>
      <c r="AJ732">
        <v>50</v>
      </c>
      <c r="AK732">
        <v>185.2</v>
      </c>
      <c r="AL732">
        <v>69</v>
      </c>
      <c r="AM732">
        <v>25</v>
      </c>
      <c r="AN732">
        <v>94</v>
      </c>
      <c r="AO732">
        <v>32</v>
      </c>
      <c r="AP732">
        <v>55</v>
      </c>
    </row>
    <row r="733" spans="1:42" x14ac:dyDescent="0.3">
      <c r="A733" t="s">
        <v>1225</v>
      </c>
      <c r="B733" t="s">
        <v>40</v>
      </c>
      <c r="C733" t="s">
        <v>1043</v>
      </c>
      <c r="D733" t="s">
        <v>173</v>
      </c>
      <c r="E733" t="s">
        <v>1036</v>
      </c>
      <c r="F733">
        <v>2008</v>
      </c>
      <c r="G733">
        <v>185.2</v>
      </c>
      <c r="H733">
        <v>3</v>
      </c>
      <c r="I733">
        <v>4</v>
      </c>
      <c r="J733">
        <v>27</v>
      </c>
      <c r="K733">
        <v>50</v>
      </c>
      <c r="L733" t="s">
        <v>979</v>
      </c>
      <c r="M733">
        <v>27</v>
      </c>
      <c r="N733">
        <v>76</v>
      </c>
      <c r="O733">
        <v>0</v>
      </c>
      <c r="P733">
        <v>36.388888888888893</v>
      </c>
      <c r="Q733">
        <v>93.683333333333337</v>
      </c>
      <c r="R733">
        <v>9.3888888888888857</v>
      </c>
      <c r="S733">
        <v>208</v>
      </c>
      <c r="T733">
        <v>0</v>
      </c>
      <c r="U733">
        <v>28.12903225806452</v>
      </c>
      <c r="V733">
        <v>79</v>
      </c>
      <c r="W733">
        <v>0</v>
      </c>
      <c r="X733">
        <v>26.556862745098041</v>
      </c>
      <c r="Y733">
        <v>109</v>
      </c>
      <c r="Z733">
        <v>0</v>
      </c>
      <c r="AA733">
        <v>114.6301960784314</v>
      </c>
      <c r="AB733">
        <v>350</v>
      </c>
      <c r="AC733">
        <v>0</v>
      </c>
      <c r="AD733">
        <v>26.732758620689651</v>
      </c>
      <c r="AE733">
        <v>114</v>
      </c>
      <c r="AF733">
        <v>0</v>
      </c>
      <c r="AG733">
        <v>115.31896551724139</v>
      </c>
      <c r="AH733">
        <v>350</v>
      </c>
      <c r="AI733">
        <v>0</v>
      </c>
      <c r="AJ733">
        <v>6</v>
      </c>
      <c r="AK733">
        <v>60</v>
      </c>
      <c r="AL733">
        <v>66</v>
      </c>
      <c r="AM733">
        <v>21</v>
      </c>
      <c r="AN733">
        <v>87</v>
      </c>
      <c r="AP733">
        <v>48</v>
      </c>
    </row>
    <row r="734" spans="1:42" x14ac:dyDescent="0.3">
      <c r="A734" t="s">
        <v>1615</v>
      </c>
      <c r="B734" t="s">
        <v>878</v>
      </c>
      <c r="C734" t="s">
        <v>1043</v>
      </c>
      <c r="D734" t="s">
        <v>54</v>
      </c>
      <c r="E734" t="s">
        <v>1036</v>
      </c>
      <c r="F734">
        <v>2008</v>
      </c>
      <c r="G734">
        <v>60</v>
      </c>
      <c r="H734">
        <v>1</v>
      </c>
      <c r="I734">
        <v>0</v>
      </c>
      <c r="J734">
        <v>10</v>
      </c>
      <c r="K734">
        <v>6</v>
      </c>
      <c r="L734" t="s">
        <v>1327</v>
      </c>
      <c r="M734">
        <v>27.80769230769231</v>
      </c>
      <c r="N734">
        <v>76</v>
      </c>
      <c r="O734">
        <v>0</v>
      </c>
      <c r="P734">
        <v>30</v>
      </c>
      <c r="Q734">
        <v>129.072</v>
      </c>
      <c r="R734">
        <v>2.192307692307693</v>
      </c>
      <c r="S734">
        <v>76</v>
      </c>
      <c r="T734">
        <v>1</v>
      </c>
      <c r="U734">
        <v>23</v>
      </c>
      <c r="V734">
        <v>45</v>
      </c>
      <c r="W734">
        <v>3</v>
      </c>
      <c r="X734">
        <v>26.556862745098041</v>
      </c>
      <c r="Y734">
        <v>109</v>
      </c>
      <c r="Z734">
        <v>0</v>
      </c>
      <c r="AA734">
        <v>114.6301960784314</v>
      </c>
      <c r="AB734">
        <v>350</v>
      </c>
      <c r="AC734">
        <v>0</v>
      </c>
      <c r="AD734">
        <v>26.732758620689651</v>
      </c>
      <c r="AE734">
        <v>114</v>
      </c>
      <c r="AF734">
        <v>0</v>
      </c>
      <c r="AG734">
        <v>115.31896551724139</v>
      </c>
      <c r="AH734">
        <v>350</v>
      </c>
      <c r="AI734">
        <v>0</v>
      </c>
      <c r="AJ734">
        <v>35</v>
      </c>
      <c r="AK734">
        <v>194.4</v>
      </c>
      <c r="AL734">
        <v>65</v>
      </c>
      <c r="AM734">
        <v>21</v>
      </c>
      <c r="AN734">
        <v>86</v>
      </c>
      <c r="AO734">
        <v>31</v>
      </c>
      <c r="AP734">
        <v>47</v>
      </c>
    </row>
    <row r="735" spans="1:42" x14ac:dyDescent="0.3">
      <c r="A735" t="s">
        <v>1304</v>
      </c>
      <c r="B735" t="s">
        <v>8</v>
      </c>
      <c r="C735" t="s">
        <v>1043</v>
      </c>
      <c r="D735" t="s">
        <v>9</v>
      </c>
      <c r="E735" t="s">
        <v>1036</v>
      </c>
      <c r="F735">
        <v>2008</v>
      </c>
      <c r="G735">
        <v>194.4</v>
      </c>
      <c r="H735">
        <v>3</v>
      </c>
      <c r="I735">
        <v>2</v>
      </c>
      <c r="J735">
        <v>18</v>
      </c>
      <c r="K735">
        <v>35</v>
      </c>
      <c r="L735" t="s">
        <v>979</v>
      </c>
      <c r="M735">
        <v>27.52</v>
      </c>
      <c r="N735">
        <v>76</v>
      </c>
      <c r="O735">
        <v>0</v>
      </c>
      <c r="P735">
        <v>38.36</v>
      </c>
      <c r="Q735">
        <v>122.748</v>
      </c>
      <c r="R735">
        <v>10.84</v>
      </c>
      <c r="S735">
        <v>131</v>
      </c>
      <c r="T735">
        <v>1</v>
      </c>
      <c r="U735">
        <v>28.567567567567568</v>
      </c>
      <c r="V735">
        <v>74</v>
      </c>
      <c r="W735">
        <v>0</v>
      </c>
      <c r="X735">
        <v>26.556862745098041</v>
      </c>
      <c r="Y735">
        <v>109</v>
      </c>
      <c r="Z735">
        <v>0</v>
      </c>
      <c r="AA735">
        <v>114.6301960784314</v>
      </c>
      <c r="AB735">
        <v>350</v>
      </c>
      <c r="AC735">
        <v>0</v>
      </c>
      <c r="AD735">
        <v>26.732758620689651</v>
      </c>
      <c r="AE735">
        <v>114</v>
      </c>
      <c r="AF735">
        <v>0</v>
      </c>
      <c r="AG735">
        <v>115.31896551724139</v>
      </c>
      <c r="AH735">
        <v>350</v>
      </c>
      <c r="AI735">
        <v>0</v>
      </c>
      <c r="AJ735">
        <v>33</v>
      </c>
      <c r="AK735">
        <v>137.5</v>
      </c>
      <c r="AL735">
        <v>62</v>
      </c>
      <c r="AM735">
        <v>19</v>
      </c>
      <c r="AN735">
        <v>81</v>
      </c>
      <c r="AP735">
        <v>42</v>
      </c>
    </row>
    <row r="736" spans="1:42" x14ac:dyDescent="0.3">
      <c r="A736" t="s">
        <v>1313</v>
      </c>
      <c r="B736" t="s">
        <v>11</v>
      </c>
      <c r="C736" t="s">
        <v>1043</v>
      </c>
      <c r="D736" t="s">
        <v>54</v>
      </c>
      <c r="E736" t="s">
        <v>1036</v>
      </c>
      <c r="F736">
        <v>2008</v>
      </c>
      <c r="G736">
        <v>137.5</v>
      </c>
      <c r="H736">
        <v>3</v>
      </c>
      <c r="I736">
        <v>2</v>
      </c>
      <c r="J736">
        <v>24</v>
      </c>
      <c r="K736">
        <v>33</v>
      </c>
      <c r="L736" t="s">
        <v>979</v>
      </c>
      <c r="M736">
        <v>27.291666666666671</v>
      </c>
      <c r="N736">
        <v>76</v>
      </c>
      <c r="O736">
        <v>0</v>
      </c>
      <c r="P736">
        <v>30</v>
      </c>
      <c r="Q736">
        <v>129.072</v>
      </c>
      <c r="R736">
        <v>2.7083333333333321</v>
      </c>
      <c r="S736">
        <v>76</v>
      </c>
      <c r="T736">
        <v>1</v>
      </c>
      <c r="U736">
        <v>31.852941176470591</v>
      </c>
      <c r="V736">
        <v>109</v>
      </c>
      <c r="W736">
        <v>0</v>
      </c>
      <c r="X736">
        <v>26.556862745098041</v>
      </c>
      <c r="Y736">
        <v>109</v>
      </c>
      <c r="Z736">
        <v>0</v>
      </c>
      <c r="AA736">
        <v>114.6301960784314</v>
      </c>
      <c r="AB736">
        <v>350</v>
      </c>
      <c r="AC736">
        <v>0</v>
      </c>
      <c r="AD736">
        <v>26.732758620689651</v>
      </c>
      <c r="AE736">
        <v>114</v>
      </c>
      <c r="AF736">
        <v>0</v>
      </c>
      <c r="AG736">
        <v>115.31896551724139</v>
      </c>
      <c r="AH736">
        <v>350</v>
      </c>
      <c r="AI736">
        <v>0</v>
      </c>
      <c r="AJ736">
        <v>28</v>
      </c>
      <c r="AK736">
        <v>98.9</v>
      </c>
      <c r="AL736">
        <v>59</v>
      </c>
      <c r="AM736">
        <v>17</v>
      </c>
      <c r="AN736">
        <v>76</v>
      </c>
      <c r="AO736">
        <v>26</v>
      </c>
      <c r="AP736">
        <v>37</v>
      </c>
    </row>
    <row r="737" spans="1:42" x14ac:dyDescent="0.3">
      <c r="A737" t="s">
        <v>1643</v>
      </c>
      <c r="B737" t="s">
        <v>4</v>
      </c>
      <c r="C737" t="s">
        <v>1043</v>
      </c>
      <c r="D737" t="s">
        <v>46</v>
      </c>
      <c r="E737" t="s">
        <v>1036</v>
      </c>
      <c r="F737">
        <v>2008</v>
      </c>
      <c r="G737">
        <v>62.5</v>
      </c>
      <c r="H737">
        <v>0</v>
      </c>
      <c r="I737">
        <v>0</v>
      </c>
      <c r="J737">
        <v>8</v>
      </c>
      <c r="K737">
        <v>5</v>
      </c>
      <c r="L737" t="s">
        <v>1327</v>
      </c>
      <c r="M737">
        <v>28.260869565217391</v>
      </c>
      <c r="N737">
        <v>76</v>
      </c>
      <c r="O737">
        <v>0</v>
      </c>
      <c r="P737">
        <v>31.72727272727273</v>
      </c>
      <c r="Q737">
        <v>85.109090909090909</v>
      </c>
      <c r="R737">
        <v>3.4664031620553359</v>
      </c>
      <c r="S737">
        <v>141</v>
      </c>
      <c r="T737">
        <v>0</v>
      </c>
      <c r="U737">
        <v>20.68965517241379</v>
      </c>
      <c r="V737">
        <v>73</v>
      </c>
      <c r="W737">
        <v>0</v>
      </c>
      <c r="X737">
        <v>26.556862745098041</v>
      </c>
      <c r="Y737">
        <v>109</v>
      </c>
      <c r="Z737">
        <v>0</v>
      </c>
      <c r="AA737">
        <v>114.6301960784314</v>
      </c>
      <c r="AB737">
        <v>350</v>
      </c>
      <c r="AC737">
        <v>0</v>
      </c>
      <c r="AD737">
        <v>26.732758620689651</v>
      </c>
      <c r="AE737">
        <v>114</v>
      </c>
      <c r="AF737">
        <v>0</v>
      </c>
      <c r="AG737">
        <v>115.31896551724139</v>
      </c>
      <c r="AH737">
        <v>350</v>
      </c>
      <c r="AI737">
        <v>0</v>
      </c>
      <c r="AJ737">
        <v>23</v>
      </c>
      <c r="AK737">
        <v>135.30000000000001</v>
      </c>
      <c r="AL737">
        <v>59</v>
      </c>
      <c r="AM737">
        <v>17</v>
      </c>
      <c r="AN737">
        <v>76</v>
      </c>
      <c r="AO737">
        <v>4</v>
      </c>
      <c r="AP737">
        <v>37</v>
      </c>
    </row>
    <row r="738" spans="1:42" x14ac:dyDescent="0.3">
      <c r="A738" t="s">
        <v>1394</v>
      </c>
      <c r="B738" t="s">
        <v>56</v>
      </c>
      <c r="C738" t="s">
        <v>1043</v>
      </c>
      <c r="D738" t="s">
        <v>64</v>
      </c>
      <c r="E738" t="s">
        <v>1036</v>
      </c>
      <c r="F738">
        <v>2008</v>
      </c>
      <c r="G738">
        <v>135.30000000000001</v>
      </c>
      <c r="H738">
        <v>2</v>
      </c>
      <c r="I738">
        <v>1</v>
      </c>
      <c r="J738">
        <v>17</v>
      </c>
      <c r="K738">
        <v>23</v>
      </c>
      <c r="L738" t="s">
        <v>1327</v>
      </c>
      <c r="M738">
        <v>28.5</v>
      </c>
      <c r="N738">
        <v>76</v>
      </c>
      <c r="O738">
        <v>0</v>
      </c>
      <c r="P738">
        <v>26</v>
      </c>
      <c r="Q738">
        <v>94.26964285714287</v>
      </c>
      <c r="R738">
        <v>-2.5</v>
      </c>
      <c r="S738">
        <v>187</v>
      </c>
      <c r="T738">
        <v>0</v>
      </c>
      <c r="U738">
        <v>25.6</v>
      </c>
      <c r="V738">
        <v>105</v>
      </c>
      <c r="W738">
        <v>0</v>
      </c>
      <c r="X738">
        <v>26.556862745098041</v>
      </c>
      <c r="Y738">
        <v>109</v>
      </c>
      <c r="Z738">
        <v>0</v>
      </c>
      <c r="AA738">
        <v>114.6301960784314</v>
      </c>
      <c r="AB738">
        <v>350</v>
      </c>
      <c r="AC738">
        <v>0</v>
      </c>
      <c r="AD738">
        <v>26.732758620689651</v>
      </c>
      <c r="AE738">
        <v>114</v>
      </c>
      <c r="AF738">
        <v>0</v>
      </c>
      <c r="AG738">
        <v>115.31896551724139</v>
      </c>
      <c r="AH738">
        <v>350</v>
      </c>
      <c r="AI738">
        <v>0</v>
      </c>
      <c r="AJ738">
        <v>133</v>
      </c>
      <c r="AK738">
        <v>158.35</v>
      </c>
      <c r="AL738">
        <v>57</v>
      </c>
      <c r="AM738">
        <v>16</v>
      </c>
      <c r="AN738">
        <v>73</v>
      </c>
      <c r="AP738">
        <v>34</v>
      </c>
    </row>
    <row r="739" spans="1:42" x14ac:dyDescent="0.3">
      <c r="A739" t="s">
        <v>1181</v>
      </c>
      <c r="B739" t="s">
        <v>60</v>
      </c>
      <c r="C739" t="s">
        <v>1043</v>
      </c>
      <c r="D739" t="s">
        <v>103</v>
      </c>
      <c r="E739" t="s">
        <v>1036</v>
      </c>
      <c r="F739">
        <v>2008</v>
      </c>
      <c r="G739">
        <v>135.69999999999999</v>
      </c>
      <c r="H739">
        <v>5</v>
      </c>
      <c r="I739">
        <v>3</v>
      </c>
      <c r="J739">
        <v>42</v>
      </c>
      <c r="K739">
        <v>57</v>
      </c>
      <c r="L739" t="s">
        <v>979</v>
      </c>
      <c r="M739">
        <v>27.142857142857139</v>
      </c>
      <c r="N739">
        <v>76</v>
      </c>
      <c r="O739">
        <v>0</v>
      </c>
      <c r="P739">
        <v>43.391304347826093</v>
      </c>
      <c r="Q739">
        <v>100.17391304347829</v>
      </c>
      <c r="R739">
        <v>16.24844720496894</v>
      </c>
      <c r="S739">
        <v>209</v>
      </c>
      <c r="T739">
        <v>0</v>
      </c>
      <c r="U739">
        <v>25.96875</v>
      </c>
      <c r="V739">
        <v>94</v>
      </c>
      <c r="W739">
        <v>0</v>
      </c>
      <c r="X739">
        <v>26.556862745098041</v>
      </c>
      <c r="Y739">
        <v>109</v>
      </c>
      <c r="Z739">
        <v>0</v>
      </c>
      <c r="AA739">
        <v>114.6301960784314</v>
      </c>
      <c r="AB739">
        <v>350</v>
      </c>
      <c r="AC739">
        <v>0</v>
      </c>
      <c r="AD739">
        <v>26.732758620689651</v>
      </c>
      <c r="AE739">
        <v>114</v>
      </c>
      <c r="AF739">
        <v>0</v>
      </c>
      <c r="AG739">
        <v>115.31896551724139</v>
      </c>
      <c r="AH739">
        <v>350</v>
      </c>
      <c r="AI739">
        <v>0</v>
      </c>
      <c r="AJ739">
        <v>76</v>
      </c>
      <c r="AK739">
        <v>181</v>
      </c>
      <c r="AL739">
        <v>52</v>
      </c>
      <c r="AM739">
        <v>13</v>
      </c>
      <c r="AN739">
        <v>65</v>
      </c>
      <c r="AP739">
        <v>26</v>
      </c>
    </row>
    <row r="740" spans="1:42" x14ac:dyDescent="0.3">
      <c r="A740" t="s">
        <v>1105</v>
      </c>
      <c r="B740" t="s">
        <v>40</v>
      </c>
      <c r="C740" t="s">
        <v>1043</v>
      </c>
      <c r="D740" t="s">
        <v>54</v>
      </c>
      <c r="E740" t="s">
        <v>1036</v>
      </c>
      <c r="F740">
        <v>2008</v>
      </c>
      <c r="G740">
        <v>181</v>
      </c>
      <c r="H740">
        <v>10</v>
      </c>
      <c r="I740">
        <v>2</v>
      </c>
      <c r="J740">
        <v>42</v>
      </c>
      <c r="K740">
        <v>76</v>
      </c>
      <c r="L740" t="s">
        <v>979</v>
      </c>
      <c r="M740">
        <v>24.7</v>
      </c>
      <c r="N740">
        <v>70</v>
      </c>
      <c r="O740">
        <v>0</v>
      </c>
      <c r="P740">
        <v>30</v>
      </c>
      <c r="Q740">
        <v>129.072</v>
      </c>
      <c r="R740">
        <v>5.3000000000000007</v>
      </c>
      <c r="S740">
        <v>76</v>
      </c>
      <c r="T740">
        <v>1</v>
      </c>
      <c r="U740">
        <v>28.12903225806452</v>
      </c>
      <c r="V740">
        <v>79</v>
      </c>
      <c r="W740">
        <v>0</v>
      </c>
      <c r="X740">
        <v>26.556862745098041</v>
      </c>
      <c r="Y740">
        <v>109</v>
      </c>
      <c r="Z740">
        <v>0</v>
      </c>
      <c r="AA740">
        <v>114.6301960784314</v>
      </c>
      <c r="AB740">
        <v>350</v>
      </c>
      <c r="AC740">
        <v>0</v>
      </c>
      <c r="AD740">
        <v>26.732758620689651</v>
      </c>
      <c r="AE740">
        <v>114</v>
      </c>
      <c r="AF740">
        <v>0</v>
      </c>
      <c r="AG740">
        <v>115.31896551724139</v>
      </c>
      <c r="AH740">
        <v>350</v>
      </c>
      <c r="AI740">
        <v>0</v>
      </c>
      <c r="AL740">
        <v>42</v>
      </c>
      <c r="AM740">
        <v>11</v>
      </c>
      <c r="AN740">
        <v>53</v>
      </c>
      <c r="AO740">
        <v>14</v>
      </c>
      <c r="AP740">
        <v>14</v>
      </c>
    </row>
    <row r="741" spans="1:42" x14ac:dyDescent="0.3">
      <c r="A741" t="s">
        <v>1297</v>
      </c>
      <c r="B741" t="s">
        <v>4</v>
      </c>
      <c r="C741" t="s">
        <v>1043</v>
      </c>
      <c r="D741" t="s">
        <v>54</v>
      </c>
      <c r="E741" t="s">
        <v>1047</v>
      </c>
      <c r="F741">
        <v>2008</v>
      </c>
      <c r="G741">
        <v>120</v>
      </c>
      <c r="H741">
        <v>3</v>
      </c>
      <c r="I741">
        <v>1</v>
      </c>
      <c r="J741">
        <v>30</v>
      </c>
      <c r="K741">
        <v>36</v>
      </c>
      <c r="L741" t="s">
        <v>979</v>
      </c>
      <c r="M741">
        <v>24.10526315789474</v>
      </c>
      <c r="N741">
        <v>70</v>
      </c>
      <c r="O741">
        <v>0</v>
      </c>
      <c r="P741">
        <v>30</v>
      </c>
      <c r="Q741">
        <v>129.072</v>
      </c>
      <c r="R741">
        <v>5.8947368421052637</v>
      </c>
      <c r="S741">
        <v>76</v>
      </c>
      <c r="T741">
        <v>1</v>
      </c>
      <c r="U741">
        <v>20.68965517241379</v>
      </c>
      <c r="V741">
        <v>73</v>
      </c>
      <c r="W741">
        <v>0</v>
      </c>
      <c r="X741">
        <v>26.556862745098041</v>
      </c>
      <c r="Y741">
        <v>109</v>
      </c>
      <c r="Z741">
        <v>0</v>
      </c>
      <c r="AA741">
        <v>114.6301960784314</v>
      </c>
      <c r="AB741">
        <v>350</v>
      </c>
      <c r="AC741">
        <v>0</v>
      </c>
      <c r="AD741">
        <v>27.9758064516129</v>
      </c>
      <c r="AE741">
        <v>105</v>
      </c>
      <c r="AF741">
        <v>0</v>
      </c>
      <c r="AG741">
        <v>110.46935483870971</v>
      </c>
      <c r="AH741">
        <v>280</v>
      </c>
      <c r="AI741">
        <v>0</v>
      </c>
      <c r="AJ741">
        <v>66</v>
      </c>
      <c r="AK741">
        <v>91.65</v>
      </c>
      <c r="AL741">
        <v>39</v>
      </c>
      <c r="AM741">
        <v>10</v>
      </c>
      <c r="AN741">
        <v>49</v>
      </c>
      <c r="AO741">
        <v>10</v>
      </c>
      <c r="AP741">
        <v>10</v>
      </c>
    </row>
    <row r="742" spans="1:42" x14ac:dyDescent="0.3">
      <c r="A742" t="s">
        <v>1135</v>
      </c>
      <c r="B742" t="s">
        <v>8</v>
      </c>
      <c r="C742" t="s">
        <v>1043</v>
      </c>
      <c r="D742" t="s">
        <v>54</v>
      </c>
      <c r="E742" t="s">
        <v>1047</v>
      </c>
      <c r="F742">
        <v>2008</v>
      </c>
      <c r="G742">
        <v>183.3</v>
      </c>
      <c r="H742">
        <v>6</v>
      </c>
      <c r="I742">
        <v>4</v>
      </c>
      <c r="J742">
        <v>36</v>
      </c>
      <c r="K742">
        <v>66</v>
      </c>
      <c r="L742" t="s">
        <v>979</v>
      </c>
      <c r="M742">
        <v>21.777777777777779</v>
      </c>
      <c r="N742">
        <v>70</v>
      </c>
      <c r="O742">
        <v>0</v>
      </c>
      <c r="P742">
        <v>30</v>
      </c>
      <c r="Q742">
        <v>129.072</v>
      </c>
      <c r="R742">
        <v>8.2222222222222214</v>
      </c>
      <c r="S742">
        <v>76</v>
      </c>
      <c r="T742">
        <v>1</v>
      </c>
      <c r="U742">
        <v>28.567567567567568</v>
      </c>
      <c r="V742">
        <v>74</v>
      </c>
      <c r="W742">
        <v>0</v>
      </c>
      <c r="X742">
        <v>26.556862745098041</v>
      </c>
      <c r="Y742">
        <v>109</v>
      </c>
      <c r="Z742">
        <v>0</v>
      </c>
      <c r="AA742">
        <v>114.6301960784314</v>
      </c>
      <c r="AB742">
        <v>350</v>
      </c>
      <c r="AC742">
        <v>0</v>
      </c>
      <c r="AD742">
        <v>27.9758064516129</v>
      </c>
      <c r="AE742">
        <v>105</v>
      </c>
      <c r="AF742">
        <v>0</v>
      </c>
      <c r="AG742">
        <v>110.46935483870971</v>
      </c>
      <c r="AH742">
        <v>280</v>
      </c>
      <c r="AI742">
        <v>0</v>
      </c>
      <c r="AJ742">
        <v>0</v>
      </c>
      <c r="AK742">
        <v>0</v>
      </c>
      <c r="AL742">
        <v>33</v>
      </c>
      <c r="AM742">
        <v>6</v>
      </c>
      <c r="AN742">
        <v>39</v>
      </c>
      <c r="AO742">
        <v>0</v>
      </c>
      <c r="AP742">
        <v>0</v>
      </c>
    </row>
    <row r="743" spans="1:42" x14ac:dyDescent="0.3">
      <c r="A743" t="s">
        <v>1768</v>
      </c>
      <c r="B743" t="s">
        <v>11</v>
      </c>
      <c r="C743" t="s">
        <v>1043</v>
      </c>
      <c r="D743" t="s">
        <v>139</v>
      </c>
      <c r="E743" t="s">
        <v>1047</v>
      </c>
      <c r="F743">
        <v>2008</v>
      </c>
      <c r="G743">
        <v>0</v>
      </c>
      <c r="H743">
        <v>0</v>
      </c>
      <c r="I743">
        <v>0</v>
      </c>
      <c r="J743">
        <v>3</v>
      </c>
      <c r="K743">
        <v>0</v>
      </c>
      <c r="L743" t="s">
        <v>1327</v>
      </c>
      <c r="M743">
        <v>23.058823529411761</v>
      </c>
      <c r="N743">
        <v>70</v>
      </c>
      <c r="O743">
        <v>0</v>
      </c>
      <c r="P743">
        <v>45.666666666666657</v>
      </c>
      <c r="Q743">
        <v>104.1166666666667</v>
      </c>
      <c r="R743">
        <v>22.6078431372549</v>
      </c>
      <c r="S743">
        <v>264</v>
      </c>
      <c r="T743">
        <v>0</v>
      </c>
      <c r="U743">
        <v>31.852941176470591</v>
      </c>
      <c r="V743">
        <v>109</v>
      </c>
      <c r="W743">
        <v>0</v>
      </c>
      <c r="X743">
        <v>26.556862745098041</v>
      </c>
      <c r="Y743">
        <v>109</v>
      </c>
      <c r="Z743">
        <v>0</v>
      </c>
      <c r="AA743">
        <v>114.6301960784314</v>
      </c>
      <c r="AB743">
        <v>350</v>
      </c>
      <c r="AC743">
        <v>0</v>
      </c>
      <c r="AD743">
        <v>27.9758064516129</v>
      </c>
      <c r="AE743">
        <v>105</v>
      </c>
      <c r="AF743">
        <v>0</v>
      </c>
      <c r="AG743">
        <v>110.46935483870971</v>
      </c>
      <c r="AH743">
        <v>280</v>
      </c>
      <c r="AI743">
        <v>0</v>
      </c>
      <c r="AL743">
        <v>33</v>
      </c>
      <c r="AM743">
        <v>6</v>
      </c>
      <c r="AN743">
        <v>39</v>
      </c>
    </row>
    <row r="744" spans="1:42" x14ac:dyDescent="0.3">
      <c r="A744" t="s">
        <v>1702</v>
      </c>
      <c r="B744" t="s">
        <v>32</v>
      </c>
      <c r="C744" t="s">
        <v>16</v>
      </c>
      <c r="D744" t="s">
        <v>88</v>
      </c>
      <c r="E744" t="s">
        <v>1016</v>
      </c>
      <c r="F744">
        <v>2008</v>
      </c>
      <c r="G744">
        <v>40</v>
      </c>
      <c r="H744">
        <v>0</v>
      </c>
      <c r="I744">
        <v>0</v>
      </c>
      <c r="J744">
        <v>5</v>
      </c>
      <c r="K744">
        <v>2</v>
      </c>
      <c r="L744" t="s">
        <v>1327</v>
      </c>
      <c r="M744">
        <v>24.375</v>
      </c>
      <c r="N744">
        <v>70</v>
      </c>
      <c r="O744">
        <v>0</v>
      </c>
      <c r="P744">
        <v>28.333333333333329</v>
      </c>
      <c r="Q744">
        <v>48.216666666666661</v>
      </c>
      <c r="R744">
        <v>3.9583333333333321</v>
      </c>
      <c r="S744">
        <v>124</v>
      </c>
      <c r="T744">
        <v>0</v>
      </c>
      <c r="U744">
        <v>44.710843373493979</v>
      </c>
      <c r="V744">
        <v>209</v>
      </c>
      <c r="W744">
        <v>0</v>
      </c>
      <c r="X744">
        <v>42.251824817518248</v>
      </c>
      <c r="Y744">
        <v>264</v>
      </c>
      <c r="Z744">
        <v>0</v>
      </c>
      <c r="AA744">
        <v>77.646715328467153</v>
      </c>
      <c r="AB744">
        <v>200</v>
      </c>
      <c r="AC744">
        <v>0</v>
      </c>
      <c r="AD744">
        <v>34.313432835820898</v>
      </c>
      <c r="AE744">
        <v>137</v>
      </c>
      <c r="AF744">
        <v>0</v>
      </c>
      <c r="AG744">
        <v>101.9507462686567</v>
      </c>
      <c r="AH744">
        <v>216.7</v>
      </c>
      <c r="AI744">
        <v>0</v>
      </c>
      <c r="AJ744">
        <v>66</v>
      </c>
      <c r="AK744">
        <v>75.900000000000006</v>
      </c>
      <c r="AL744">
        <v>33</v>
      </c>
      <c r="AM744">
        <v>6</v>
      </c>
      <c r="AN744">
        <v>39</v>
      </c>
      <c r="AO744">
        <v>5</v>
      </c>
      <c r="AP744">
        <v>25</v>
      </c>
    </row>
    <row r="745" spans="1:42" x14ac:dyDescent="0.3">
      <c r="A745" t="s">
        <v>1136</v>
      </c>
      <c r="B745" t="s">
        <v>32</v>
      </c>
      <c r="C745" t="s">
        <v>16</v>
      </c>
      <c r="D745" t="s">
        <v>33</v>
      </c>
      <c r="E745" t="s">
        <v>1016</v>
      </c>
      <c r="F745">
        <v>2008</v>
      </c>
      <c r="G745">
        <v>75.900000000000006</v>
      </c>
      <c r="H745">
        <v>6</v>
      </c>
      <c r="I745">
        <v>0</v>
      </c>
      <c r="J745">
        <v>87</v>
      </c>
      <c r="K745">
        <v>66</v>
      </c>
      <c r="L745" t="s">
        <v>979</v>
      </c>
      <c r="M745">
        <v>21.6</v>
      </c>
      <c r="N745">
        <v>70</v>
      </c>
      <c r="O745">
        <v>0</v>
      </c>
      <c r="P745">
        <v>68.36363636363636</v>
      </c>
      <c r="Q745">
        <v>88.454545454545453</v>
      </c>
      <c r="R745">
        <v>46.763636363636358</v>
      </c>
      <c r="S745">
        <v>133</v>
      </c>
      <c r="T745">
        <v>1</v>
      </c>
      <c r="U745">
        <v>44.710843373493979</v>
      </c>
      <c r="V745">
        <v>209</v>
      </c>
      <c r="W745">
        <v>0</v>
      </c>
      <c r="X745">
        <v>42.251824817518248</v>
      </c>
      <c r="Y745">
        <v>264</v>
      </c>
      <c r="Z745">
        <v>0</v>
      </c>
      <c r="AA745">
        <v>77.646715328467153</v>
      </c>
      <c r="AB745">
        <v>200</v>
      </c>
      <c r="AC745">
        <v>0</v>
      </c>
      <c r="AD745">
        <v>34.313432835820898</v>
      </c>
      <c r="AE745">
        <v>137</v>
      </c>
      <c r="AF745">
        <v>0</v>
      </c>
      <c r="AG745">
        <v>101.9507462686567</v>
      </c>
      <c r="AH745">
        <v>216.7</v>
      </c>
      <c r="AI745">
        <v>0</v>
      </c>
      <c r="AJ745">
        <v>3</v>
      </c>
      <c r="AK745">
        <v>42.9</v>
      </c>
      <c r="AL745">
        <v>27</v>
      </c>
      <c r="AM745">
        <v>6</v>
      </c>
      <c r="AN745">
        <v>33</v>
      </c>
      <c r="AO745">
        <v>0</v>
      </c>
      <c r="AP745">
        <v>19</v>
      </c>
    </row>
    <row r="746" spans="1:42" x14ac:dyDescent="0.3">
      <c r="A746" t="s">
        <v>1681</v>
      </c>
      <c r="B746" t="s">
        <v>115</v>
      </c>
      <c r="C746" t="s">
        <v>16</v>
      </c>
      <c r="D746" t="s">
        <v>948</v>
      </c>
      <c r="E746" t="s">
        <v>990</v>
      </c>
      <c r="F746">
        <v>2008</v>
      </c>
      <c r="G746">
        <v>42.9</v>
      </c>
      <c r="H746">
        <v>0</v>
      </c>
      <c r="I746">
        <v>0</v>
      </c>
      <c r="J746">
        <v>7</v>
      </c>
      <c r="K746">
        <v>3</v>
      </c>
      <c r="L746" t="s">
        <v>1327</v>
      </c>
      <c r="M746">
        <v>22.928571428571431</v>
      </c>
      <c r="N746">
        <v>70</v>
      </c>
      <c r="O746">
        <v>0</v>
      </c>
      <c r="P746">
        <v>3</v>
      </c>
      <c r="Q746">
        <v>42.9</v>
      </c>
      <c r="R746">
        <v>-19.928571428571431</v>
      </c>
      <c r="S746">
        <v>3</v>
      </c>
      <c r="T746">
        <v>3</v>
      </c>
      <c r="U746">
        <v>38.236842105263158</v>
      </c>
      <c r="V746">
        <v>264</v>
      </c>
      <c r="W746">
        <v>0</v>
      </c>
      <c r="X746">
        <v>42.251824817518248</v>
      </c>
      <c r="Y746">
        <v>264</v>
      </c>
      <c r="Z746">
        <v>0</v>
      </c>
      <c r="AA746">
        <v>77.646715328467153</v>
      </c>
      <c r="AB746">
        <v>200</v>
      </c>
      <c r="AC746">
        <v>0</v>
      </c>
      <c r="AD746">
        <v>31.115942028985511</v>
      </c>
      <c r="AE746">
        <v>187</v>
      </c>
      <c r="AF746">
        <v>0</v>
      </c>
      <c r="AG746">
        <v>73.336956521739125</v>
      </c>
      <c r="AH746">
        <v>233.3</v>
      </c>
      <c r="AI746">
        <v>0</v>
      </c>
      <c r="AJ746">
        <v>1</v>
      </c>
      <c r="AK746">
        <v>33.299999999999997</v>
      </c>
      <c r="AL746">
        <v>27</v>
      </c>
      <c r="AM746">
        <v>6</v>
      </c>
      <c r="AN746">
        <v>33</v>
      </c>
      <c r="AP746">
        <v>19</v>
      </c>
    </row>
    <row r="747" spans="1:42" x14ac:dyDescent="0.3">
      <c r="A747" t="s">
        <v>1720</v>
      </c>
      <c r="B747" t="s">
        <v>32</v>
      </c>
      <c r="C747" t="s">
        <v>16</v>
      </c>
      <c r="D747" t="s">
        <v>33</v>
      </c>
      <c r="E747" t="s">
        <v>990</v>
      </c>
      <c r="F747">
        <v>2008</v>
      </c>
      <c r="G747">
        <v>33.299999999999997</v>
      </c>
      <c r="H747">
        <v>0</v>
      </c>
      <c r="I747">
        <v>0</v>
      </c>
      <c r="J747">
        <v>3</v>
      </c>
      <c r="K747">
        <v>1</v>
      </c>
      <c r="L747" t="s">
        <v>1327</v>
      </c>
      <c r="M747">
        <v>24.61538461538462</v>
      </c>
      <c r="N747">
        <v>70</v>
      </c>
      <c r="O747">
        <v>0</v>
      </c>
      <c r="P747">
        <v>68.36363636363636</v>
      </c>
      <c r="Q747">
        <v>88.454545454545453</v>
      </c>
      <c r="R747">
        <v>43.748251748251747</v>
      </c>
      <c r="S747">
        <v>133</v>
      </c>
      <c r="T747">
        <v>1</v>
      </c>
      <c r="U747">
        <v>44.710843373493979</v>
      </c>
      <c r="V747">
        <v>209</v>
      </c>
      <c r="W747">
        <v>0</v>
      </c>
      <c r="X747">
        <v>42.251824817518248</v>
      </c>
      <c r="Y747">
        <v>264</v>
      </c>
      <c r="Z747">
        <v>0</v>
      </c>
      <c r="AA747">
        <v>77.646715328467153</v>
      </c>
      <c r="AB747">
        <v>200</v>
      </c>
      <c r="AC747">
        <v>0</v>
      </c>
      <c r="AD747">
        <v>31.115942028985511</v>
      </c>
      <c r="AE747">
        <v>187</v>
      </c>
      <c r="AF747">
        <v>0</v>
      </c>
      <c r="AG747">
        <v>73.336956521739125</v>
      </c>
      <c r="AH747">
        <v>233.3</v>
      </c>
      <c r="AI747">
        <v>0</v>
      </c>
      <c r="AJ747">
        <v>24</v>
      </c>
      <c r="AK747">
        <v>66.7</v>
      </c>
      <c r="AL747">
        <v>27</v>
      </c>
      <c r="AM747">
        <v>6</v>
      </c>
      <c r="AN747">
        <v>33</v>
      </c>
      <c r="AP747">
        <v>19</v>
      </c>
    </row>
    <row r="748" spans="1:42" x14ac:dyDescent="0.3">
      <c r="A748" t="s">
        <v>1389</v>
      </c>
      <c r="B748" t="s">
        <v>115</v>
      </c>
      <c r="C748" t="s">
        <v>16</v>
      </c>
      <c r="D748" t="s">
        <v>35</v>
      </c>
      <c r="E748" t="s">
        <v>990</v>
      </c>
      <c r="F748">
        <v>2008</v>
      </c>
      <c r="G748">
        <v>66.7</v>
      </c>
      <c r="H748">
        <v>1</v>
      </c>
      <c r="I748">
        <v>0</v>
      </c>
      <c r="J748">
        <v>36</v>
      </c>
      <c r="K748">
        <v>24</v>
      </c>
      <c r="L748" t="s">
        <v>1327</v>
      </c>
      <c r="M748">
        <v>24.666666666666671</v>
      </c>
      <c r="N748">
        <v>70</v>
      </c>
      <c r="O748">
        <v>0</v>
      </c>
      <c r="P748">
        <v>27.69230769230769</v>
      </c>
      <c r="Q748">
        <v>65.492307692307691</v>
      </c>
      <c r="R748">
        <v>3.025641025641026</v>
      </c>
      <c r="S748">
        <v>73</v>
      </c>
      <c r="T748">
        <v>1</v>
      </c>
      <c r="U748">
        <v>38.236842105263158</v>
      </c>
      <c r="V748">
        <v>264</v>
      </c>
      <c r="W748">
        <v>0</v>
      </c>
      <c r="X748">
        <v>42.251824817518248</v>
      </c>
      <c r="Y748">
        <v>264</v>
      </c>
      <c r="Z748">
        <v>0</v>
      </c>
      <c r="AA748">
        <v>77.646715328467153</v>
      </c>
      <c r="AB748">
        <v>200</v>
      </c>
      <c r="AC748">
        <v>0</v>
      </c>
      <c r="AD748">
        <v>31.115942028985511</v>
      </c>
      <c r="AE748">
        <v>187</v>
      </c>
      <c r="AF748">
        <v>0</v>
      </c>
      <c r="AG748">
        <v>73.336956521739125</v>
      </c>
      <c r="AH748">
        <v>233.3</v>
      </c>
      <c r="AI748">
        <v>0</v>
      </c>
      <c r="AJ748">
        <v>1</v>
      </c>
      <c r="AK748">
        <v>33.299999999999997</v>
      </c>
      <c r="AL748">
        <v>26</v>
      </c>
      <c r="AM748">
        <v>6</v>
      </c>
      <c r="AN748">
        <v>32</v>
      </c>
      <c r="AO748">
        <v>0</v>
      </c>
      <c r="AP748">
        <v>18</v>
      </c>
    </row>
    <row r="749" spans="1:42" x14ac:dyDescent="0.3">
      <c r="A749" t="s">
        <v>1721</v>
      </c>
      <c r="B749" t="s">
        <v>32</v>
      </c>
      <c r="C749" t="s">
        <v>16</v>
      </c>
      <c r="D749" t="s">
        <v>35</v>
      </c>
      <c r="E749" t="s">
        <v>990</v>
      </c>
      <c r="F749">
        <v>2008</v>
      </c>
      <c r="G749">
        <v>33.299999999999997</v>
      </c>
      <c r="H749">
        <v>0</v>
      </c>
      <c r="I749">
        <v>0</v>
      </c>
      <c r="J749">
        <v>3</v>
      </c>
      <c r="K749">
        <v>1</v>
      </c>
      <c r="L749" t="s">
        <v>1327</v>
      </c>
      <c r="M749">
        <v>26.81818181818182</v>
      </c>
      <c r="N749">
        <v>70</v>
      </c>
      <c r="O749">
        <v>0</v>
      </c>
      <c r="P749">
        <v>27.69230769230769</v>
      </c>
      <c r="Q749">
        <v>65.492307692307691</v>
      </c>
      <c r="R749">
        <v>0.87412587412587683</v>
      </c>
      <c r="S749">
        <v>73</v>
      </c>
      <c r="T749">
        <v>1</v>
      </c>
      <c r="U749">
        <v>44.710843373493979</v>
      </c>
      <c r="V749">
        <v>209</v>
      </c>
      <c r="W749">
        <v>0</v>
      </c>
      <c r="X749">
        <v>42.251824817518248</v>
      </c>
      <c r="Y749">
        <v>264</v>
      </c>
      <c r="Z749">
        <v>0</v>
      </c>
      <c r="AA749">
        <v>77.646715328467153</v>
      </c>
      <c r="AB749">
        <v>200</v>
      </c>
      <c r="AC749">
        <v>0</v>
      </c>
      <c r="AD749">
        <v>31.115942028985511</v>
      </c>
      <c r="AE749">
        <v>187</v>
      </c>
      <c r="AF749">
        <v>0</v>
      </c>
      <c r="AG749">
        <v>73.336956521739125</v>
      </c>
      <c r="AH749">
        <v>233.3</v>
      </c>
      <c r="AI749">
        <v>0</v>
      </c>
      <c r="AJ749">
        <v>70</v>
      </c>
      <c r="AK749">
        <v>109.4</v>
      </c>
      <c r="AL749">
        <v>26</v>
      </c>
      <c r="AM749">
        <v>6</v>
      </c>
      <c r="AN749">
        <v>32</v>
      </c>
      <c r="AP749">
        <v>18</v>
      </c>
    </row>
    <row r="750" spans="1:42" x14ac:dyDescent="0.3">
      <c r="A750" t="s">
        <v>1123</v>
      </c>
      <c r="B750" t="s">
        <v>115</v>
      </c>
      <c r="C750" t="s">
        <v>16</v>
      </c>
      <c r="D750" t="s">
        <v>635</v>
      </c>
      <c r="E750" t="s">
        <v>990</v>
      </c>
      <c r="F750">
        <v>2008</v>
      </c>
      <c r="G750">
        <v>109.4</v>
      </c>
      <c r="H750">
        <v>6</v>
      </c>
      <c r="I750">
        <v>1</v>
      </c>
      <c r="J750">
        <v>64</v>
      </c>
      <c r="K750">
        <v>70</v>
      </c>
      <c r="L750" t="s">
        <v>979</v>
      </c>
      <c r="M750">
        <v>22.5</v>
      </c>
      <c r="N750">
        <v>52</v>
      </c>
      <c r="O750">
        <v>0</v>
      </c>
      <c r="P750">
        <v>55.5</v>
      </c>
      <c r="Q750">
        <v>136.69999999999999</v>
      </c>
      <c r="R750">
        <v>33</v>
      </c>
      <c r="S750">
        <v>70</v>
      </c>
      <c r="T750">
        <v>41</v>
      </c>
      <c r="U750">
        <v>38.236842105263158</v>
      </c>
      <c r="V750">
        <v>264</v>
      </c>
      <c r="W750">
        <v>0</v>
      </c>
      <c r="X750">
        <v>42.251824817518248</v>
      </c>
      <c r="Y750">
        <v>264</v>
      </c>
      <c r="Z750">
        <v>0</v>
      </c>
      <c r="AA750">
        <v>77.646715328467153</v>
      </c>
      <c r="AB750">
        <v>200</v>
      </c>
      <c r="AC750">
        <v>0</v>
      </c>
      <c r="AD750">
        <v>31.115942028985511</v>
      </c>
      <c r="AE750">
        <v>187</v>
      </c>
      <c r="AF750">
        <v>0</v>
      </c>
      <c r="AG750">
        <v>73.336956521739125</v>
      </c>
      <c r="AH750">
        <v>233.3</v>
      </c>
      <c r="AI750">
        <v>0</v>
      </c>
      <c r="AJ750">
        <v>39</v>
      </c>
      <c r="AK750">
        <v>63.9</v>
      </c>
      <c r="AL750">
        <v>20</v>
      </c>
      <c r="AM750">
        <v>5</v>
      </c>
      <c r="AN750">
        <v>25</v>
      </c>
      <c r="AP750">
        <v>11</v>
      </c>
    </row>
    <row r="751" spans="1:42" x14ac:dyDescent="0.3">
      <c r="A751" t="s">
        <v>1282</v>
      </c>
      <c r="B751" t="s">
        <v>32</v>
      </c>
      <c r="C751" t="s">
        <v>16</v>
      </c>
      <c r="D751" t="s">
        <v>84</v>
      </c>
      <c r="E751" t="s">
        <v>990</v>
      </c>
      <c r="F751">
        <v>2008</v>
      </c>
      <c r="G751">
        <v>63.9</v>
      </c>
      <c r="H751">
        <v>2</v>
      </c>
      <c r="I751">
        <v>0</v>
      </c>
      <c r="J751">
        <v>61</v>
      </c>
      <c r="K751">
        <v>39</v>
      </c>
      <c r="L751" t="s">
        <v>979</v>
      </c>
      <c r="M751">
        <v>20.666666666666671</v>
      </c>
      <c r="N751">
        <v>52</v>
      </c>
      <c r="O751">
        <v>0</v>
      </c>
      <c r="P751">
        <v>39.769230769230766</v>
      </c>
      <c r="Q751">
        <v>74.015384615384619</v>
      </c>
      <c r="R751">
        <v>19.102564102564099</v>
      </c>
      <c r="S751">
        <v>138</v>
      </c>
      <c r="T751">
        <v>0</v>
      </c>
      <c r="U751">
        <v>44.710843373493979</v>
      </c>
      <c r="V751">
        <v>209</v>
      </c>
      <c r="W751">
        <v>0</v>
      </c>
      <c r="X751">
        <v>42.251824817518248</v>
      </c>
      <c r="Y751">
        <v>264</v>
      </c>
      <c r="Z751">
        <v>0</v>
      </c>
      <c r="AA751">
        <v>77.646715328467153</v>
      </c>
      <c r="AB751">
        <v>200</v>
      </c>
      <c r="AC751">
        <v>0</v>
      </c>
      <c r="AD751">
        <v>31.115942028985511</v>
      </c>
      <c r="AE751">
        <v>187</v>
      </c>
      <c r="AF751">
        <v>0</v>
      </c>
      <c r="AG751">
        <v>73.336956521739125</v>
      </c>
      <c r="AH751">
        <v>233.3</v>
      </c>
      <c r="AI751">
        <v>0</v>
      </c>
      <c r="AJ751">
        <v>0</v>
      </c>
      <c r="AK751">
        <v>0</v>
      </c>
      <c r="AL751">
        <v>18</v>
      </c>
      <c r="AM751">
        <v>5</v>
      </c>
      <c r="AN751">
        <v>23</v>
      </c>
      <c r="AO751">
        <v>1</v>
      </c>
      <c r="AP751">
        <v>9</v>
      </c>
    </row>
    <row r="752" spans="1:42" x14ac:dyDescent="0.3">
      <c r="A752" t="s">
        <v>1769</v>
      </c>
      <c r="B752" t="s">
        <v>115</v>
      </c>
      <c r="C752" t="s">
        <v>16</v>
      </c>
      <c r="D752" t="s">
        <v>88</v>
      </c>
      <c r="E752" t="s">
        <v>990</v>
      </c>
      <c r="F752">
        <v>2008</v>
      </c>
      <c r="G752">
        <v>0</v>
      </c>
      <c r="H752">
        <v>0</v>
      </c>
      <c r="I752">
        <v>0</v>
      </c>
      <c r="J752">
        <v>2</v>
      </c>
      <c r="K752">
        <v>0</v>
      </c>
      <c r="L752" t="s">
        <v>1327</v>
      </c>
      <c r="M752">
        <v>23.25</v>
      </c>
      <c r="N752">
        <v>52</v>
      </c>
      <c r="O752">
        <v>1</v>
      </c>
      <c r="P752">
        <v>28.333333333333329</v>
      </c>
      <c r="Q752">
        <v>48.216666666666661</v>
      </c>
      <c r="R752">
        <v>5.0833333333333321</v>
      </c>
      <c r="S752">
        <v>124</v>
      </c>
      <c r="T752">
        <v>0</v>
      </c>
      <c r="U752">
        <v>38.236842105263158</v>
      </c>
      <c r="V752">
        <v>264</v>
      </c>
      <c r="W752">
        <v>0</v>
      </c>
      <c r="X752">
        <v>42.251824817518248</v>
      </c>
      <c r="Y752">
        <v>264</v>
      </c>
      <c r="Z752">
        <v>0</v>
      </c>
      <c r="AA752">
        <v>77.646715328467153</v>
      </c>
      <c r="AB752">
        <v>200</v>
      </c>
      <c r="AC752">
        <v>0</v>
      </c>
      <c r="AD752">
        <v>31.115942028985511</v>
      </c>
      <c r="AE752">
        <v>187</v>
      </c>
      <c r="AF752">
        <v>0</v>
      </c>
      <c r="AG752">
        <v>73.336956521739125</v>
      </c>
      <c r="AH752">
        <v>233.3</v>
      </c>
      <c r="AI752">
        <v>0</v>
      </c>
      <c r="AJ752">
        <v>37</v>
      </c>
      <c r="AK752">
        <v>83.7</v>
      </c>
      <c r="AL752">
        <v>18</v>
      </c>
      <c r="AM752">
        <v>5</v>
      </c>
      <c r="AN752">
        <v>23</v>
      </c>
      <c r="AO752">
        <v>5</v>
      </c>
      <c r="AP752">
        <v>9</v>
      </c>
    </row>
    <row r="753" spans="1:42" x14ac:dyDescent="0.3">
      <c r="A753" t="s">
        <v>1342</v>
      </c>
      <c r="B753" t="s">
        <v>32</v>
      </c>
      <c r="C753" t="s">
        <v>16</v>
      </c>
      <c r="D753" t="s">
        <v>88</v>
      </c>
      <c r="E753" t="s">
        <v>990</v>
      </c>
      <c r="F753">
        <v>2008</v>
      </c>
      <c r="G753">
        <v>67.400000000000006</v>
      </c>
      <c r="H753">
        <v>5</v>
      </c>
      <c r="I753">
        <v>0</v>
      </c>
      <c r="J753">
        <v>43</v>
      </c>
      <c r="K753">
        <v>29</v>
      </c>
      <c r="L753" t="s">
        <v>1327</v>
      </c>
      <c r="M753">
        <v>22.428571428571431</v>
      </c>
      <c r="N753">
        <v>52</v>
      </c>
      <c r="O753">
        <v>1</v>
      </c>
      <c r="P753">
        <v>28.333333333333329</v>
      </c>
      <c r="Q753">
        <v>48.216666666666661</v>
      </c>
      <c r="R753">
        <v>5.9047619047619051</v>
      </c>
      <c r="S753">
        <v>124</v>
      </c>
      <c r="T753">
        <v>0</v>
      </c>
      <c r="U753">
        <v>44.710843373493979</v>
      </c>
      <c r="V753">
        <v>209</v>
      </c>
      <c r="W753">
        <v>0</v>
      </c>
      <c r="X753">
        <v>42.251824817518248</v>
      </c>
      <c r="Y753">
        <v>264</v>
      </c>
      <c r="Z753">
        <v>0</v>
      </c>
      <c r="AA753">
        <v>77.646715328467153</v>
      </c>
      <c r="AB753">
        <v>200</v>
      </c>
      <c r="AC753">
        <v>0</v>
      </c>
      <c r="AD753">
        <v>31.115942028985511</v>
      </c>
      <c r="AE753">
        <v>187</v>
      </c>
      <c r="AF753">
        <v>0</v>
      </c>
      <c r="AG753">
        <v>73.336956521739125</v>
      </c>
      <c r="AH753">
        <v>233.3</v>
      </c>
      <c r="AI753">
        <v>0</v>
      </c>
      <c r="AJ753">
        <v>8</v>
      </c>
      <c r="AK753">
        <v>100</v>
      </c>
      <c r="AL753">
        <v>13</v>
      </c>
      <c r="AM753">
        <v>5</v>
      </c>
      <c r="AN753">
        <v>18</v>
      </c>
      <c r="AP753">
        <v>4</v>
      </c>
    </row>
    <row r="754" spans="1:42" x14ac:dyDescent="0.3">
      <c r="A754" t="s">
        <v>1586</v>
      </c>
      <c r="B754" t="s">
        <v>32</v>
      </c>
      <c r="C754" t="s">
        <v>5</v>
      </c>
      <c r="D754" t="s">
        <v>84</v>
      </c>
      <c r="E754" t="s">
        <v>990</v>
      </c>
      <c r="F754">
        <v>2008</v>
      </c>
      <c r="G754">
        <v>100</v>
      </c>
      <c r="H754">
        <v>1</v>
      </c>
      <c r="I754">
        <v>0</v>
      </c>
      <c r="J754">
        <v>8</v>
      </c>
      <c r="K754">
        <v>8</v>
      </c>
      <c r="L754" t="s">
        <v>1327</v>
      </c>
      <c r="M754">
        <v>24.833333333333329</v>
      </c>
      <c r="N754">
        <v>52</v>
      </c>
      <c r="O754">
        <v>1</v>
      </c>
      <c r="P754">
        <v>39.769230769230766</v>
      </c>
      <c r="Q754">
        <v>74.015384615384619</v>
      </c>
      <c r="R754">
        <v>14.935897435897431</v>
      </c>
      <c r="S754">
        <v>138</v>
      </c>
      <c r="T754">
        <v>0</v>
      </c>
      <c r="U754">
        <v>44.710843373493979</v>
      </c>
      <c r="V754">
        <v>209</v>
      </c>
      <c r="W754">
        <v>0</v>
      </c>
      <c r="X754">
        <v>28.189024390243901</v>
      </c>
      <c r="Y754">
        <v>121</v>
      </c>
      <c r="Z754">
        <v>0</v>
      </c>
      <c r="AA754">
        <v>116.45060975609761</v>
      </c>
      <c r="AB754">
        <v>274.39999999999998</v>
      </c>
      <c r="AC754">
        <v>0</v>
      </c>
      <c r="AD754">
        <v>31.115942028985511</v>
      </c>
      <c r="AE754">
        <v>187</v>
      </c>
      <c r="AF754">
        <v>0</v>
      </c>
      <c r="AG754">
        <v>73.336956521739125</v>
      </c>
      <c r="AH754">
        <v>233.3</v>
      </c>
      <c r="AI754">
        <v>0</v>
      </c>
      <c r="AL754">
        <v>12</v>
      </c>
      <c r="AM754">
        <v>5</v>
      </c>
      <c r="AN754">
        <v>17</v>
      </c>
      <c r="AP754">
        <v>13</v>
      </c>
    </row>
    <row r="755" spans="1:42" x14ac:dyDescent="0.3">
      <c r="A755" t="s">
        <v>1211</v>
      </c>
      <c r="B755" t="s">
        <v>71</v>
      </c>
      <c r="C755" t="s">
        <v>16</v>
      </c>
      <c r="D755" t="s">
        <v>46</v>
      </c>
      <c r="E755" t="s">
        <v>981</v>
      </c>
      <c r="F755">
        <v>2007</v>
      </c>
      <c r="G755">
        <v>85.2</v>
      </c>
      <c r="H755">
        <v>3</v>
      </c>
      <c r="I755">
        <v>1</v>
      </c>
      <c r="J755">
        <v>61</v>
      </c>
      <c r="K755">
        <v>52</v>
      </c>
      <c r="L755" t="s">
        <v>979</v>
      </c>
      <c r="M755">
        <v>19.399999999999999</v>
      </c>
      <c r="N755">
        <v>50</v>
      </c>
      <c r="O755">
        <v>1</v>
      </c>
      <c r="P755">
        <v>31.72727272727273</v>
      </c>
      <c r="Q755">
        <v>85.109090909090909</v>
      </c>
      <c r="R755">
        <v>12.32727272727273</v>
      </c>
      <c r="S755">
        <v>141</v>
      </c>
      <c r="T755">
        <v>0</v>
      </c>
      <c r="U755">
        <v>33.333333333333343</v>
      </c>
      <c r="V755">
        <v>140</v>
      </c>
      <c r="W755">
        <v>0</v>
      </c>
      <c r="X755">
        <v>42.251824817518248</v>
      </c>
      <c r="Y755">
        <v>264</v>
      </c>
      <c r="Z755">
        <v>0</v>
      </c>
      <c r="AA755">
        <v>77.646715328467153</v>
      </c>
      <c r="AB755">
        <v>200</v>
      </c>
      <c r="AC755">
        <v>0</v>
      </c>
      <c r="AD755">
        <v>47.122448979591837</v>
      </c>
      <c r="AE755">
        <v>264</v>
      </c>
      <c r="AF755">
        <v>0</v>
      </c>
      <c r="AG755">
        <v>105.5040816326531</v>
      </c>
      <c r="AH755">
        <v>200</v>
      </c>
      <c r="AI755">
        <v>0</v>
      </c>
      <c r="AL755">
        <v>9</v>
      </c>
      <c r="AM755">
        <v>4</v>
      </c>
      <c r="AN755">
        <v>13</v>
      </c>
      <c r="AP755">
        <v>0</v>
      </c>
    </row>
    <row r="756" spans="1:42" x14ac:dyDescent="0.3">
      <c r="A756" t="s">
        <v>1722</v>
      </c>
      <c r="B756" t="s">
        <v>32</v>
      </c>
      <c r="C756" t="s">
        <v>16</v>
      </c>
      <c r="D756" t="s">
        <v>54</v>
      </c>
      <c r="E756" t="s">
        <v>977</v>
      </c>
      <c r="F756">
        <v>2007</v>
      </c>
      <c r="G756">
        <v>25</v>
      </c>
      <c r="H756">
        <v>0</v>
      </c>
      <c r="I756">
        <v>0</v>
      </c>
      <c r="J756">
        <v>4</v>
      </c>
      <c r="K756">
        <v>1</v>
      </c>
      <c r="L756" t="s">
        <v>1327</v>
      </c>
      <c r="M756">
        <v>24</v>
      </c>
      <c r="N756">
        <v>50</v>
      </c>
      <c r="O756">
        <v>8</v>
      </c>
      <c r="P756">
        <v>30</v>
      </c>
      <c r="Q756">
        <v>129.072</v>
      </c>
      <c r="R756">
        <v>6</v>
      </c>
      <c r="S756">
        <v>76</v>
      </c>
      <c r="T756">
        <v>1</v>
      </c>
      <c r="U756">
        <v>44.710843373493979</v>
      </c>
      <c r="V756">
        <v>209</v>
      </c>
      <c r="W756">
        <v>0</v>
      </c>
      <c r="X756">
        <v>42.251824817518248</v>
      </c>
      <c r="Y756">
        <v>264</v>
      </c>
      <c r="Z756">
        <v>0</v>
      </c>
      <c r="AA756">
        <v>77.646715328467153</v>
      </c>
      <c r="AB756">
        <v>200</v>
      </c>
      <c r="AC756">
        <v>0</v>
      </c>
      <c r="AD756">
        <v>49.901639344262293</v>
      </c>
      <c r="AE756">
        <v>303</v>
      </c>
      <c r="AF756">
        <v>0</v>
      </c>
      <c r="AG756">
        <v>90.971311475409848</v>
      </c>
      <c r="AH756">
        <v>200</v>
      </c>
      <c r="AI756">
        <v>0</v>
      </c>
      <c r="AL756">
        <v>9</v>
      </c>
      <c r="AM756">
        <v>4</v>
      </c>
      <c r="AN756">
        <v>13</v>
      </c>
      <c r="AP756">
        <v>0</v>
      </c>
    </row>
    <row r="757" spans="1:42" x14ac:dyDescent="0.3">
      <c r="A757" t="s">
        <v>1334</v>
      </c>
      <c r="B757" t="s">
        <v>71</v>
      </c>
      <c r="C757" t="s">
        <v>5</v>
      </c>
      <c r="D757" t="s">
        <v>530</v>
      </c>
      <c r="E757" t="s">
        <v>1009</v>
      </c>
      <c r="F757">
        <v>2007</v>
      </c>
      <c r="G757">
        <v>187.5</v>
      </c>
      <c r="H757">
        <v>2</v>
      </c>
      <c r="I757">
        <v>1</v>
      </c>
      <c r="J757">
        <v>16</v>
      </c>
      <c r="K757">
        <v>30</v>
      </c>
      <c r="L757" t="s">
        <v>1327</v>
      </c>
      <c r="M757">
        <v>22</v>
      </c>
      <c r="N757">
        <v>50</v>
      </c>
      <c r="O757">
        <v>8</v>
      </c>
      <c r="P757">
        <v>22.333333333333329</v>
      </c>
      <c r="Q757">
        <v>124.1333333333333</v>
      </c>
      <c r="R757">
        <v>0.33333333333333209</v>
      </c>
      <c r="S757">
        <v>42</v>
      </c>
      <c r="T757">
        <v>5</v>
      </c>
      <c r="U757">
        <v>33.333333333333343</v>
      </c>
      <c r="V757">
        <v>140</v>
      </c>
      <c r="W757">
        <v>0</v>
      </c>
      <c r="X757">
        <v>28.189024390243901</v>
      </c>
      <c r="Y757">
        <v>121</v>
      </c>
      <c r="Z757">
        <v>0</v>
      </c>
      <c r="AA757">
        <v>116.45060975609761</v>
      </c>
      <c r="AB757">
        <v>274.39999999999998</v>
      </c>
      <c r="AC757">
        <v>0</v>
      </c>
      <c r="AD757">
        <v>38.25</v>
      </c>
      <c r="AE757">
        <v>138</v>
      </c>
      <c r="AF757">
        <v>0</v>
      </c>
      <c r="AG757">
        <v>106.2954545454546</v>
      </c>
      <c r="AH757">
        <v>230</v>
      </c>
      <c r="AI757">
        <v>0</v>
      </c>
      <c r="AJ757">
        <v>58</v>
      </c>
      <c r="AK757">
        <v>142.5</v>
      </c>
      <c r="AL757">
        <v>7</v>
      </c>
      <c r="AM757">
        <v>3</v>
      </c>
      <c r="AN757">
        <v>10</v>
      </c>
      <c r="AP757">
        <v>10</v>
      </c>
    </row>
    <row r="758" spans="1:42" x14ac:dyDescent="0.3">
      <c r="A758" t="s">
        <v>1587</v>
      </c>
      <c r="B758" t="s">
        <v>32</v>
      </c>
      <c r="C758" t="s">
        <v>5</v>
      </c>
      <c r="D758" t="s">
        <v>535</v>
      </c>
      <c r="E758" t="s">
        <v>1009</v>
      </c>
      <c r="F758">
        <v>2007</v>
      </c>
      <c r="G758">
        <v>160</v>
      </c>
      <c r="H758">
        <v>0</v>
      </c>
      <c r="I758">
        <v>1</v>
      </c>
      <c r="J758">
        <v>5</v>
      </c>
      <c r="K758">
        <v>8</v>
      </c>
      <c r="L758" t="s">
        <v>1327</v>
      </c>
      <c r="M758">
        <v>29</v>
      </c>
      <c r="N758">
        <v>50</v>
      </c>
      <c r="O758">
        <v>8</v>
      </c>
      <c r="P758">
        <v>21.3</v>
      </c>
      <c r="Q758">
        <v>91.61</v>
      </c>
      <c r="R758">
        <v>-7.6999999999999993</v>
      </c>
      <c r="S758">
        <v>53</v>
      </c>
      <c r="T758">
        <v>3</v>
      </c>
      <c r="U758">
        <v>44.710843373493979</v>
      </c>
      <c r="V758">
        <v>209</v>
      </c>
      <c r="W758">
        <v>0</v>
      </c>
      <c r="X758">
        <v>28.189024390243901</v>
      </c>
      <c r="Y758">
        <v>121</v>
      </c>
      <c r="Z758">
        <v>0</v>
      </c>
      <c r="AA758">
        <v>116.45060975609761</v>
      </c>
      <c r="AB758">
        <v>274.39999999999998</v>
      </c>
      <c r="AC758">
        <v>0</v>
      </c>
      <c r="AD758">
        <v>38.25</v>
      </c>
      <c r="AE758">
        <v>138</v>
      </c>
      <c r="AF758">
        <v>0</v>
      </c>
      <c r="AG758">
        <v>106.2954545454546</v>
      </c>
      <c r="AH758">
        <v>230</v>
      </c>
      <c r="AI758">
        <v>0</v>
      </c>
      <c r="AJ758">
        <v>50</v>
      </c>
      <c r="AK758">
        <v>125</v>
      </c>
      <c r="AL758">
        <v>7</v>
      </c>
      <c r="AM758">
        <v>2</v>
      </c>
      <c r="AN758">
        <v>9</v>
      </c>
      <c r="AO758">
        <v>9</v>
      </c>
      <c r="AP758">
        <v>9</v>
      </c>
    </row>
    <row r="759" spans="1:42" x14ac:dyDescent="0.3">
      <c r="A759" t="s">
        <v>1226</v>
      </c>
      <c r="B759" t="s">
        <v>24</v>
      </c>
      <c r="C759" t="s">
        <v>5</v>
      </c>
      <c r="D759" t="s">
        <v>535</v>
      </c>
      <c r="E759" t="s">
        <v>1009</v>
      </c>
      <c r="F759">
        <v>2007</v>
      </c>
      <c r="G759">
        <v>125</v>
      </c>
      <c r="H759">
        <v>7</v>
      </c>
      <c r="I759">
        <v>2</v>
      </c>
      <c r="J759">
        <v>40</v>
      </c>
      <c r="K759">
        <v>50</v>
      </c>
      <c r="L759" t="s">
        <v>979</v>
      </c>
      <c r="M759">
        <v>8</v>
      </c>
      <c r="N759">
        <v>8</v>
      </c>
      <c r="O759">
        <v>8</v>
      </c>
      <c r="P759">
        <v>21.3</v>
      </c>
      <c r="Q759">
        <v>91.61</v>
      </c>
      <c r="R759">
        <v>13.3</v>
      </c>
      <c r="S759">
        <v>53</v>
      </c>
      <c r="T759">
        <v>3</v>
      </c>
      <c r="U759">
        <v>37.163636363636357</v>
      </c>
      <c r="V759">
        <v>303</v>
      </c>
      <c r="W759">
        <v>0</v>
      </c>
      <c r="X759">
        <v>28.189024390243901</v>
      </c>
      <c r="Y759">
        <v>121</v>
      </c>
      <c r="Z759">
        <v>0</v>
      </c>
      <c r="AA759">
        <v>116.45060975609761</v>
      </c>
      <c r="AB759">
        <v>274.39999999999998</v>
      </c>
      <c r="AC759">
        <v>0</v>
      </c>
      <c r="AD759">
        <v>38.25</v>
      </c>
      <c r="AE759">
        <v>138</v>
      </c>
      <c r="AF759">
        <v>0</v>
      </c>
      <c r="AG759">
        <v>106.2954545454546</v>
      </c>
      <c r="AH759">
        <v>230</v>
      </c>
      <c r="AI759">
        <v>0</v>
      </c>
      <c r="AL759">
        <v>0</v>
      </c>
      <c r="AM759">
        <v>0</v>
      </c>
      <c r="AN759">
        <v>0</v>
      </c>
    </row>
    <row r="760" spans="1:42" x14ac:dyDescent="0.3">
      <c r="A760" t="s">
        <v>1588</v>
      </c>
      <c r="B760" t="s">
        <v>24</v>
      </c>
      <c r="C760" t="s">
        <v>16</v>
      </c>
      <c r="D760" t="s">
        <v>963</v>
      </c>
      <c r="E760" t="s">
        <v>1007</v>
      </c>
      <c r="F760">
        <v>2007</v>
      </c>
      <c r="G760">
        <v>88.9</v>
      </c>
      <c r="H760">
        <v>0</v>
      </c>
      <c r="I760">
        <v>0</v>
      </c>
      <c r="J760">
        <v>9</v>
      </c>
      <c r="K760">
        <v>8</v>
      </c>
      <c r="L760" t="s">
        <v>1327</v>
      </c>
      <c r="P760">
        <v>8</v>
      </c>
      <c r="Q760">
        <v>88.9</v>
      </c>
      <c r="S760">
        <v>8</v>
      </c>
      <c r="T760">
        <v>8</v>
      </c>
      <c r="U760">
        <v>37.163636363636357</v>
      </c>
      <c r="V760">
        <v>303</v>
      </c>
      <c r="W760">
        <v>0</v>
      </c>
      <c r="X760">
        <v>42.251824817518248</v>
      </c>
      <c r="Y760">
        <v>264</v>
      </c>
      <c r="Z760">
        <v>0</v>
      </c>
      <c r="AA760">
        <v>77.646715328467153</v>
      </c>
      <c r="AB760">
        <v>200</v>
      </c>
      <c r="AC760">
        <v>0</v>
      </c>
      <c r="AD760">
        <v>37.180327868852459</v>
      </c>
      <c r="AE760">
        <v>140</v>
      </c>
      <c r="AF760">
        <v>0</v>
      </c>
      <c r="AG760">
        <v>82.911475409836058</v>
      </c>
      <c r="AH760">
        <v>224.4</v>
      </c>
      <c r="AI760">
        <v>0</v>
      </c>
    </row>
  </sheetData>
  <autoFilter ref="A1:AP760" xr:uid="{97D03BFD-F78F-4FDE-921D-B945C1390EEF}">
    <sortState ref="A2:AP760">
      <sortCondition ref="A1:A76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81E7-07CD-4DB2-A200-2BC4CCA86ECF}">
  <dimension ref="A1:G4"/>
  <sheetViews>
    <sheetView zoomScale="140" zoomScaleNormal="140" workbookViewId="0">
      <selection activeCell="F13" sqref="F13"/>
    </sheetView>
  </sheetViews>
  <sheetFormatPr defaultRowHeight="14.4" x14ac:dyDescent="0.3"/>
  <cols>
    <col min="1" max="1" width="13.88671875" bestFit="1" customWidth="1"/>
    <col min="2" max="2" width="8.6640625" bestFit="1" customWidth="1"/>
    <col min="3" max="3" width="8.5546875" bestFit="1" customWidth="1"/>
    <col min="4" max="4" width="6" bestFit="1" customWidth="1"/>
    <col min="5" max="5" width="8" bestFit="1" customWidth="1"/>
    <col min="6" max="6" width="9" bestFit="1" customWidth="1"/>
    <col min="7" max="7" width="5" bestFit="1" customWidth="1"/>
  </cols>
  <sheetData>
    <row r="1" spans="1:7" x14ac:dyDescent="0.3">
      <c r="A1" s="5" t="s">
        <v>1800</v>
      </c>
      <c r="B1" s="5" t="s">
        <v>1801</v>
      </c>
      <c r="C1" s="5" t="s">
        <v>1802</v>
      </c>
      <c r="D1" s="5" t="s">
        <v>1803</v>
      </c>
      <c r="E1" s="5" t="s">
        <v>1804</v>
      </c>
      <c r="F1" s="5" t="s">
        <v>1805</v>
      </c>
      <c r="G1" s="5" t="s">
        <v>1806</v>
      </c>
    </row>
    <row r="2" spans="1:7" x14ac:dyDescent="0.3">
      <c r="A2" s="1" t="s">
        <v>1808</v>
      </c>
      <c r="B2" s="1">
        <v>0.72</v>
      </c>
      <c r="C2" s="1">
        <v>0.61</v>
      </c>
      <c r="D2" s="1">
        <v>0.91</v>
      </c>
      <c r="E2" s="1">
        <v>0.73</v>
      </c>
      <c r="F2" s="1">
        <v>0.75</v>
      </c>
      <c r="G2" s="1">
        <v>0.51</v>
      </c>
    </row>
    <row r="3" spans="1:7" x14ac:dyDescent="0.3">
      <c r="A3" s="1" t="s">
        <v>1809</v>
      </c>
      <c r="B3" s="1">
        <v>0.69</v>
      </c>
      <c r="C3" s="6">
        <v>0.6</v>
      </c>
      <c r="D3" s="1">
        <v>0.75</v>
      </c>
      <c r="E3" s="1">
        <v>0.67</v>
      </c>
      <c r="F3" s="1">
        <v>0.79</v>
      </c>
      <c r="G3" s="1">
        <v>0.57999999999999996</v>
      </c>
    </row>
    <row r="4" spans="1:7" x14ac:dyDescent="0.3">
      <c r="A4" s="1" t="s">
        <v>1807</v>
      </c>
      <c r="B4" s="1">
        <v>0.64</v>
      </c>
      <c r="C4" s="1">
        <v>0.57999999999999996</v>
      </c>
      <c r="D4" s="1">
        <v>0.52</v>
      </c>
      <c r="E4" s="1">
        <v>0.55000000000000004</v>
      </c>
      <c r="F4" s="1">
        <v>0.72</v>
      </c>
      <c r="G4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03E0-330B-4EA9-896D-710D1E6729F4}">
  <dimension ref="A1:B15"/>
  <sheetViews>
    <sheetView zoomScale="150" zoomScaleNormal="150" workbookViewId="0">
      <selection activeCell="A13" sqref="A13"/>
    </sheetView>
  </sheetViews>
  <sheetFormatPr defaultRowHeight="14.4" x14ac:dyDescent="0.3"/>
  <cols>
    <col min="1" max="2" width="20.5546875" bestFit="1" customWidth="1"/>
  </cols>
  <sheetData>
    <row r="1" spans="1:2" x14ac:dyDescent="0.3">
      <c r="A1" s="33" t="s">
        <v>1827</v>
      </c>
      <c r="B1" s="33" t="s">
        <v>1828</v>
      </c>
    </row>
    <row r="2" spans="1:2" x14ac:dyDescent="0.3">
      <c r="A2" s="8" t="s">
        <v>0</v>
      </c>
      <c r="B2" s="8">
        <v>0.14713183045387271</v>
      </c>
    </row>
    <row r="3" spans="1:2" x14ac:dyDescent="0.3">
      <c r="A3" s="8" t="s">
        <v>970</v>
      </c>
      <c r="B3" s="8">
        <v>0.12986297905445099</v>
      </c>
    </row>
    <row r="4" spans="1:2" x14ac:dyDescent="0.3">
      <c r="A4" s="8" t="s">
        <v>1778</v>
      </c>
      <c r="B4" s="8">
        <v>8.9207150042057037E-2</v>
      </c>
    </row>
    <row r="5" spans="1:2" x14ac:dyDescent="0.3">
      <c r="A5" s="8" t="s">
        <v>1776</v>
      </c>
      <c r="B5" s="8">
        <v>6.9816231727600098E-2</v>
      </c>
    </row>
    <row r="6" spans="1:2" x14ac:dyDescent="0.3">
      <c r="A6" s="8" t="s">
        <v>1779</v>
      </c>
      <c r="B6" s="8">
        <v>6.9349050521850586E-2</v>
      </c>
    </row>
    <row r="7" spans="1:2" x14ac:dyDescent="0.3">
      <c r="A7" s="8" t="s">
        <v>1790</v>
      </c>
      <c r="B7" s="8">
        <v>6.5742023289203644E-2</v>
      </c>
    </row>
    <row r="8" spans="1:2" x14ac:dyDescent="0.3">
      <c r="A8" s="8" t="s">
        <v>1791</v>
      </c>
      <c r="B8" s="8">
        <v>6.3012056052684784E-2</v>
      </c>
    </row>
    <row r="9" spans="1:2" x14ac:dyDescent="0.3">
      <c r="A9" s="8" t="s">
        <v>1788</v>
      </c>
      <c r="B9" s="8">
        <v>6.0848738998174667E-2</v>
      </c>
    </row>
    <row r="10" spans="1:2" x14ac:dyDescent="0.3">
      <c r="A10" s="8" t="s">
        <v>1787</v>
      </c>
      <c r="B10" s="8">
        <v>5.7811040431261063E-2</v>
      </c>
    </row>
    <row r="11" spans="1:2" x14ac:dyDescent="0.3">
      <c r="A11" s="8" t="s">
        <v>1794</v>
      </c>
      <c r="B11" s="8">
        <v>5.6949291378259659E-2</v>
      </c>
    </row>
    <row r="12" spans="1:2" x14ac:dyDescent="0.3">
      <c r="A12" s="8" t="s">
        <v>1</v>
      </c>
      <c r="B12" s="8">
        <v>5.3090427070856087E-2</v>
      </c>
    </row>
    <row r="13" spans="1:2" x14ac:dyDescent="0.3">
      <c r="A13" s="8" t="s">
        <v>1774</v>
      </c>
      <c r="B13" s="8">
        <v>5.0446182489395142E-2</v>
      </c>
    </row>
    <row r="14" spans="1:2" x14ac:dyDescent="0.3">
      <c r="A14" s="8" t="s">
        <v>967</v>
      </c>
      <c r="B14" s="8">
        <v>4.5917533338069923E-2</v>
      </c>
    </row>
    <row r="15" spans="1:2" x14ac:dyDescent="0.3">
      <c r="A15" s="8" t="s">
        <v>968</v>
      </c>
      <c r="B15" s="8">
        <v>4.0815450251102448E-2</v>
      </c>
    </row>
  </sheetData>
  <autoFilter ref="A1:B10" xr:uid="{D91493FA-902C-4F31-8DC6-BE9217218B4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0FE-8181-4501-A042-7B1C636B8AD5}">
  <dimension ref="A1:S534"/>
  <sheetViews>
    <sheetView topLeftCell="B1" zoomScaleNormal="100" workbookViewId="0">
      <selection activeCell="I13" sqref="I13"/>
    </sheetView>
  </sheetViews>
  <sheetFormatPr defaultRowHeight="14.4" x14ac:dyDescent="0.3"/>
  <cols>
    <col min="2" max="2" width="17" bestFit="1" customWidth="1"/>
    <col min="3" max="3" width="16" bestFit="1" customWidth="1"/>
    <col min="4" max="4" width="16.21875" bestFit="1" customWidth="1"/>
    <col min="5" max="5" width="16" bestFit="1" customWidth="1"/>
    <col min="6" max="6" width="12.6640625" bestFit="1" customWidth="1"/>
    <col min="8" max="8" width="10.77734375" bestFit="1" customWidth="1"/>
    <col min="9" max="9" width="20.21875" bestFit="1" customWidth="1"/>
    <col min="10" max="10" width="14.77734375" bestFit="1" customWidth="1"/>
    <col min="11" max="11" width="19.44140625" bestFit="1" customWidth="1"/>
    <col min="12" max="12" width="17.88671875" bestFit="1" customWidth="1"/>
    <col min="13" max="13" width="17" bestFit="1" customWidth="1"/>
    <col min="14" max="14" width="6.5546875" bestFit="1" customWidth="1"/>
    <col min="15" max="15" width="8.5546875" bestFit="1" customWidth="1"/>
    <col min="16" max="16" width="6.5546875" customWidth="1"/>
    <col min="17" max="17" width="7.5546875" style="23" customWidth="1"/>
    <col min="18" max="18" width="53.109375" customWidth="1"/>
    <col min="19" max="19" width="43.6640625" bestFit="1" customWidth="1"/>
  </cols>
  <sheetData>
    <row r="1" spans="1:19" s="23" customFormat="1" ht="21" x14ac:dyDescent="0.3">
      <c r="A1" s="45" t="s">
        <v>1825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13"/>
      <c r="P1" s="13"/>
      <c r="Q1" s="13"/>
      <c r="R1" s="22"/>
      <c r="S1" s="22"/>
    </row>
    <row r="2" spans="1:19" s="23" customFormat="1" ht="2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13"/>
      <c r="P2" s="13"/>
      <c r="Q2" s="13"/>
      <c r="R2" s="22"/>
      <c r="S2" s="22"/>
    </row>
    <row r="3" spans="1:19" ht="18" x14ac:dyDescent="0.3">
      <c r="B3" s="25" t="s">
        <v>1810</v>
      </c>
      <c r="C3" s="25" t="s">
        <v>1826</v>
      </c>
      <c r="D3" s="25" t="s">
        <v>1811</v>
      </c>
      <c r="E3" s="25" t="s">
        <v>1826</v>
      </c>
      <c r="H3" s="25" t="s">
        <v>1817</v>
      </c>
      <c r="I3" s="25" t="s">
        <v>1822</v>
      </c>
      <c r="J3" s="25" t="s">
        <v>1823</v>
      </c>
      <c r="R3" s="14"/>
    </row>
    <row r="4" spans="1:19" x14ac:dyDescent="0.3">
      <c r="B4" s="6">
        <v>5.6582181714475146E-3</v>
      </c>
      <c r="C4" s="1">
        <v>0</v>
      </c>
      <c r="D4" s="6">
        <v>0.84412091970443726</v>
      </c>
      <c r="E4" s="1">
        <v>1</v>
      </c>
      <c r="H4" s="1">
        <v>1</v>
      </c>
      <c r="I4" s="6">
        <f>PERCENTILE($B$4:$B$534,0.1)</f>
        <v>8.4686987102031708E-3</v>
      </c>
      <c r="J4" s="6">
        <f>PERCENTILE($D$4:$D$231,0.1)</f>
        <v>1.0363766737282277E-2</v>
      </c>
      <c r="R4" s="15"/>
    </row>
    <row r="5" spans="1:19" x14ac:dyDescent="0.3">
      <c r="B5" s="6">
        <v>0.83887416124343872</v>
      </c>
      <c r="C5" s="1">
        <v>1</v>
      </c>
      <c r="D5" s="6">
        <v>0.27466732263565058</v>
      </c>
      <c r="E5" s="1">
        <v>0</v>
      </c>
      <c r="H5" s="1">
        <v>2</v>
      </c>
      <c r="I5" s="6">
        <f>PERCENTILE($B$4:$B$534,0.2)</f>
        <v>1.9045917317271229E-2</v>
      </c>
      <c r="J5" s="6">
        <f>PERCENTILE($D$4:$D$231,0.2)</f>
        <v>4.3092706054449093E-2</v>
      </c>
      <c r="R5" s="16"/>
    </row>
    <row r="6" spans="1:19" x14ac:dyDescent="0.3">
      <c r="B6" s="6">
        <v>0.80871576070785522</v>
      </c>
      <c r="C6" s="1">
        <v>1</v>
      </c>
      <c r="D6" s="6">
        <v>2.4230986833572391E-2</v>
      </c>
      <c r="E6" s="1">
        <v>0</v>
      </c>
      <c r="H6" s="1">
        <v>3</v>
      </c>
      <c r="I6" s="6">
        <f>PERCENTILE($B$4:$B$534,0.3)</f>
        <v>5.7202048599720001E-2</v>
      </c>
      <c r="J6" s="6">
        <f>PERCENTILE($D$4:$D$231,0.3)</f>
        <v>0.17479168027639386</v>
      </c>
      <c r="R6" s="15"/>
    </row>
    <row r="7" spans="1:19" x14ac:dyDescent="0.3">
      <c r="B7" s="6">
        <v>1.482857670634985E-2</v>
      </c>
      <c r="C7" s="1">
        <v>0</v>
      </c>
      <c r="D7" s="6">
        <v>0.86019712686538696</v>
      </c>
      <c r="E7" s="1">
        <v>1</v>
      </c>
      <c r="H7" s="1">
        <v>4</v>
      </c>
      <c r="I7" s="6">
        <f>PERCENTILE($B$4:$B$534,0.4)</f>
        <v>0.17709968984127039</v>
      </c>
      <c r="J7" s="6">
        <f>PERCENTILE($D$4:$D$231,0.4)</f>
        <v>0.35394719839096084</v>
      </c>
      <c r="R7" s="15"/>
    </row>
    <row r="8" spans="1:19" x14ac:dyDescent="0.3">
      <c r="B8" s="6">
        <v>0.92586213350296021</v>
      </c>
      <c r="C8" s="1">
        <v>1</v>
      </c>
      <c r="D8" s="6">
        <v>0.52272439002990723</v>
      </c>
      <c r="E8" s="1">
        <v>1</v>
      </c>
      <c r="H8" s="1">
        <v>5</v>
      </c>
      <c r="I8" s="6">
        <f>PERCENTILE($B$4:$B$534,0.5)</f>
        <v>0.32723450660705572</v>
      </c>
      <c r="J8" s="6">
        <f>PERCENTILE($D$4:$D$231,0.5)</f>
        <v>0.53934657573699951</v>
      </c>
      <c r="R8" s="15"/>
    </row>
    <row r="9" spans="1:19" x14ac:dyDescent="0.3">
      <c r="B9" s="6">
        <v>0.98195052146911621</v>
      </c>
      <c r="C9" s="1">
        <v>1</v>
      </c>
      <c r="D9" s="6">
        <v>0.44395256042480469</v>
      </c>
      <c r="E9" s="1">
        <v>0</v>
      </c>
      <c r="H9" s="1">
        <v>6</v>
      </c>
      <c r="I9" s="6">
        <f>PERCENTILE($B$4:$B$534,0.6)</f>
        <v>0.57667475938796997</v>
      </c>
      <c r="J9" s="6">
        <f>PERCENTILE($D$4:$D$231,0.6)</f>
        <v>0.64841506481170652</v>
      </c>
      <c r="R9" s="15"/>
    </row>
    <row r="10" spans="1:19" x14ac:dyDescent="0.3">
      <c r="B10" s="6">
        <v>0.83364874124526978</v>
      </c>
      <c r="C10" s="1">
        <v>1</v>
      </c>
      <c r="D10" s="6">
        <v>0.14798593521118161</v>
      </c>
      <c r="E10" s="1">
        <v>0</v>
      </c>
      <c r="H10" s="1">
        <v>7</v>
      </c>
      <c r="I10" s="6">
        <f>PERCENTILE($B$4:$B$534,0.7)</f>
        <v>0.75639724731445313</v>
      </c>
      <c r="J10" s="6">
        <f>PERCENTILE($D$4:$D$231,0.7)</f>
        <v>0.73652646541595457</v>
      </c>
    </row>
    <row r="11" spans="1:19" ht="18" x14ac:dyDescent="0.3">
      <c r="B11" s="6">
        <v>4.7298748977482319E-3</v>
      </c>
      <c r="C11" s="1">
        <v>0</v>
      </c>
      <c r="D11" s="6">
        <v>1.332294777967036E-3</v>
      </c>
      <c r="E11" s="1">
        <v>0</v>
      </c>
      <c r="H11" s="1">
        <v>8</v>
      </c>
      <c r="I11" s="6">
        <f>PERCENTILE($B$4:$B$534,0.8)</f>
        <v>0.83887416124343872</v>
      </c>
      <c r="J11" s="6">
        <f>PERCENTILE($D$4:$D$231,0.8)</f>
        <v>0.80820171833038335</v>
      </c>
      <c r="R11" s="14"/>
    </row>
    <row r="12" spans="1:19" x14ac:dyDescent="0.3">
      <c r="B12" s="6">
        <v>1.23169831931591E-2</v>
      </c>
      <c r="C12" s="1">
        <v>0</v>
      </c>
      <c r="D12" s="6">
        <v>0.38564324378967291</v>
      </c>
      <c r="E12" s="1">
        <v>0</v>
      </c>
      <c r="H12" s="1">
        <v>9</v>
      </c>
      <c r="I12" s="6">
        <f>PERCENTILE($B$4:$B$534,0.9)</f>
        <v>0.89726907014846802</v>
      </c>
      <c r="J12" s="6">
        <f>PERCENTILE($D$4:$D$231,0.9)</f>
        <v>0.88152604699134829</v>
      </c>
    </row>
    <row r="13" spans="1:19" x14ac:dyDescent="0.3">
      <c r="B13" s="6">
        <v>0.41458538174629211</v>
      </c>
      <c r="C13" s="1">
        <v>0</v>
      </c>
      <c r="D13" s="6">
        <v>0.21473093330860141</v>
      </c>
      <c r="E13" s="1">
        <v>0</v>
      </c>
      <c r="H13" s="1">
        <v>10</v>
      </c>
      <c r="I13" s="6">
        <f>PERCENTILE($B$4:$B$534,1)</f>
        <v>0.98195052146911621</v>
      </c>
      <c r="J13" s="6">
        <f>PERCENTILE($D$4:$D$231,1)</f>
        <v>0.97484391927719116</v>
      </c>
      <c r="R13" s="17"/>
      <c r="S13" s="17"/>
    </row>
    <row r="14" spans="1:19" x14ac:dyDescent="0.3">
      <c r="B14" s="6">
        <v>0.18989455699920649</v>
      </c>
      <c r="C14" s="1">
        <v>0</v>
      </c>
      <c r="D14" s="6">
        <v>3.263787180185318E-2</v>
      </c>
      <c r="E14" s="1">
        <v>0</v>
      </c>
      <c r="P14" s="4"/>
      <c r="R14" s="19"/>
      <c r="S14" s="18"/>
    </row>
    <row r="15" spans="1:19" x14ac:dyDescent="0.3">
      <c r="B15" s="6">
        <v>0.85935497283935547</v>
      </c>
      <c r="C15" s="1">
        <v>1</v>
      </c>
      <c r="D15" s="6">
        <v>0.75097262859344482</v>
      </c>
      <c r="E15" s="1">
        <v>1</v>
      </c>
      <c r="H15" s="46" t="s">
        <v>1818</v>
      </c>
      <c r="I15" s="47"/>
      <c r="J15" s="46" t="s">
        <v>1819</v>
      </c>
      <c r="K15" s="47"/>
      <c r="L15" s="4"/>
      <c r="M15" s="4"/>
      <c r="N15" s="4"/>
      <c r="R15" s="19"/>
      <c r="S15" s="18"/>
    </row>
    <row r="16" spans="1:19" x14ac:dyDescent="0.3">
      <c r="B16" s="6">
        <v>0.77706551551818848</v>
      </c>
      <c r="C16" s="1">
        <v>1</v>
      </c>
      <c r="D16" s="6">
        <v>0.60463392734527588</v>
      </c>
      <c r="E16" s="1">
        <v>1</v>
      </c>
      <c r="H16" s="26" t="s">
        <v>1812</v>
      </c>
      <c r="I16" s="26" t="s">
        <v>1814</v>
      </c>
      <c r="J16" s="26" t="s">
        <v>1812</v>
      </c>
      <c r="K16" s="26" t="s">
        <v>1815</v>
      </c>
      <c r="L16" s="32" t="s">
        <v>1820</v>
      </c>
      <c r="M16" s="32" t="s">
        <v>1821</v>
      </c>
      <c r="N16" s="32" t="s">
        <v>1816</v>
      </c>
      <c r="R16" s="19"/>
      <c r="S16" s="18"/>
    </row>
    <row r="17" spans="2:18" x14ac:dyDescent="0.3">
      <c r="B17" s="6">
        <v>0.87265932559967041</v>
      </c>
      <c r="C17" s="1">
        <v>1</v>
      </c>
      <c r="D17" s="6">
        <v>0.59519863128662109</v>
      </c>
      <c r="E17" s="1">
        <v>1</v>
      </c>
      <c r="H17" s="9">
        <v>1</v>
      </c>
      <c r="I17" s="10">
        <v>55</v>
      </c>
      <c r="J17" s="11">
        <v>1</v>
      </c>
      <c r="K17" s="10">
        <v>23</v>
      </c>
      <c r="L17" s="8">
        <f t="shared" ref="L17:L26" si="0">I17/$I$27</f>
        <v>0.10357815442561205</v>
      </c>
      <c r="M17" s="8">
        <f t="shared" ref="M17:M26" si="1">K17/$K$27</f>
        <v>0.10087719298245613</v>
      </c>
      <c r="N17" s="7">
        <f>(L17-M17)*LN(L17/M17)</f>
        <v>7.1366361748555977E-5</v>
      </c>
      <c r="O17" s="30"/>
      <c r="P17" s="20"/>
    </row>
    <row r="18" spans="2:18" ht="18" x14ac:dyDescent="0.3">
      <c r="B18" s="6">
        <v>0.926044762134552</v>
      </c>
      <c r="C18" s="1">
        <v>1</v>
      </c>
      <c r="D18" s="6">
        <v>0.77455997467041016</v>
      </c>
      <c r="E18" s="1">
        <v>1</v>
      </c>
      <c r="H18" s="9">
        <v>2</v>
      </c>
      <c r="I18" s="10">
        <v>52</v>
      </c>
      <c r="J18" s="11">
        <v>2</v>
      </c>
      <c r="K18" s="10">
        <v>23</v>
      </c>
      <c r="L18" s="8">
        <f t="shared" si="0"/>
        <v>9.7928436911487754E-2</v>
      </c>
      <c r="M18" s="8">
        <f t="shared" si="1"/>
        <v>0.10087719298245613</v>
      </c>
      <c r="N18" s="7">
        <f>(L18-M18)*LN(L18/M18)</f>
        <v>8.7480420918604966E-5</v>
      </c>
      <c r="O18" s="21"/>
      <c r="P18" s="27"/>
      <c r="Q18" s="28"/>
      <c r="R18" s="29"/>
    </row>
    <row r="19" spans="2:18" x14ac:dyDescent="0.3">
      <c r="B19" s="6">
        <v>0.88101625442504883</v>
      </c>
      <c r="C19" s="1">
        <v>1</v>
      </c>
      <c r="D19" s="6">
        <v>0.35614204406738281</v>
      </c>
      <c r="E19" s="1">
        <v>0</v>
      </c>
      <c r="H19" s="9">
        <v>3</v>
      </c>
      <c r="I19" s="10">
        <v>53</v>
      </c>
      <c r="J19" s="11">
        <v>3</v>
      </c>
      <c r="K19" s="10">
        <v>23</v>
      </c>
      <c r="L19" s="8">
        <f t="shared" si="0"/>
        <v>9.9811676082862524E-2</v>
      </c>
      <c r="M19" s="8">
        <f t="shared" si="1"/>
        <v>0.10087719298245613</v>
      </c>
      <c r="N19" s="7">
        <f t="shared" ref="N19:N26" si="2">(L19-M19)*LN(L19/M19)</f>
        <v>1.1314398616676817E-5</v>
      </c>
      <c r="O19" s="21"/>
      <c r="P19" s="21"/>
      <c r="R19" s="15"/>
    </row>
    <row r="20" spans="2:18" x14ac:dyDescent="0.3">
      <c r="B20" s="6">
        <v>7.8220382332801819E-2</v>
      </c>
      <c r="C20" s="1">
        <v>0</v>
      </c>
      <c r="D20" s="6">
        <v>1.2030309997498991E-2</v>
      </c>
      <c r="E20" s="1">
        <v>0</v>
      </c>
      <c r="H20" s="9">
        <v>4</v>
      </c>
      <c r="I20" s="10">
        <v>53</v>
      </c>
      <c r="J20" s="11">
        <v>4</v>
      </c>
      <c r="K20" s="10">
        <v>22</v>
      </c>
      <c r="L20" s="8">
        <f t="shared" si="0"/>
        <v>9.9811676082862524E-2</v>
      </c>
      <c r="M20" s="8">
        <f t="shared" si="1"/>
        <v>9.6491228070175433E-2</v>
      </c>
      <c r="N20" s="7">
        <f t="shared" si="2"/>
        <v>1.1234094309260751E-4</v>
      </c>
      <c r="O20" s="21"/>
      <c r="P20" s="21"/>
      <c r="R20" s="15"/>
    </row>
    <row r="21" spans="2:18" x14ac:dyDescent="0.3">
      <c r="B21" s="6">
        <v>9.1995298862457275E-2</v>
      </c>
      <c r="C21" s="1">
        <v>0</v>
      </c>
      <c r="D21" s="6">
        <v>0.45668265223503107</v>
      </c>
      <c r="E21" s="1">
        <v>0</v>
      </c>
      <c r="H21" s="9">
        <v>5</v>
      </c>
      <c r="I21" s="10">
        <v>54</v>
      </c>
      <c r="J21" s="11">
        <v>5</v>
      </c>
      <c r="K21" s="10">
        <v>24</v>
      </c>
      <c r="L21" s="8">
        <f t="shared" si="0"/>
        <v>0.10169491525423729</v>
      </c>
      <c r="M21" s="8">
        <f t="shared" si="1"/>
        <v>0.10526315789473684</v>
      </c>
      <c r="N21" s="7">
        <f t="shared" si="2"/>
        <v>1.230550439649209E-4</v>
      </c>
      <c r="O21" s="21"/>
      <c r="P21" s="21"/>
      <c r="R21" s="15"/>
    </row>
    <row r="22" spans="2:18" x14ac:dyDescent="0.3">
      <c r="B22" s="6">
        <v>5.8251847513020039E-3</v>
      </c>
      <c r="C22" s="1">
        <v>0</v>
      </c>
      <c r="D22" s="6">
        <v>0.64819812774658203</v>
      </c>
      <c r="E22" s="1">
        <v>1</v>
      </c>
      <c r="H22" s="9">
        <v>6</v>
      </c>
      <c r="I22" s="10">
        <v>53</v>
      </c>
      <c r="J22" s="11">
        <v>6</v>
      </c>
      <c r="K22" s="10">
        <v>22</v>
      </c>
      <c r="L22" s="8">
        <f t="shared" si="0"/>
        <v>9.9811676082862524E-2</v>
      </c>
      <c r="M22" s="8">
        <f t="shared" si="1"/>
        <v>9.6491228070175433E-2</v>
      </c>
      <c r="N22" s="7">
        <f t="shared" si="2"/>
        <v>1.1234094309260751E-4</v>
      </c>
      <c r="O22" s="21"/>
      <c r="P22" s="21"/>
      <c r="R22" s="16"/>
    </row>
    <row r="23" spans="2:18" x14ac:dyDescent="0.3">
      <c r="B23" s="6">
        <v>7.248418778181076E-2</v>
      </c>
      <c r="C23" s="1">
        <v>0</v>
      </c>
      <c r="D23" s="6">
        <v>0.4842933714389801</v>
      </c>
      <c r="E23" s="1">
        <v>0</v>
      </c>
      <c r="H23" s="9">
        <v>7</v>
      </c>
      <c r="I23" s="10">
        <v>58</v>
      </c>
      <c r="J23" s="11">
        <v>7</v>
      </c>
      <c r="K23" s="10">
        <v>22</v>
      </c>
      <c r="L23" s="8">
        <f t="shared" si="0"/>
        <v>0.10922787193973635</v>
      </c>
      <c r="M23" s="8">
        <f t="shared" si="1"/>
        <v>9.6491228070175433E-2</v>
      </c>
      <c r="N23" s="7">
        <f t="shared" si="2"/>
        <v>1.5791421538039272E-3</v>
      </c>
      <c r="O23" s="21"/>
      <c r="P23" s="21"/>
      <c r="R23" s="15"/>
    </row>
    <row r="24" spans="2:18" x14ac:dyDescent="0.3">
      <c r="B24" s="6">
        <v>1.603417843580246E-2</v>
      </c>
      <c r="C24" s="1">
        <v>0</v>
      </c>
      <c r="D24" s="6">
        <v>0.94827431440353394</v>
      </c>
      <c r="E24" s="1">
        <v>1</v>
      </c>
      <c r="H24" s="9">
        <v>8</v>
      </c>
      <c r="I24" s="10">
        <v>47</v>
      </c>
      <c r="J24" s="11">
        <v>8</v>
      </c>
      <c r="K24" s="10">
        <v>23</v>
      </c>
      <c r="L24" s="8">
        <f t="shared" si="0"/>
        <v>8.851224105461393E-2</v>
      </c>
      <c r="M24" s="8">
        <f t="shared" si="1"/>
        <v>0.10087719298245613</v>
      </c>
      <c r="N24" s="7">
        <f t="shared" si="2"/>
        <v>1.6168782893940929E-3</v>
      </c>
      <c r="O24" s="21"/>
      <c r="P24" s="21"/>
      <c r="R24" s="15"/>
    </row>
    <row r="25" spans="2:18" x14ac:dyDescent="0.3">
      <c r="B25" s="6">
        <v>0.38725170493125921</v>
      </c>
      <c r="C25" s="1">
        <v>0</v>
      </c>
      <c r="D25" s="6">
        <v>0.66344952583312988</v>
      </c>
      <c r="E25" s="1">
        <v>1</v>
      </c>
      <c r="H25" s="9">
        <v>9</v>
      </c>
      <c r="I25" s="10">
        <v>53</v>
      </c>
      <c r="J25" s="11">
        <v>9</v>
      </c>
      <c r="K25" s="10">
        <v>23</v>
      </c>
      <c r="L25" s="8">
        <f t="shared" si="0"/>
        <v>9.9811676082862524E-2</v>
      </c>
      <c r="M25" s="8">
        <f t="shared" si="1"/>
        <v>0.10087719298245613</v>
      </c>
      <c r="N25" s="7">
        <f t="shared" si="2"/>
        <v>1.1314398616676817E-5</v>
      </c>
      <c r="O25" s="21"/>
      <c r="P25" s="21"/>
      <c r="R25" s="15"/>
    </row>
    <row r="26" spans="2:18" x14ac:dyDescent="0.3">
      <c r="B26" s="6">
        <v>0.79444390535354614</v>
      </c>
      <c r="C26" s="1">
        <v>1</v>
      </c>
      <c r="D26" s="6">
        <v>0.34516781568527222</v>
      </c>
      <c r="E26" s="1">
        <v>0</v>
      </c>
      <c r="H26" s="9">
        <v>10</v>
      </c>
      <c r="I26" s="10">
        <v>53</v>
      </c>
      <c r="J26" s="11">
        <v>10</v>
      </c>
      <c r="K26" s="10">
        <v>23</v>
      </c>
      <c r="L26" s="8">
        <f t="shared" si="0"/>
        <v>9.9811676082862524E-2</v>
      </c>
      <c r="M26" s="8">
        <f t="shared" si="1"/>
        <v>0.10087719298245613</v>
      </c>
      <c r="N26" s="7">
        <f t="shared" si="2"/>
        <v>1.1314398616676817E-5</v>
      </c>
      <c r="O26" s="21"/>
      <c r="P26" s="21"/>
      <c r="R26" s="15"/>
    </row>
    <row r="27" spans="2:18" x14ac:dyDescent="0.3">
      <c r="B27" s="6">
        <v>2.647274406626821E-3</v>
      </c>
      <c r="C27" s="1">
        <v>0</v>
      </c>
      <c r="D27" s="6">
        <v>1.059057097882032E-2</v>
      </c>
      <c r="E27" s="1">
        <v>0</v>
      </c>
      <c r="H27" s="9" t="s">
        <v>1813</v>
      </c>
      <c r="I27" s="10">
        <v>531</v>
      </c>
      <c r="J27" s="11" t="s">
        <v>1813</v>
      </c>
      <c r="K27" s="10">
        <v>228</v>
      </c>
      <c r="L27" s="1"/>
      <c r="M27" s="12" t="s">
        <v>1824</v>
      </c>
      <c r="N27" s="31">
        <f ca="1">SUM(N17:N27)</f>
        <v>3.736547351865347E-3</v>
      </c>
      <c r="O27" s="21"/>
      <c r="P27" s="21"/>
    </row>
    <row r="28" spans="2:18" x14ac:dyDescent="0.3">
      <c r="B28" s="6">
        <v>5.7202048599720001E-2</v>
      </c>
      <c r="C28" s="1">
        <v>0</v>
      </c>
      <c r="D28" s="6">
        <v>0.74775165319442749</v>
      </c>
      <c r="E28" s="1">
        <v>1</v>
      </c>
      <c r="O28" s="24"/>
      <c r="P28" s="24"/>
    </row>
    <row r="29" spans="2:18" x14ac:dyDescent="0.3">
      <c r="B29" s="6">
        <v>8.4686987102031708E-3</v>
      </c>
      <c r="C29" s="1">
        <v>0</v>
      </c>
      <c r="D29" s="6">
        <v>9.7592666745185852E-2</v>
      </c>
      <c r="E29" s="1">
        <v>0</v>
      </c>
    </row>
    <row r="30" spans="2:18" x14ac:dyDescent="0.3">
      <c r="B30" s="6">
        <v>9.7253158688545227E-2</v>
      </c>
      <c r="C30" s="1">
        <v>0</v>
      </c>
      <c r="D30" s="6">
        <v>0.78513163328170776</v>
      </c>
      <c r="E30" s="1">
        <v>1</v>
      </c>
    </row>
    <row r="31" spans="2:18" x14ac:dyDescent="0.3">
      <c r="B31" s="6">
        <v>0.22646515071392059</v>
      </c>
      <c r="C31" s="1">
        <v>0</v>
      </c>
      <c r="D31" s="6">
        <v>0.63049864768981934</v>
      </c>
      <c r="E31" s="1">
        <v>1</v>
      </c>
    </row>
    <row r="32" spans="2:18" x14ac:dyDescent="0.3">
      <c r="B32" s="6">
        <v>2.5903116911649701E-2</v>
      </c>
      <c r="C32" s="1">
        <v>0</v>
      </c>
      <c r="D32" s="6">
        <v>0.75036817789077759</v>
      </c>
      <c r="E32" s="1">
        <v>1</v>
      </c>
    </row>
    <row r="33" spans="2:5" x14ac:dyDescent="0.3">
      <c r="B33" s="6">
        <v>1.2795421294867991E-2</v>
      </c>
      <c r="C33" s="1">
        <v>0</v>
      </c>
      <c r="D33" s="6">
        <v>0.81059461832046509</v>
      </c>
      <c r="E33" s="1">
        <v>1</v>
      </c>
    </row>
    <row r="34" spans="2:5" x14ac:dyDescent="0.3">
      <c r="B34" s="6">
        <v>0.82609903812408447</v>
      </c>
      <c r="C34" s="1">
        <v>1</v>
      </c>
      <c r="D34" s="6">
        <v>1.8430246040225029E-2</v>
      </c>
      <c r="E34" s="1">
        <v>0</v>
      </c>
    </row>
    <row r="35" spans="2:5" x14ac:dyDescent="0.3">
      <c r="B35" s="6">
        <v>4.7298888675868511E-3</v>
      </c>
      <c r="C35" s="1">
        <v>0</v>
      </c>
      <c r="D35" s="6">
        <v>0.81122875213623047</v>
      </c>
      <c r="E35" s="1">
        <v>1</v>
      </c>
    </row>
    <row r="36" spans="2:5" x14ac:dyDescent="0.3">
      <c r="B36" s="6">
        <v>0.2025549113750458</v>
      </c>
      <c r="C36" s="1">
        <v>0</v>
      </c>
      <c r="D36" s="6">
        <v>0.46526119112968439</v>
      </c>
      <c r="E36" s="1">
        <v>0</v>
      </c>
    </row>
    <row r="37" spans="2:5" x14ac:dyDescent="0.3">
      <c r="B37" s="6">
        <v>5.6513217277824879E-3</v>
      </c>
      <c r="C37" s="1">
        <v>0</v>
      </c>
      <c r="D37" s="6">
        <v>0.89470022916793823</v>
      </c>
      <c r="E37" s="1">
        <v>1</v>
      </c>
    </row>
    <row r="38" spans="2:5" x14ac:dyDescent="0.3">
      <c r="B38" s="6">
        <v>1.023651193827391E-2</v>
      </c>
      <c r="C38" s="1">
        <v>0</v>
      </c>
      <c r="D38" s="6">
        <v>0.34401285648345947</v>
      </c>
      <c r="E38" s="1">
        <v>0</v>
      </c>
    </row>
    <row r="39" spans="2:5" x14ac:dyDescent="0.3">
      <c r="B39" s="6">
        <v>1.063654199242592E-2</v>
      </c>
      <c r="C39" s="1">
        <v>0</v>
      </c>
      <c r="D39" s="6">
        <v>0.81986767053604126</v>
      </c>
      <c r="E39" s="1">
        <v>1</v>
      </c>
    </row>
    <row r="40" spans="2:5" x14ac:dyDescent="0.3">
      <c r="B40" s="6">
        <v>0.86598056554794312</v>
      </c>
      <c r="C40" s="1">
        <v>1</v>
      </c>
      <c r="D40" s="6">
        <v>0.43575119972228998</v>
      </c>
      <c r="E40" s="1">
        <v>0</v>
      </c>
    </row>
    <row r="41" spans="2:5" x14ac:dyDescent="0.3">
      <c r="B41" s="6">
        <v>1.1763082817196849E-2</v>
      </c>
      <c r="C41" s="1">
        <v>0</v>
      </c>
      <c r="D41" s="6">
        <v>0.1153770312666893</v>
      </c>
      <c r="E41" s="1">
        <v>0</v>
      </c>
    </row>
    <row r="42" spans="2:5" x14ac:dyDescent="0.3">
      <c r="B42" s="6">
        <v>4.8231026157736778E-3</v>
      </c>
      <c r="C42" s="1">
        <v>0</v>
      </c>
      <c r="D42" s="6">
        <v>0.96549350023269653</v>
      </c>
      <c r="E42" s="1">
        <v>1</v>
      </c>
    </row>
    <row r="43" spans="2:5" x14ac:dyDescent="0.3">
      <c r="B43" s="6">
        <v>0.88547766208648682</v>
      </c>
      <c r="C43" s="1">
        <v>1</v>
      </c>
      <c r="D43" s="6">
        <v>0.43003392219543463</v>
      </c>
      <c r="E43" s="1">
        <v>0</v>
      </c>
    </row>
    <row r="44" spans="2:5" x14ac:dyDescent="0.3">
      <c r="B44" s="6">
        <v>0.60529309511184692</v>
      </c>
      <c r="C44" s="1">
        <v>1</v>
      </c>
      <c r="D44" s="6">
        <v>0.6783137321472168</v>
      </c>
      <c r="E44" s="1">
        <v>1</v>
      </c>
    </row>
    <row r="45" spans="2:5" x14ac:dyDescent="0.3">
      <c r="B45" s="6">
        <v>4.1743982583284378E-2</v>
      </c>
      <c r="C45" s="1">
        <v>0</v>
      </c>
      <c r="D45" s="6">
        <v>0.58388155698776245</v>
      </c>
      <c r="E45" s="1">
        <v>1</v>
      </c>
    </row>
    <row r="46" spans="2:5" x14ac:dyDescent="0.3">
      <c r="B46" s="6">
        <v>0.77032506465911865</v>
      </c>
      <c r="C46" s="1">
        <v>1</v>
      </c>
      <c r="D46" s="6">
        <v>0.77874898910522461</v>
      </c>
      <c r="E46" s="1">
        <v>1</v>
      </c>
    </row>
    <row r="47" spans="2:5" x14ac:dyDescent="0.3">
      <c r="B47" s="6">
        <v>0.63988029956817627</v>
      </c>
      <c r="C47" s="1">
        <v>1</v>
      </c>
      <c r="D47" s="6">
        <v>0.82803761959075928</v>
      </c>
      <c r="E47" s="1">
        <v>1</v>
      </c>
    </row>
    <row r="48" spans="2:5" x14ac:dyDescent="0.3">
      <c r="B48" s="6">
        <v>0.80046051740646362</v>
      </c>
      <c r="C48" s="1">
        <v>1</v>
      </c>
      <c r="D48" s="6">
        <v>0.28100934624671942</v>
      </c>
      <c r="E48" s="1">
        <v>0</v>
      </c>
    </row>
    <row r="49" spans="2:5" x14ac:dyDescent="0.3">
      <c r="B49" s="6">
        <v>0.82607173919677734</v>
      </c>
      <c r="C49" s="1">
        <v>1</v>
      </c>
      <c r="D49" s="6">
        <v>0.73675239086151123</v>
      </c>
      <c r="E49" s="1">
        <v>1</v>
      </c>
    </row>
    <row r="50" spans="2:5" x14ac:dyDescent="0.3">
      <c r="B50" s="6">
        <v>0.32723450660705572</v>
      </c>
      <c r="C50" s="1">
        <v>0</v>
      </c>
      <c r="D50" s="6">
        <v>0.97484391927719116</v>
      </c>
      <c r="E50" s="1">
        <v>1</v>
      </c>
    </row>
    <row r="51" spans="2:5" x14ac:dyDescent="0.3">
      <c r="B51" s="6">
        <v>0.90284311771392822</v>
      </c>
      <c r="C51" s="1">
        <v>1</v>
      </c>
      <c r="D51" s="6">
        <v>0.10722418874502181</v>
      </c>
      <c r="E51" s="1">
        <v>0</v>
      </c>
    </row>
    <row r="52" spans="2:5" x14ac:dyDescent="0.3">
      <c r="B52" s="6">
        <v>0.36712154746055597</v>
      </c>
      <c r="C52" s="1">
        <v>0</v>
      </c>
      <c r="D52" s="6">
        <v>0.154045045375824</v>
      </c>
      <c r="E52" s="1">
        <v>0</v>
      </c>
    </row>
    <row r="53" spans="2:5" x14ac:dyDescent="0.3">
      <c r="B53" s="6">
        <v>0.56707233190536499</v>
      </c>
      <c r="C53" s="1">
        <v>1</v>
      </c>
      <c r="D53" s="6">
        <v>0.37635889649391169</v>
      </c>
      <c r="E53" s="1">
        <v>0</v>
      </c>
    </row>
    <row r="54" spans="2:5" x14ac:dyDescent="0.3">
      <c r="B54" s="6">
        <v>0.90778130292892456</v>
      </c>
      <c r="C54" s="1">
        <v>1</v>
      </c>
      <c r="D54" s="6">
        <v>0.93568676710128784</v>
      </c>
      <c r="E54" s="1">
        <v>1</v>
      </c>
    </row>
    <row r="55" spans="2:5" x14ac:dyDescent="0.3">
      <c r="B55" s="6">
        <v>0.95406347513198853</v>
      </c>
      <c r="C55" s="1">
        <v>1</v>
      </c>
      <c r="D55" s="6">
        <v>9.8871514201164246E-2</v>
      </c>
      <c r="E55" s="1">
        <v>0</v>
      </c>
    </row>
    <row r="56" spans="2:5" x14ac:dyDescent="0.3">
      <c r="B56" s="6">
        <v>0.83505213260650635</v>
      </c>
      <c r="C56" s="1">
        <v>1</v>
      </c>
      <c r="D56" s="6">
        <v>0.52906185388565063</v>
      </c>
      <c r="E56" s="1">
        <v>1</v>
      </c>
    </row>
    <row r="57" spans="2:5" x14ac:dyDescent="0.3">
      <c r="B57" s="6">
        <v>0.52982860803604126</v>
      </c>
      <c r="C57" s="1">
        <v>1</v>
      </c>
      <c r="D57" s="6">
        <v>0.36161327362060552</v>
      </c>
      <c r="E57" s="1">
        <v>0</v>
      </c>
    </row>
    <row r="58" spans="2:5" x14ac:dyDescent="0.3">
      <c r="B58" s="6">
        <v>6.6952602937817574E-3</v>
      </c>
      <c r="C58" s="1">
        <v>0</v>
      </c>
      <c r="D58" s="6">
        <v>0.51728588342666626</v>
      </c>
      <c r="E58" s="1">
        <v>1</v>
      </c>
    </row>
    <row r="59" spans="2:5" x14ac:dyDescent="0.3">
      <c r="B59" s="6">
        <v>3.1688310205936432E-2</v>
      </c>
      <c r="C59" s="1">
        <v>0</v>
      </c>
      <c r="D59" s="6">
        <v>0.73449313640594482</v>
      </c>
      <c r="E59" s="1">
        <v>1</v>
      </c>
    </row>
    <row r="60" spans="2:5" x14ac:dyDescent="0.3">
      <c r="B60" s="6">
        <v>0.13365061581134799</v>
      </c>
      <c r="C60" s="1">
        <v>0</v>
      </c>
      <c r="D60" s="6">
        <v>0.78293484449386597</v>
      </c>
      <c r="E60" s="1">
        <v>1</v>
      </c>
    </row>
    <row r="61" spans="2:5" x14ac:dyDescent="0.3">
      <c r="B61" s="6">
        <v>0.86060160398483276</v>
      </c>
      <c r="C61" s="1">
        <v>1</v>
      </c>
      <c r="D61" s="6">
        <v>0.72226160764694214</v>
      </c>
      <c r="E61" s="1">
        <v>1</v>
      </c>
    </row>
    <row r="62" spans="2:5" x14ac:dyDescent="0.3">
      <c r="B62" s="6">
        <v>4.8777129501104348E-2</v>
      </c>
      <c r="C62" s="1">
        <v>0</v>
      </c>
      <c r="D62" s="6">
        <v>0.88177984952926636</v>
      </c>
      <c r="E62" s="1">
        <v>1</v>
      </c>
    </row>
    <row r="63" spans="2:5" x14ac:dyDescent="0.3">
      <c r="B63" s="6">
        <v>0.83407139778137207</v>
      </c>
      <c r="C63" s="1">
        <v>1</v>
      </c>
      <c r="D63" s="6">
        <v>6.2148753553628922E-2</v>
      </c>
      <c r="E63" s="1">
        <v>0</v>
      </c>
    </row>
    <row r="64" spans="2:5" x14ac:dyDescent="0.3">
      <c r="B64" s="6">
        <v>0.89614099264144897</v>
      </c>
      <c r="C64" s="1">
        <v>1</v>
      </c>
      <c r="D64" s="6">
        <v>8.3527058362960815E-2</v>
      </c>
      <c r="E64" s="1">
        <v>0</v>
      </c>
    </row>
    <row r="65" spans="2:5" x14ac:dyDescent="0.3">
      <c r="B65" s="6">
        <v>2.730573154985905E-2</v>
      </c>
      <c r="C65" s="1">
        <v>0</v>
      </c>
      <c r="D65" s="6">
        <v>0.42748960852622991</v>
      </c>
      <c r="E65" s="1">
        <v>0</v>
      </c>
    </row>
    <row r="66" spans="2:5" x14ac:dyDescent="0.3">
      <c r="B66" s="6">
        <v>1.8890770152211189E-2</v>
      </c>
      <c r="C66" s="1">
        <v>0</v>
      </c>
      <c r="D66" s="6">
        <v>0.85614174604415894</v>
      </c>
      <c r="E66" s="1">
        <v>1</v>
      </c>
    </row>
    <row r="67" spans="2:5" x14ac:dyDescent="0.3">
      <c r="B67" s="6">
        <v>0.94322037696838379</v>
      </c>
      <c r="C67" s="1">
        <v>1</v>
      </c>
      <c r="D67" s="6">
        <v>0.23621369898319239</v>
      </c>
      <c r="E67" s="1">
        <v>0</v>
      </c>
    </row>
    <row r="68" spans="2:5" x14ac:dyDescent="0.3">
      <c r="B68" s="6">
        <v>0.1518854349851608</v>
      </c>
      <c r="C68" s="1">
        <v>0</v>
      </c>
      <c r="D68" s="6">
        <v>0.83210623264312744</v>
      </c>
      <c r="E68" s="1">
        <v>1</v>
      </c>
    </row>
    <row r="69" spans="2:5" x14ac:dyDescent="0.3">
      <c r="B69" s="6">
        <v>0.83484029769897461</v>
      </c>
      <c r="C69" s="1">
        <v>1</v>
      </c>
      <c r="D69" s="6">
        <v>0.91748404502868652</v>
      </c>
      <c r="E69" s="1">
        <v>1</v>
      </c>
    </row>
    <row r="70" spans="2:5" x14ac:dyDescent="0.3">
      <c r="B70" s="6">
        <v>3.8485443219542499E-3</v>
      </c>
      <c r="C70" s="1">
        <v>0</v>
      </c>
      <c r="D70" s="6">
        <v>0.49162399768829351</v>
      </c>
      <c r="E70" s="1">
        <v>0</v>
      </c>
    </row>
    <row r="71" spans="2:5" x14ac:dyDescent="0.3">
      <c r="B71" s="6">
        <v>0.1887104660272598</v>
      </c>
      <c r="C71" s="1">
        <v>0</v>
      </c>
      <c r="D71" s="6">
        <v>0.23153895139694211</v>
      </c>
      <c r="E71" s="1">
        <v>0</v>
      </c>
    </row>
    <row r="72" spans="2:5" x14ac:dyDescent="0.3">
      <c r="B72" s="6">
        <v>0.90871244668960571</v>
      </c>
      <c r="C72" s="1">
        <v>1</v>
      </c>
      <c r="D72" s="6">
        <v>0.31237202882766718</v>
      </c>
      <c r="E72" s="1">
        <v>0</v>
      </c>
    </row>
    <row r="73" spans="2:5" x14ac:dyDescent="0.3">
      <c r="B73" s="6">
        <v>1.2439503334462639E-2</v>
      </c>
      <c r="C73" s="1">
        <v>0</v>
      </c>
      <c r="D73" s="6">
        <v>0.82743620872497559</v>
      </c>
      <c r="E73" s="1">
        <v>1</v>
      </c>
    </row>
    <row r="74" spans="2:5" x14ac:dyDescent="0.3">
      <c r="B74" s="6">
        <v>0.78219866752624512</v>
      </c>
      <c r="C74" s="1">
        <v>1</v>
      </c>
      <c r="D74" s="6">
        <v>0.85766905546188354</v>
      </c>
      <c r="E74" s="1">
        <v>1</v>
      </c>
    </row>
    <row r="75" spans="2:5" x14ac:dyDescent="0.3">
      <c r="B75" s="6">
        <v>0.7947312593460083</v>
      </c>
      <c r="C75" s="1">
        <v>1</v>
      </c>
      <c r="D75" s="6">
        <v>1.5848336741328239E-2</v>
      </c>
      <c r="E75" s="1">
        <v>0</v>
      </c>
    </row>
    <row r="76" spans="2:5" x14ac:dyDescent="0.3">
      <c r="B76" s="6">
        <v>8.66722222417593E-3</v>
      </c>
      <c r="C76" s="1">
        <v>0</v>
      </c>
      <c r="D76" s="6">
        <v>0.72895854711532593</v>
      </c>
      <c r="E76" s="1">
        <v>1</v>
      </c>
    </row>
    <row r="77" spans="2:5" x14ac:dyDescent="0.3">
      <c r="B77" s="6">
        <v>2.5820191949605938E-2</v>
      </c>
      <c r="C77" s="1">
        <v>0</v>
      </c>
      <c r="D77" s="6">
        <v>0.64943087100982666</v>
      </c>
      <c r="E77" s="1">
        <v>1</v>
      </c>
    </row>
    <row r="78" spans="2:5" x14ac:dyDescent="0.3">
      <c r="B78" s="6">
        <v>0.1028537601232529</v>
      </c>
      <c r="C78" s="1">
        <v>0</v>
      </c>
      <c r="D78" s="6">
        <v>0.73230898380279541</v>
      </c>
      <c r="E78" s="1">
        <v>1</v>
      </c>
    </row>
    <row r="79" spans="2:5" x14ac:dyDescent="0.3">
      <c r="B79" s="6">
        <v>0.84290724992752075</v>
      </c>
      <c r="C79" s="1">
        <v>1</v>
      </c>
      <c r="D79" s="6">
        <v>0.6728675365447998</v>
      </c>
      <c r="E79" s="1">
        <v>1</v>
      </c>
    </row>
    <row r="80" spans="2:5" x14ac:dyDescent="0.3">
      <c r="B80" s="6">
        <v>0.1012647673487663</v>
      </c>
      <c r="C80" s="1">
        <v>0</v>
      </c>
      <c r="D80" s="6">
        <v>1.038922555744648E-2</v>
      </c>
      <c r="E80" s="1">
        <v>0</v>
      </c>
    </row>
    <row r="81" spans="2:5" x14ac:dyDescent="0.3">
      <c r="B81" s="6">
        <v>0.23631285130977631</v>
      </c>
      <c r="C81" s="1">
        <v>0</v>
      </c>
      <c r="D81" s="6">
        <v>0.4134584367275238</v>
      </c>
      <c r="E81" s="1">
        <v>0</v>
      </c>
    </row>
    <row r="82" spans="2:5" x14ac:dyDescent="0.3">
      <c r="B82" s="6">
        <v>1.598338037729263E-2</v>
      </c>
      <c r="C82" s="1">
        <v>0</v>
      </c>
      <c r="D82" s="6">
        <v>0.62694275379180908</v>
      </c>
      <c r="E82" s="1">
        <v>1</v>
      </c>
    </row>
    <row r="83" spans="2:5" x14ac:dyDescent="0.3">
      <c r="B83" s="6">
        <v>0.58535200357437134</v>
      </c>
      <c r="C83" s="1">
        <v>1</v>
      </c>
      <c r="D83" s="6">
        <v>0.5703045129776001</v>
      </c>
      <c r="E83" s="1">
        <v>1</v>
      </c>
    </row>
    <row r="84" spans="2:5" x14ac:dyDescent="0.3">
      <c r="B84" s="6">
        <v>0.20048293471336359</v>
      </c>
      <c r="C84" s="1">
        <v>0</v>
      </c>
      <c r="D84" s="6">
        <v>0.67732888460159302</v>
      </c>
      <c r="E84" s="1">
        <v>1</v>
      </c>
    </row>
    <row r="85" spans="2:5" x14ac:dyDescent="0.3">
      <c r="B85" s="6">
        <v>0.25648424029350281</v>
      </c>
      <c r="C85" s="1">
        <v>0</v>
      </c>
      <c r="D85" s="6">
        <v>0.62270271778106689</v>
      </c>
      <c r="E85" s="1">
        <v>1</v>
      </c>
    </row>
    <row r="86" spans="2:5" x14ac:dyDescent="0.3">
      <c r="B86" s="6">
        <v>1.240512449294329E-2</v>
      </c>
      <c r="C86" s="1">
        <v>0</v>
      </c>
      <c r="D86" s="6">
        <v>0.57530158758163452</v>
      </c>
      <c r="E86" s="1">
        <v>1</v>
      </c>
    </row>
    <row r="87" spans="2:5" x14ac:dyDescent="0.3">
      <c r="B87" s="6">
        <v>8.6168963462114334E-3</v>
      </c>
      <c r="C87" s="1">
        <v>0</v>
      </c>
      <c r="D87" s="6">
        <v>5.2019772119820118E-3</v>
      </c>
      <c r="E87" s="1">
        <v>0</v>
      </c>
    </row>
    <row r="88" spans="2:5" x14ac:dyDescent="0.3">
      <c r="B88" s="6">
        <v>0.19251519441604609</v>
      </c>
      <c r="C88" s="1">
        <v>0</v>
      </c>
      <c r="D88" s="6">
        <v>0.8497270941734314</v>
      </c>
      <c r="E88" s="1">
        <v>1</v>
      </c>
    </row>
    <row r="89" spans="2:5" x14ac:dyDescent="0.3">
      <c r="B89" s="6">
        <v>0.855704665184021</v>
      </c>
      <c r="C89" s="1">
        <v>1</v>
      </c>
      <c r="D89" s="6">
        <v>0.68184757232666016</v>
      </c>
      <c r="E89" s="1">
        <v>1</v>
      </c>
    </row>
    <row r="90" spans="2:5" x14ac:dyDescent="0.3">
      <c r="B90" s="6">
        <v>4.5100193470716483E-2</v>
      </c>
      <c r="C90" s="1">
        <v>0</v>
      </c>
      <c r="D90" s="6">
        <v>0.80062365531921387</v>
      </c>
      <c r="E90" s="1">
        <v>1</v>
      </c>
    </row>
    <row r="91" spans="2:5" x14ac:dyDescent="0.3">
      <c r="B91" s="6">
        <v>0.7297089695930481</v>
      </c>
      <c r="C91" s="1">
        <v>1</v>
      </c>
      <c r="D91" s="6">
        <v>3.613202134147286E-3</v>
      </c>
      <c r="E91" s="1">
        <v>0</v>
      </c>
    </row>
    <row r="92" spans="2:5" x14ac:dyDescent="0.3">
      <c r="B92" s="6">
        <v>0.89726907014846802</v>
      </c>
      <c r="C92" s="1">
        <v>1</v>
      </c>
      <c r="D92" s="6">
        <v>5.1425442099571228E-2</v>
      </c>
      <c r="E92" s="1">
        <v>0</v>
      </c>
    </row>
    <row r="93" spans="2:5" x14ac:dyDescent="0.3">
      <c r="B93" s="6">
        <v>0.80259782075881958</v>
      </c>
      <c r="C93" s="1">
        <v>1</v>
      </c>
      <c r="D93" s="6">
        <v>0.88141727447509766</v>
      </c>
      <c r="E93" s="1">
        <v>1</v>
      </c>
    </row>
    <row r="94" spans="2:5" x14ac:dyDescent="0.3">
      <c r="B94" s="6">
        <v>3.1153950840234761E-3</v>
      </c>
      <c r="C94" s="1">
        <v>0</v>
      </c>
      <c r="D94" s="6">
        <v>0.71547865867614746</v>
      </c>
      <c r="E94" s="1">
        <v>1</v>
      </c>
    </row>
    <row r="95" spans="2:5" x14ac:dyDescent="0.3">
      <c r="B95" s="6">
        <v>6.0497671365737924E-3</v>
      </c>
      <c r="C95" s="1">
        <v>0</v>
      </c>
      <c r="D95" s="6">
        <v>1.0319387540221211E-2</v>
      </c>
      <c r="E95" s="1">
        <v>0</v>
      </c>
    </row>
    <row r="96" spans="2:5" x14ac:dyDescent="0.3">
      <c r="B96" s="6">
        <v>0.90301156044006348</v>
      </c>
      <c r="C96" s="1">
        <v>1</v>
      </c>
      <c r="D96" s="6">
        <v>0.86107760667800903</v>
      </c>
      <c r="E96" s="1">
        <v>1</v>
      </c>
    </row>
    <row r="97" spans="2:5" x14ac:dyDescent="0.3">
      <c r="B97" s="6">
        <v>1.579699665307999E-2</v>
      </c>
      <c r="C97" s="1">
        <v>0</v>
      </c>
      <c r="D97" s="6">
        <v>7.6402612030506134E-3</v>
      </c>
      <c r="E97" s="1">
        <v>0</v>
      </c>
    </row>
    <row r="98" spans="2:5" x14ac:dyDescent="0.3">
      <c r="B98" s="6">
        <v>6.3454457558691502E-3</v>
      </c>
      <c r="C98" s="1">
        <v>0</v>
      </c>
      <c r="D98" s="6">
        <v>0.62993037700653076</v>
      </c>
      <c r="E98" s="1">
        <v>1</v>
      </c>
    </row>
    <row r="99" spans="2:5" x14ac:dyDescent="0.3">
      <c r="B99" s="6">
        <v>6.2948665581643581E-3</v>
      </c>
      <c r="C99" s="1">
        <v>0</v>
      </c>
      <c r="D99" s="6">
        <v>0.5601087212562561</v>
      </c>
      <c r="E99" s="1">
        <v>1</v>
      </c>
    </row>
    <row r="100" spans="2:5" x14ac:dyDescent="0.3">
      <c r="B100" s="6">
        <v>0.97921603918075562</v>
      </c>
      <c r="C100" s="1">
        <v>1</v>
      </c>
      <c r="D100" s="6">
        <v>0.94381153583526611</v>
      </c>
      <c r="E100" s="1">
        <v>1</v>
      </c>
    </row>
    <row r="101" spans="2:5" x14ac:dyDescent="0.3">
      <c r="B101" s="6">
        <v>0.57865458726882935</v>
      </c>
      <c r="C101" s="1">
        <v>1</v>
      </c>
      <c r="D101" s="6">
        <v>0.6847224235534668</v>
      </c>
      <c r="E101" s="1">
        <v>1</v>
      </c>
    </row>
    <row r="102" spans="2:5" x14ac:dyDescent="0.3">
      <c r="B102" s="6">
        <v>0.55055630207061768</v>
      </c>
      <c r="C102" s="1">
        <v>1</v>
      </c>
      <c r="D102" s="6">
        <v>1.456738822162151E-2</v>
      </c>
      <c r="E102" s="1">
        <v>0</v>
      </c>
    </row>
    <row r="103" spans="2:5" x14ac:dyDescent="0.3">
      <c r="B103" s="6">
        <v>0.9372941255569458</v>
      </c>
      <c r="C103" s="1">
        <v>1</v>
      </c>
      <c r="D103" s="6">
        <v>8.4784058853983879E-3</v>
      </c>
      <c r="E103" s="1">
        <v>0</v>
      </c>
    </row>
    <row r="104" spans="2:5" x14ac:dyDescent="0.3">
      <c r="B104" s="6">
        <v>0.81986367702484131</v>
      </c>
      <c r="C104" s="1">
        <v>1</v>
      </c>
      <c r="D104" s="6">
        <v>0.80383968353271484</v>
      </c>
      <c r="E104" s="1">
        <v>1</v>
      </c>
    </row>
    <row r="105" spans="2:5" x14ac:dyDescent="0.3">
      <c r="B105" s="6">
        <v>0.10511453449726101</v>
      </c>
      <c r="C105" s="1">
        <v>0</v>
      </c>
      <c r="D105" s="6">
        <v>3.1543873250484467E-2</v>
      </c>
      <c r="E105" s="1">
        <v>0</v>
      </c>
    </row>
    <row r="106" spans="2:5" x14ac:dyDescent="0.3">
      <c r="B106" s="6">
        <v>0.2050071656703949</v>
      </c>
      <c r="C106" s="1">
        <v>0</v>
      </c>
      <c r="D106" s="6">
        <v>0.81819474697113037</v>
      </c>
      <c r="E106" s="1">
        <v>1</v>
      </c>
    </row>
    <row r="107" spans="2:5" x14ac:dyDescent="0.3">
      <c r="B107" s="6">
        <v>0.92065209150314331</v>
      </c>
      <c r="C107" s="1">
        <v>1</v>
      </c>
      <c r="D107" s="6">
        <v>0.80038827657699585</v>
      </c>
      <c r="E107" s="1">
        <v>1</v>
      </c>
    </row>
    <row r="108" spans="2:5" x14ac:dyDescent="0.3">
      <c r="B108" s="6">
        <v>0.59413611888885498</v>
      </c>
      <c r="C108" s="1">
        <v>1</v>
      </c>
      <c r="D108" s="6">
        <v>0.80729073286056519</v>
      </c>
      <c r="E108" s="1">
        <v>1</v>
      </c>
    </row>
    <row r="109" spans="2:5" x14ac:dyDescent="0.3">
      <c r="B109" s="6">
        <v>4.839295893907547E-2</v>
      </c>
      <c r="C109" s="1">
        <v>0</v>
      </c>
      <c r="D109" s="6">
        <v>0.62622749805450439</v>
      </c>
      <c r="E109" s="1">
        <v>1</v>
      </c>
    </row>
    <row r="110" spans="2:5" x14ac:dyDescent="0.3">
      <c r="B110" s="6">
        <v>4.3488005176186562E-3</v>
      </c>
      <c r="C110" s="1">
        <v>0</v>
      </c>
      <c r="D110" s="6">
        <v>0.89111661911010742</v>
      </c>
      <c r="E110" s="1">
        <v>1</v>
      </c>
    </row>
    <row r="111" spans="2:5" x14ac:dyDescent="0.3">
      <c r="B111" s="6">
        <v>0.74270939826965332</v>
      </c>
      <c r="C111" s="1">
        <v>1</v>
      </c>
      <c r="D111" s="6">
        <v>0.64830559492111206</v>
      </c>
      <c r="E111" s="1">
        <v>1</v>
      </c>
    </row>
    <row r="112" spans="2:5" x14ac:dyDescent="0.3">
      <c r="B112" s="6">
        <v>3.694218117743731E-3</v>
      </c>
      <c r="C112" s="1">
        <v>0</v>
      </c>
      <c r="D112" s="6">
        <v>0.61914318799972534</v>
      </c>
      <c r="E112" s="1">
        <v>1</v>
      </c>
    </row>
    <row r="113" spans="2:5" x14ac:dyDescent="0.3">
      <c r="B113" s="6">
        <v>0.75913792848587036</v>
      </c>
      <c r="C113" s="1">
        <v>1</v>
      </c>
      <c r="D113" s="6">
        <v>1.1763082817196849E-2</v>
      </c>
      <c r="E113" s="1">
        <v>0</v>
      </c>
    </row>
    <row r="114" spans="2:5" x14ac:dyDescent="0.3">
      <c r="B114" s="6">
        <v>9.9802194163203239E-3</v>
      </c>
      <c r="C114" s="1">
        <v>0</v>
      </c>
      <c r="D114" s="6">
        <v>0.77270376682281494</v>
      </c>
      <c r="E114" s="1">
        <v>1</v>
      </c>
    </row>
    <row r="115" spans="2:5" x14ac:dyDescent="0.3">
      <c r="B115" s="6">
        <v>0.71654081344604492</v>
      </c>
      <c r="C115" s="1">
        <v>1</v>
      </c>
      <c r="D115" s="6">
        <v>0.57905542850494385</v>
      </c>
      <c r="E115" s="1">
        <v>1</v>
      </c>
    </row>
    <row r="116" spans="2:5" x14ac:dyDescent="0.3">
      <c r="B116" s="6">
        <v>0.34497806429862982</v>
      </c>
      <c r="C116" s="1">
        <v>0</v>
      </c>
      <c r="D116" s="6">
        <v>9.9557533860206604E-2</v>
      </c>
      <c r="E116" s="1">
        <v>0</v>
      </c>
    </row>
    <row r="117" spans="2:5" x14ac:dyDescent="0.3">
      <c r="B117" s="6">
        <v>2.0623227581381801E-2</v>
      </c>
      <c r="C117" s="1">
        <v>0</v>
      </c>
      <c r="D117" s="6">
        <v>0.17557744681835169</v>
      </c>
      <c r="E117" s="1">
        <v>0</v>
      </c>
    </row>
    <row r="118" spans="2:5" x14ac:dyDescent="0.3">
      <c r="B118" s="6">
        <v>0.32500281929969788</v>
      </c>
      <c r="C118" s="1">
        <v>0</v>
      </c>
      <c r="D118" s="6">
        <v>3.036133386194706E-2</v>
      </c>
      <c r="E118" s="1">
        <v>0</v>
      </c>
    </row>
    <row r="119" spans="2:5" x14ac:dyDescent="0.3">
      <c r="B119" s="6">
        <v>9.9835237488150597E-3</v>
      </c>
      <c r="C119" s="1">
        <v>0</v>
      </c>
      <c r="D119" s="6">
        <v>4.2723465710878372E-2</v>
      </c>
      <c r="E119" s="1">
        <v>0</v>
      </c>
    </row>
    <row r="120" spans="2:5" x14ac:dyDescent="0.3">
      <c r="B120" s="6">
        <v>0.96023166179656982</v>
      </c>
      <c r="C120" s="1">
        <v>1</v>
      </c>
      <c r="D120" s="6">
        <v>1.6508780419826511E-2</v>
      </c>
      <c r="E120" s="1">
        <v>0</v>
      </c>
    </row>
    <row r="121" spans="2:5" x14ac:dyDescent="0.3">
      <c r="B121" s="6">
        <v>0.52443945407867432</v>
      </c>
      <c r="C121" s="1">
        <v>1</v>
      </c>
      <c r="D121" s="6">
        <v>0.707489013671875</v>
      </c>
      <c r="E121" s="1">
        <v>1</v>
      </c>
    </row>
    <row r="122" spans="2:5" x14ac:dyDescent="0.3">
      <c r="B122" s="6">
        <v>0.52450281381607056</v>
      </c>
      <c r="C122" s="1">
        <v>1</v>
      </c>
      <c r="D122" s="6">
        <v>0.44118070602416992</v>
      </c>
      <c r="E122" s="1">
        <v>0</v>
      </c>
    </row>
    <row r="123" spans="2:5" x14ac:dyDescent="0.3">
      <c r="B123" s="6">
        <v>3.9400108158588409E-2</v>
      </c>
      <c r="C123" s="1">
        <v>0</v>
      </c>
      <c r="D123" s="6">
        <v>8.4608430042862892E-3</v>
      </c>
      <c r="E123" s="1">
        <v>0</v>
      </c>
    </row>
    <row r="124" spans="2:5" x14ac:dyDescent="0.3">
      <c r="B124" s="6">
        <v>5.9326463378965846E-3</v>
      </c>
      <c r="C124" s="1">
        <v>0</v>
      </c>
      <c r="D124" s="6">
        <v>8.4926243871450424E-3</v>
      </c>
      <c r="E124" s="1">
        <v>0</v>
      </c>
    </row>
    <row r="125" spans="2:5" x14ac:dyDescent="0.3">
      <c r="B125" s="6">
        <v>0.29890689253807068</v>
      </c>
      <c r="C125" s="1">
        <v>0</v>
      </c>
      <c r="D125" s="6">
        <v>0.58196461200714111</v>
      </c>
      <c r="E125" s="1">
        <v>1</v>
      </c>
    </row>
    <row r="126" spans="2:5" x14ac:dyDescent="0.3">
      <c r="B126" s="6">
        <v>2.6933711022138599E-2</v>
      </c>
      <c r="C126" s="1">
        <v>0</v>
      </c>
      <c r="D126" s="6">
        <v>0.81226378679275513</v>
      </c>
      <c r="E126" s="1">
        <v>1</v>
      </c>
    </row>
    <row r="127" spans="2:5" x14ac:dyDescent="0.3">
      <c r="B127" s="6">
        <v>0.6927649974822998</v>
      </c>
      <c r="C127" s="1">
        <v>1</v>
      </c>
      <c r="D127" s="6">
        <v>0.31317338347434998</v>
      </c>
      <c r="E127" s="1">
        <v>0</v>
      </c>
    </row>
    <row r="128" spans="2:5" x14ac:dyDescent="0.3">
      <c r="B128" s="6">
        <v>0.2375665009021759</v>
      </c>
      <c r="C128" s="1">
        <v>0</v>
      </c>
      <c r="D128" s="6">
        <v>1.910896971821785E-2</v>
      </c>
      <c r="E128" s="1">
        <v>0</v>
      </c>
    </row>
    <row r="129" spans="2:5" x14ac:dyDescent="0.3">
      <c r="B129" s="6">
        <v>0.51410013437271118</v>
      </c>
      <c r="C129" s="1">
        <v>1</v>
      </c>
      <c r="D129" s="6">
        <v>0.91037267446517944</v>
      </c>
      <c r="E129" s="1">
        <v>1</v>
      </c>
    </row>
    <row r="130" spans="2:5" x14ac:dyDescent="0.3">
      <c r="B130" s="6">
        <v>4.8779461532831192E-2</v>
      </c>
      <c r="C130" s="1">
        <v>0</v>
      </c>
      <c r="D130" s="6">
        <v>0.26187184453010559</v>
      </c>
      <c r="E130" s="1">
        <v>0</v>
      </c>
    </row>
    <row r="131" spans="2:5" x14ac:dyDescent="0.3">
      <c r="B131" s="6">
        <v>0.43985146284103388</v>
      </c>
      <c r="C131" s="1">
        <v>0</v>
      </c>
      <c r="D131" s="6">
        <v>2.5116028264164921E-2</v>
      </c>
      <c r="E131" s="1">
        <v>0</v>
      </c>
    </row>
    <row r="132" spans="2:5" x14ac:dyDescent="0.3">
      <c r="B132" s="6">
        <v>3.538012038916349E-3</v>
      </c>
      <c r="C132" s="1">
        <v>0</v>
      </c>
      <c r="D132" s="6">
        <v>0.19129191339015961</v>
      </c>
      <c r="E132" s="1">
        <v>0</v>
      </c>
    </row>
    <row r="133" spans="2:5" x14ac:dyDescent="0.3">
      <c r="B133" s="6">
        <v>8.105199784040451E-3</v>
      </c>
      <c r="C133" s="1">
        <v>0</v>
      </c>
      <c r="D133" s="6">
        <v>0.88116645812988281</v>
      </c>
      <c r="E133" s="1">
        <v>1</v>
      </c>
    </row>
    <row r="134" spans="2:5" x14ac:dyDescent="0.3">
      <c r="B134" s="6">
        <v>0.37907600402832031</v>
      </c>
      <c r="C134" s="1">
        <v>0</v>
      </c>
      <c r="D134" s="6">
        <v>0.70585370063781738</v>
      </c>
      <c r="E134" s="1">
        <v>1</v>
      </c>
    </row>
    <row r="135" spans="2:5" x14ac:dyDescent="0.3">
      <c r="B135" s="6">
        <v>5.0382725894451141E-2</v>
      </c>
      <c r="C135" s="1">
        <v>0</v>
      </c>
      <c r="D135" s="6">
        <v>3.7499549798667431E-3</v>
      </c>
      <c r="E135" s="1">
        <v>0</v>
      </c>
    </row>
    <row r="136" spans="2:5" x14ac:dyDescent="0.3">
      <c r="B136" s="6">
        <v>0.57667475938796997</v>
      </c>
      <c r="C136" s="1">
        <v>1</v>
      </c>
      <c r="D136" s="6">
        <v>9.0361665934324265E-3</v>
      </c>
      <c r="E136" s="1">
        <v>0</v>
      </c>
    </row>
    <row r="137" spans="2:5" x14ac:dyDescent="0.3">
      <c r="B137" s="6">
        <v>0.55427974462509155</v>
      </c>
      <c r="C137" s="1">
        <v>1</v>
      </c>
      <c r="D137" s="6">
        <v>2.7405858039855961E-2</v>
      </c>
      <c r="E137" s="1">
        <v>0</v>
      </c>
    </row>
    <row r="138" spans="2:5" x14ac:dyDescent="0.3">
      <c r="B138" s="6">
        <v>0.92933100461959839</v>
      </c>
      <c r="C138" s="1">
        <v>1</v>
      </c>
      <c r="D138" s="6">
        <v>0.75176918506622314</v>
      </c>
      <c r="E138" s="1">
        <v>1</v>
      </c>
    </row>
    <row r="139" spans="2:5" x14ac:dyDescent="0.3">
      <c r="B139" s="6">
        <v>1.594836451113224E-2</v>
      </c>
      <c r="C139" s="1">
        <v>0</v>
      </c>
      <c r="D139" s="6">
        <v>0.88710248470306396</v>
      </c>
      <c r="E139" s="1">
        <v>1</v>
      </c>
    </row>
    <row r="140" spans="2:5" x14ac:dyDescent="0.3">
      <c r="B140" s="6">
        <v>0.32068595290184021</v>
      </c>
      <c r="C140" s="1">
        <v>0</v>
      </c>
      <c r="D140" s="6">
        <v>0.17470437288284299</v>
      </c>
      <c r="E140" s="1">
        <v>0</v>
      </c>
    </row>
    <row r="141" spans="2:5" x14ac:dyDescent="0.3">
      <c r="B141" s="6">
        <v>0.11644983291625979</v>
      </c>
      <c r="C141" s="1">
        <v>0</v>
      </c>
      <c r="D141" s="6">
        <v>0.54963129758834839</v>
      </c>
      <c r="E141" s="1">
        <v>1</v>
      </c>
    </row>
    <row r="142" spans="2:5" x14ac:dyDescent="0.3">
      <c r="B142" s="6">
        <v>0.77286028861999512</v>
      </c>
      <c r="C142" s="1">
        <v>1</v>
      </c>
      <c r="D142" s="6">
        <v>0.81218206882476807</v>
      </c>
      <c r="E142" s="1">
        <v>1</v>
      </c>
    </row>
    <row r="143" spans="2:5" x14ac:dyDescent="0.3">
      <c r="B143" s="6">
        <v>1.193786319345236E-2</v>
      </c>
      <c r="C143" s="1">
        <v>0</v>
      </c>
      <c r="D143" s="6">
        <v>0.2835235595703125</v>
      </c>
      <c r="E143" s="1">
        <v>0</v>
      </c>
    </row>
    <row r="144" spans="2:5" x14ac:dyDescent="0.3">
      <c r="B144" s="6">
        <v>3.5123776644468307E-2</v>
      </c>
      <c r="C144" s="1">
        <v>0</v>
      </c>
      <c r="D144" s="6">
        <v>4.5613502152264118E-3</v>
      </c>
      <c r="E144" s="1">
        <v>0</v>
      </c>
    </row>
    <row r="145" spans="2:5" x14ac:dyDescent="0.3">
      <c r="B145" s="6">
        <v>3.695223480463028E-2</v>
      </c>
      <c r="C145" s="1">
        <v>0</v>
      </c>
      <c r="D145" s="6">
        <v>0.16431437432765961</v>
      </c>
      <c r="E145" s="1">
        <v>0</v>
      </c>
    </row>
    <row r="146" spans="2:5" x14ac:dyDescent="0.3">
      <c r="B146" s="6">
        <v>1.9574284553527829E-2</v>
      </c>
      <c r="C146" s="1">
        <v>0</v>
      </c>
      <c r="D146" s="6">
        <v>0.30689820647239691</v>
      </c>
      <c r="E146" s="1">
        <v>0</v>
      </c>
    </row>
    <row r="147" spans="2:5" x14ac:dyDescent="0.3">
      <c r="B147" s="6">
        <v>0.83513426780700684</v>
      </c>
      <c r="C147" s="1">
        <v>1</v>
      </c>
      <c r="D147" s="6">
        <v>0.94417142868041992</v>
      </c>
      <c r="E147" s="1">
        <v>1</v>
      </c>
    </row>
    <row r="148" spans="2:5" x14ac:dyDescent="0.3">
      <c r="B148" s="6">
        <v>0.7417873740196228</v>
      </c>
      <c r="C148" s="1">
        <v>1</v>
      </c>
      <c r="D148" s="6">
        <v>2.765718381851912E-3</v>
      </c>
      <c r="E148" s="1">
        <v>0</v>
      </c>
    </row>
    <row r="149" spans="2:5" x14ac:dyDescent="0.3">
      <c r="B149" s="6">
        <v>0.18983703851699829</v>
      </c>
      <c r="C149" s="1">
        <v>0</v>
      </c>
      <c r="D149" s="6">
        <v>0.93754732608795166</v>
      </c>
      <c r="E149" s="1">
        <v>1</v>
      </c>
    </row>
    <row r="150" spans="2:5" x14ac:dyDescent="0.3">
      <c r="B150" s="6">
        <v>0.1368737518787384</v>
      </c>
      <c r="C150" s="1">
        <v>0</v>
      </c>
      <c r="D150" s="6">
        <v>0.21481798589229581</v>
      </c>
      <c r="E150" s="1">
        <v>0</v>
      </c>
    </row>
    <row r="151" spans="2:5" x14ac:dyDescent="0.3">
      <c r="B151" s="6">
        <v>0.61897051334381104</v>
      </c>
      <c r="C151" s="1">
        <v>1</v>
      </c>
      <c r="D151" s="6">
        <v>0.69959461688995361</v>
      </c>
      <c r="E151" s="1">
        <v>1</v>
      </c>
    </row>
    <row r="152" spans="2:5" x14ac:dyDescent="0.3">
      <c r="B152" s="6">
        <v>0.3590700626373291</v>
      </c>
      <c r="C152" s="1">
        <v>0</v>
      </c>
      <c r="D152" s="6">
        <v>2.1205130033195019E-3</v>
      </c>
      <c r="E152" s="1">
        <v>0</v>
      </c>
    </row>
    <row r="153" spans="2:5" x14ac:dyDescent="0.3">
      <c r="B153" s="6">
        <v>0.177949994802475</v>
      </c>
      <c r="C153" s="1">
        <v>0</v>
      </c>
      <c r="D153" s="6">
        <v>0.48023858666419977</v>
      </c>
      <c r="E153" s="1">
        <v>0</v>
      </c>
    </row>
    <row r="154" spans="2:5" x14ac:dyDescent="0.3">
      <c r="B154" s="6">
        <v>4.8500746488571167E-3</v>
      </c>
      <c r="C154" s="1">
        <v>0</v>
      </c>
      <c r="D154" s="6">
        <v>0.27560600638389587</v>
      </c>
      <c r="E154" s="1">
        <v>0</v>
      </c>
    </row>
    <row r="155" spans="2:5" x14ac:dyDescent="0.3">
      <c r="B155" s="6">
        <v>0.85886979103088379</v>
      </c>
      <c r="C155" s="1">
        <v>1</v>
      </c>
      <c r="D155" s="6">
        <v>1.261970866471529E-2</v>
      </c>
      <c r="E155" s="1">
        <v>0</v>
      </c>
    </row>
    <row r="156" spans="2:5" x14ac:dyDescent="0.3">
      <c r="B156" s="6">
        <v>0.72617965936660767</v>
      </c>
      <c r="C156" s="1">
        <v>1</v>
      </c>
      <c r="D156" s="6">
        <v>0.8584027886390686</v>
      </c>
      <c r="E156" s="1">
        <v>1</v>
      </c>
    </row>
    <row r="157" spans="2:5" x14ac:dyDescent="0.3">
      <c r="B157" s="6">
        <v>7.2942306287586689E-3</v>
      </c>
      <c r="C157" s="1">
        <v>0</v>
      </c>
      <c r="D157" s="6">
        <v>0.91177934408187866</v>
      </c>
      <c r="E157" s="1">
        <v>1</v>
      </c>
    </row>
    <row r="158" spans="2:5" x14ac:dyDescent="0.3">
      <c r="B158" s="6">
        <v>0.80642539262771606</v>
      </c>
      <c r="C158" s="1">
        <v>1</v>
      </c>
      <c r="D158" s="6">
        <v>0.70573484897613525</v>
      </c>
      <c r="E158" s="1">
        <v>1</v>
      </c>
    </row>
    <row r="159" spans="2:5" x14ac:dyDescent="0.3">
      <c r="B159" s="6">
        <v>4.3761096894741058E-2</v>
      </c>
      <c r="C159" s="1">
        <v>0</v>
      </c>
      <c r="D159" s="6">
        <v>0.75867527723312378</v>
      </c>
      <c r="E159" s="1">
        <v>1</v>
      </c>
    </row>
    <row r="160" spans="2:5" x14ac:dyDescent="0.3">
      <c r="B160" s="6">
        <v>0.59853219985961914</v>
      </c>
      <c r="C160" s="1">
        <v>1</v>
      </c>
      <c r="D160" s="6">
        <v>7.3633613064885139E-3</v>
      </c>
      <c r="E160" s="1">
        <v>0</v>
      </c>
    </row>
    <row r="161" spans="2:5" x14ac:dyDescent="0.3">
      <c r="B161" s="6">
        <v>0.3951742947101593</v>
      </c>
      <c r="C161" s="1">
        <v>0</v>
      </c>
      <c r="D161" s="6">
        <v>3.6684829741716378E-2</v>
      </c>
      <c r="E161" s="1">
        <v>0</v>
      </c>
    </row>
    <row r="162" spans="2:5" x14ac:dyDescent="0.3">
      <c r="B162" s="6">
        <v>0.75144702196121216</v>
      </c>
      <c r="C162" s="1">
        <v>1</v>
      </c>
      <c r="D162" s="6">
        <v>1.132276561111212E-2</v>
      </c>
      <c r="E162" s="1">
        <v>0</v>
      </c>
    </row>
    <row r="163" spans="2:5" x14ac:dyDescent="0.3">
      <c r="B163" s="6">
        <v>0.77322721481323242</v>
      </c>
      <c r="C163" s="1">
        <v>1</v>
      </c>
      <c r="D163" s="6">
        <v>6.9853782653808594E-2</v>
      </c>
      <c r="E163" s="1">
        <v>0</v>
      </c>
    </row>
    <row r="164" spans="2:5" x14ac:dyDescent="0.3">
      <c r="B164" s="6">
        <v>0.85022145509719849</v>
      </c>
      <c r="C164" s="1">
        <v>1</v>
      </c>
      <c r="D164" s="6">
        <v>2.3610226344317202E-3</v>
      </c>
      <c r="E164" s="1">
        <v>0</v>
      </c>
    </row>
    <row r="165" spans="2:5" x14ac:dyDescent="0.3">
      <c r="B165" s="6">
        <v>0.86359697580337524</v>
      </c>
      <c r="C165" s="1">
        <v>1</v>
      </c>
      <c r="D165" s="6">
        <v>0.77426010370254517</v>
      </c>
      <c r="E165" s="1">
        <v>1</v>
      </c>
    </row>
    <row r="166" spans="2:5" x14ac:dyDescent="0.3">
      <c r="B166" s="6">
        <v>0.57646644115447998</v>
      </c>
      <c r="C166" s="1">
        <v>1</v>
      </c>
      <c r="D166" s="6">
        <v>0.21805247664451599</v>
      </c>
      <c r="E166" s="1">
        <v>0</v>
      </c>
    </row>
    <row r="167" spans="2:5" x14ac:dyDescent="0.3">
      <c r="B167" s="6">
        <v>0.2069069892168045</v>
      </c>
      <c r="C167" s="1">
        <v>0</v>
      </c>
      <c r="D167" s="6">
        <v>0.80625277757644653</v>
      </c>
      <c r="E167" s="1">
        <v>1</v>
      </c>
    </row>
    <row r="168" spans="2:5" x14ac:dyDescent="0.3">
      <c r="B168" s="6">
        <v>0.1072147190570831</v>
      </c>
      <c r="C168" s="1">
        <v>0</v>
      </c>
      <c r="D168" s="6">
        <v>0.13984580338001251</v>
      </c>
      <c r="E168" s="1">
        <v>0</v>
      </c>
    </row>
    <row r="169" spans="2:5" x14ac:dyDescent="0.3">
      <c r="B169" s="6">
        <v>0.45192036032676702</v>
      </c>
      <c r="C169" s="1">
        <v>0</v>
      </c>
      <c r="D169" s="6">
        <v>0.92075264453887939</v>
      </c>
      <c r="E169" s="1">
        <v>1</v>
      </c>
    </row>
    <row r="170" spans="2:5" x14ac:dyDescent="0.3">
      <c r="B170" s="6">
        <v>0.56160879135131836</v>
      </c>
      <c r="C170" s="1">
        <v>1</v>
      </c>
      <c r="D170" s="6">
        <v>0.57723790407180786</v>
      </c>
      <c r="E170" s="1">
        <v>1</v>
      </c>
    </row>
    <row r="171" spans="2:5" x14ac:dyDescent="0.3">
      <c r="B171" s="6">
        <v>9.5930792391300201E-2</v>
      </c>
      <c r="C171" s="1">
        <v>0</v>
      </c>
      <c r="D171" s="6">
        <v>0.93513679504394531</v>
      </c>
      <c r="E171" s="1">
        <v>1</v>
      </c>
    </row>
    <row r="172" spans="2:5" x14ac:dyDescent="0.3">
      <c r="B172" s="6">
        <v>8.0352509394288063E-3</v>
      </c>
      <c r="C172" s="1">
        <v>0</v>
      </c>
      <c r="D172" s="6">
        <v>6.3778162002563477E-2</v>
      </c>
      <c r="E172" s="1">
        <v>0</v>
      </c>
    </row>
    <row r="173" spans="2:5" x14ac:dyDescent="0.3">
      <c r="B173" s="6">
        <v>0.50431364774703979</v>
      </c>
      <c r="C173" s="1">
        <v>1</v>
      </c>
      <c r="D173" s="6">
        <v>0.75663375854492188</v>
      </c>
      <c r="E173" s="1">
        <v>1</v>
      </c>
    </row>
    <row r="174" spans="2:5" x14ac:dyDescent="0.3">
      <c r="B174" s="6">
        <v>2.333984337747097E-2</v>
      </c>
      <c r="C174" s="1">
        <v>0</v>
      </c>
      <c r="D174" s="6">
        <v>0.34223559498786932</v>
      </c>
      <c r="E174" s="1">
        <v>0</v>
      </c>
    </row>
    <row r="175" spans="2:5" x14ac:dyDescent="0.3">
      <c r="B175" s="6">
        <v>0.76534080505371094</v>
      </c>
      <c r="C175" s="1">
        <v>1</v>
      </c>
      <c r="D175" s="6">
        <v>0.28677719831466669</v>
      </c>
      <c r="E175" s="1">
        <v>0</v>
      </c>
    </row>
    <row r="176" spans="2:5" x14ac:dyDescent="0.3">
      <c r="B176" s="6">
        <v>0.74916267395019531</v>
      </c>
      <c r="C176" s="1">
        <v>1</v>
      </c>
      <c r="D176" s="6">
        <v>0.37616568803787231</v>
      </c>
      <c r="E176" s="1">
        <v>0</v>
      </c>
    </row>
    <row r="177" spans="2:5" x14ac:dyDescent="0.3">
      <c r="B177" s="6">
        <v>0.28343364596366882</v>
      </c>
      <c r="C177" s="1">
        <v>0</v>
      </c>
      <c r="D177" s="6">
        <v>4.0836870670318597E-2</v>
      </c>
      <c r="E177" s="1">
        <v>0</v>
      </c>
    </row>
    <row r="178" spans="2:5" x14ac:dyDescent="0.3">
      <c r="B178" s="6">
        <v>0.13522207736968991</v>
      </c>
      <c r="C178" s="1">
        <v>0</v>
      </c>
      <c r="D178" s="6">
        <v>0.64195042848587036</v>
      </c>
      <c r="E178" s="1">
        <v>1</v>
      </c>
    </row>
    <row r="179" spans="2:5" x14ac:dyDescent="0.3">
      <c r="B179" s="6">
        <v>0.69494891166687012</v>
      </c>
      <c r="C179" s="1">
        <v>1</v>
      </c>
      <c r="D179" s="6">
        <v>0.86226218938827515</v>
      </c>
      <c r="E179" s="1">
        <v>1</v>
      </c>
    </row>
    <row r="180" spans="2:5" x14ac:dyDescent="0.3">
      <c r="B180" s="6">
        <v>0.80433869361877441</v>
      </c>
      <c r="C180" s="1">
        <v>1</v>
      </c>
      <c r="D180" s="6">
        <v>0.64885294437408447</v>
      </c>
      <c r="E180" s="1">
        <v>1</v>
      </c>
    </row>
    <row r="181" spans="2:5" x14ac:dyDescent="0.3">
      <c r="B181" s="6">
        <v>0.94223016500473022</v>
      </c>
      <c r="C181" s="1">
        <v>1</v>
      </c>
      <c r="D181" s="6">
        <v>0.17156282067298889</v>
      </c>
      <c r="E181" s="1">
        <v>0</v>
      </c>
    </row>
    <row r="182" spans="2:5" x14ac:dyDescent="0.3">
      <c r="B182" s="6">
        <v>1.8792508170008659E-2</v>
      </c>
      <c r="C182" s="1">
        <v>0</v>
      </c>
      <c r="D182" s="6">
        <v>7.7422201633453369E-2</v>
      </c>
      <c r="E182" s="1">
        <v>0</v>
      </c>
    </row>
    <row r="183" spans="2:5" x14ac:dyDescent="0.3">
      <c r="B183" s="6">
        <v>7.6931384392082691E-3</v>
      </c>
      <c r="C183" s="1">
        <v>0</v>
      </c>
      <c r="D183" s="6">
        <v>0.41531297564506531</v>
      </c>
      <c r="E183" s="1">
        <v>0</v>
      </c>
    </row>
    <row r="184" spans="2:5" x14ac:dyDescent="0.3">
      <c r="B184" s="6">
        <v>0.67759513854980469</v>
      </c>
      <c r="C184" s="1">
        <v>1</v>
      </c>
      <c r="D184" s="6">
        <v>0.34181234240531921</v>
      </c>
      <c r="E184" s="1">
        <v>0</v>
      </c>
    </row>
    <row r="185" spans="2:5" x14ac:dyDescent="0.3">
      <c r="B185" s="6">
        <v>0.79761916399002075</v>
      </c>
      <c r="C185" s="1">
        <v>1</v>
      </c>
      <c r="D185" s="6">
        <v>0.77266162633895874</v>
      </c>
      <c r="E185" s="1">
        <v>1</v>
      </c>
    </row>
    <row r="186" spans="2:5" x14ac:dyDescent="0.3">
      <c r="B186" s="6">
        <v>0.64979362487792969</v>
      </c>
      <c r="C186" s="1">
        <v>1</v>
      </c>
      <c r="D186" s="6">
        <v>0.38703674077987671</v>
      </c>
      <c r="E186" s="1">
        <v>0</v>
      </c>
    </row>
    <row r="187" spans="2:5" x14ac:dyDescent="0.3">
      <c r="B187" s="6">
        <v>7.4410960078239441E-2</v>
      </c>
      <c r="C187" s="1">
        <v>0</v>
      </c>
      <c r="D187" s="6">
        <v>7.061738520860672E-3</v>
      </c>
      <c r="E187" s="1">
        <v>0</v>
      </c>
    </row>
    <row r="188" spans="2:5" x14ac:dyDescent="0.3">
      <c r="B188" s="6">
        <v>0.64897215366363525</v>
      </c>
      <c r="C188" s="1">
        <v>1</v>
      </c>
      <c r="D188" s="6">
        <v>0.50240010023117065</v>
      </c>
      <c r="E188" s="1">
        <v>1</v>
      </c>
    </row>
    <row r="189" spans="2:5" x14ac:dyDescent="0.3">
      <c r="B189" s="6">
        <v>0.42455598711967468</v>
      </c>
      <c r="C189" s="1">
        <v>0</v>
      </c>
      <c r="D189" s="6">
        <v>0.88271015882492065</v>
      </c>
      <c r="E189" s="1">
        <v>1</v>
      </c>
    </row>
    <row r="190" spans="2:5" x14ac:dyDescent="0.3">
      <c r="B190" s="6">
        <v>1.0280030779540541E-2</v>
      </c>
      <c r="C190" s="1">
        <v>0</v>
      </c>
      <c r="D190" s="6">
        <v>0.78593456745147705</v>
      </c>
      <c r="E190" s="1">
        <v>1</v>
      </c>
    </row>
    <row r="191" spans="2:5" x14ac:dyDescent="0.3">
      <c r="B191" s="6">
        <v>0.45582631230354309</v>
      </c>
      <c r="C191" s="1">
        <v>0</v>
      </c>
      <c r="D191" s="6">
        <v>0.62661629915237427</v>
      </c>
      <c r="E191" s="1">
        <v>1</v>
      </c>
    </row>
    <row r="192" spans="2:5" x14ac:dyDescent="0.3">
      <c r="B192" s="6">
        <v>0.88373833894729614</v>
      </c>
      <c r="C192" s="1">
        <v>1</v>
      </c>
      <c r="D192" s="6">
        <v>0.89143413305282593</v>
      </c>
      <c r="E192" s="1">
        <v>1</v>
      </c>
    </row>
    <row r="193" spans="2:5" x14ac:dyDescent="0.3">
      <c r="B193" s="6">
        <v>0.88014286756515503</v>
      </c>
      <c r="C193" s="1">
        <v>1</v>
      </c>
      <c r="D193" s="6">
        <v>0.87901896238327026</v>
      </c>
      <c r="E193" s="1">
        <v>1</v>
      </c>
    </row>
    <row r="194" spans="2:5" x14ac:dyDescent="0.3">
      <c r="B194" s="6">
        <v>0.70914965867996216</v>
      </c>
      <c r="C194" s="1">
        <v>1</v>
      </c>
      <c r="D194" s="6">
        <v>0.72797507047653198</v>
      </c>
      <c r="E194" s="1">
        <v>1</v>
      </c>
    </row>
    <row r="195" spans="2:5" x14ac:dyDescent="0.3">
      <c r="B195" s="6">
        <v>1.1939916759729391E-2</v>
      </c>
      <c r="C195" s="1">
        <v>0</v>
      </c>
      <c r="D195" s="6">
        <v>0.68872731924057007</v>
      </c>
      <c r="E195" s="1">
        <v>1</v>
      </c>
    </row>
    <row r="196" spans="2:5" x14ac:dyDescent="0.3">
      <c r="B196" s="6">
        <v>6.3797689974308014E-2</v>
      </c>
      <c r="C196" s="1">
        <v>0</v>
      </c>
      <c r="D196" s="6">
        <v>0.1038660705089569</v>
      </c>
      <c r="E196" s="1">
        <v>0</v>
      </c>
    </row>
    <row r="197" spans="2:5" x14ac:dyDescent="0.3">
      <c r="B197" s="6">
        <v>0.9775010347366333</v>
      </c>
      <c r="C197" s="1">
        <v>1</v>
      </c>
      <c r="D197" s="6">
        <v>7.7483956702053547E-3</v>
      </c>
      <c r="E197" s="1">
        <v>0</v>
      </c>
    </row>
    <row r="198" spans="2:5" x14ac:dyDescent="0.3">
      <c r="B198" s="6">
        <v>5.2084594964981079E-2</v>
      </c>
      <c r="C198" s="1">
        <v>0</v>
      </c>
      <c r="D198" s="6">
        <v>0.11218166351318359</v>
      </c>
      <c r="E198" s="1">
        <v>0</v>
      </c>
    </row>
    <row r="199" spans="2:5" x14ac:dyDescent="0.3">
      <c r="B199" s="6">
        <v>0.57316100597381592</v>
      </c>
      <c r="C199" s="1">
        <v>1</v>
      </c>
      <c r="D199" s="6">
        <v>0.72581034898757935</v>
      </c>
      <c r="E199" s="1">
        <v>1</v>
      </c>
    </row>
    <row r="200" spans="2:5" x14ac:dyDescent="0.3">
      <c r="B200" s="6">
        <v>0.82694852352142334</v>
      </c>
      <c r="C200" s="1">
        <v>1</v>
      </c>
      <c r="D200" s="6">
        <v>1.2699741870164869E-2</v>
      </c>
      <c r="E200" s="1">
        <v>0</v>
      </c>
    </row>
    <row r="201" spans="2:5" x14ac:dyDescent="0.3">
      <c r="B201" s="6">
        <v>0.97606432437896729</v>
      </c>
      <c r="C201" s="1">
        <v>1</v>
      </c>
      <c r="D201" s="6">
        <v>4.5235357247293004E-3</v>
      </c>
      <c r="E201" s="1">
        <v>0</v>
      </c>
    </row>
    <row r="202" spans="2:5" x14ac:dyDescent="0.3">
      <c r="B202" s="6">
        <v>0.81241405010223389</v>
      </c>
      <c r="C202" s="1">
        <v>1</v>
      </c>
      <c r="D202" s="6">
        <v>0.71476560831069946</v>
      </c>
      <c r="E202" s="1">
        <v>1</v>
      </c>
    </row>
    <row r="203" spans="2:5" x14ac:dyDescent="0.3">
      <c r="B203" s="6">
        <v>0.39860153198242188</v>
      </c>
      <c r="C203" s="1">
        <v>0</v>
      </c>
      <c r="D203" s="6">
        <v>0.79702496528625488</v>
      </c>
      <c r="E203" s="1">
        <v>1</v>
      </c>
    </row>
    <row r="204" spans="2:5" x14ac:dyDescent="0.3">
      <c r="B204" s="6">
        <v>0.50210452079772949</v>
      </c>
      <c r="C204" s="1">
        <v>1</v>
      </c>
      <c r="D204" s="6">
        <v>0.26188984513282781</v>
      </c>
      <c r="E204" s="1">
        <v>0</v>
      </c>
    </row>
    <row r="205" spans="2:5" x14ac:dyDescent="0.3">
      <c r="B205" s="6">
        <v>0.26404204964637762</v>
      </c>
      <c r="C205" s="1">
        <v>0</v>
      </c>
      <c r="D205" s="6">
        <v>2.7737445197999482E-3</v>
      </c>
      <c r="E205" s="1">
        <v>0</v>
      </c>
    </row>
    <row r="206" spans="2:5" x14ac:dyDescent="0.3">
      <c r="B206" s="6">
        <v>0.19129191339015961</v>
      </c>
      <c r="C206" s="1">
        <v>0</v>
      </c>
      <c r="D206" s="6">
        <v>0.80648010969161987</v>
      </c>
      <c r="E206" s="1">
        <v>1</v>
      </c>
    </row>
    <row r="207" spans="2:5" x14ac:dyDescent="0.3">
      <c r="B207" s="6">
        <v>0.82310700416564941</v>
      </c>
      <c r="C207" s="1">
        <v>1</v>
      </c>
      <c r="D207" s="6">
        <v>0.13485780358314511</v>
      </c>
      <c r="E207" s="1">
        <v>0</v>
      </c>
    </row>
    <row r="208" spans="2:5" x14ac:dyDescent="0.3">
      <c r="B208" s="6">
        <v>0.17154338955879209</v>
      </c>
      <c r="C208" s="1">
        <v>0</v>
      </c>
      <c r="D208" s="6">
        <v>0.77977794408798218</v>
      </c>
      <c r="E208" s="1">
        <v>1</v>
      </c>
    </row>
    <row r="209" spans="2:5" x14ac:dyDescent="0.3">
      <c r="B209" s="6">
        <v>0.81060373783111572</v>
      </c>
      <c r="C209" s="1">
        <v>1</v>
      </c>
      <c r="D209" s="6">
        <v>0.55338722467422485</v>
      </c>
      <c r="E209" s="1">
        <v>1</v>
      </c>
    </row>
    <row r="210" spans="2:5" x14ac:dyDescent="0.3">
      <c r="B210" s="6">
        <v>0.5863679051399231</v>
      </c>
      <c r="C210" s="1">
        <v>1</v>
      </c>
      <c r="D210" s="6">
        <v>0.58987033367156982</v>
      </c>
      <c r="E210" s="1">
        <v>1</v>
      </c>
    </row>
    <row r="211" spans="2:5" x14ac:dyDescent="0.3">
      <c r="B211" s="6">
        <v>0.86504197120666504</v>
      </c>
      <c r="C211" s="1">
        <v>1</v>
      </c>
      <c r="D211" s="6">
        <v>4.3646566569805152E-2</v>
      </c>
      <c r="E211" s="1">
        <v>0</v>
      </c>
    </row>
    <row r="212" spans="2:5" x14ac:dyDescent="0.3">
      <c r="B212" s="6">
        <v>0.91639113426208496</v>
      </c>
      <c r="C212" s="1">
        <v>1</v>
      </c>
      <c r="D212" s="6">
        <v>1.066957041621208E-2</v>
      </c>
      <c r="E212" s="1">
        <v>0</v>
      </c>
    </row>
    <row r="213" spans="2:5" x14ac:dyDescent="0.3">
      <c r="B213" s="6">
        <v>7.1182465180754662E-3</v>
      </c>
      <c r="C213" s="1">
        <v>0</v>
      </c>
      <c r="D213" s="6">
        <v>0.87219405174255371</v>
      </c>
      <c r="E213" s="1">
        <v>1</v>
      </c>
    </row>
    <row r="214" spans="2:5" x14ac:dyDescent="0.3">
      <c r="B214" s="6">
        <v>0.22238770127296451</v>
      </c>
      <c r="C214" s="1">
        <v>0</v>
      </c>
      <c r="D214" s="6">
        <v>0.1411233842372894</v>
      </c>
      <c r="E214" s="1">
        <v>0</v>
      </c>
    </row>
    <row r="215" spans="2:5" x14ac:dyDescent="0.3">
      <c r="B215" s="6">
        <v>0.64790964126586914</v>
      </c>
      <c r="C215" s="1">
        <v>1</v>
      </c>
      <c r="D215" s="6">
        <v>6.7583493888378143E-2</v>
      </c>
      <c r="E215" s="1">
        <v>0</v>
      </c>
    </row>
    <row r="216" spans="2:5" x14ac:dyDescent="0.3">
      <c r="B216" s="6">
        <v>0.80076086521148682</v>
      </c>
      <c r="C216" s="1">
        <v>1</v>
      </c>
      <c r="D216" s="6">
        <v>0.90074348449707031</v>
      </c>
      <c r="E216" s="1">
        <v>1</v>
      </c>
    </row>
    <row r="217" spans="2:5" x14ac:dyDescent="0.3">
      <c r="B217" s="6">
        <v>8.3228712901473045E-3</v>
      </c>
      <c r="C217" s="1">
        <v>0</v>
      </c>
      <c r="D217" s="6">
        <v>8.4608430042862892E-3</v>
      </c>
      <c r="E217" s="1">
        <v>0</v>
      </c>
    </row>
    <row r="218" spans="2:5" x14ac:dyDescent="0.3">
      <c r="B218" s="6">
        <v>1.140905264765024E-2</v>
      </c>
      <c r="C218" s="1">
        <v>0</v>
      </c>
      <c r="D218" s="6">
        <v>0.6342809796333313</v>
      </c>
      <c r="E218" s="1">
        <v>1</v>
      </c>
    </row>
    <row r="219" spans="2:5" x14ac:dyDescent="0.3">
      <c r="B219" s="6">
        <v>1.853812113404274E-2</v>
      </c>
      <c r="C219" s="1">
        <v>0</v>
      </c>
      <c r="D219" s="6">
        <v>0.208802729845047</v>
      </c>
      <c r="E219" s="1">
        <v>0</v>
      </c>
    </row>
    <row r="220" spans="2:5" x14ac:dyDescent="0.3">
      <c r="B220" s="6">
        <v>0.36253651976585388</v>
      </c>
      <c r="C220" s="1">
        <v>0</v>
      </c>
      <c r="D220" s="6">
        <v>0.80880904197692871</v>
      </c>
      <c r="E220" s="1">
        <v>1</v>
      </c>
    </row>
    <row r="221" spans="2:5" x14ac:dyDescent="0.3">
      <c r="B221" s="6">
        <v>4.3053156696259984E-3</v>
      </c>
      <c r="C221" s="1">
        <v>0</v>
      </c>
      <c r="D221" s="6">
        <v>0.8982013463973999</v>
      </c>
      <c r="E221" s="1">
        <v>1</v>
      </c>
    </row>
    <row r="222" spans="2:5" x14ac:dyDescent="0.3">
      <c r="B222" s="6">
        <v>5.4988261312246323E-2</v>
      </c>
      <c r="C222" s="1">
        <v>0</v>
      </c>
      <c r="D222" s="6">
        <v>2.2255531512200828E-3</v>
      </c>
      <c r="E222" s="1">
        <v>0</v>
      </c>
    </row>
    <row r="223" spans="2:5" x14ac:dyDescent="0.3">
      <c r="B223" s="6">
        <v>0.87596189975738525</v>
      </c>
      <c r="C223" s="1">
        <v>1</v>
      </c>
      <c r="D223" s="6">
        <v>1.038278639316559E-2</v>
      </c>
      <c r="E223" s="1">
        <v>0</v>
      </c>
    </row>
    <row r="224" spans="2:5" x14ac:dyDescent="0.3">
      <c r="B224" s="6">
        <v>1.2403996661305429E-2</v>
      </c>
      <c r="C224" s="1">
        <v>0</v>
      </c>
      <c r="D224" s="6">
        <v>0.66174525022506714</v>
      </c>
      <c r="E224" s="1">
        <v>1</v>
      </c>
    </row>
    <row r="225" spans="2:5" x14ac:dyDescent="0.3">
      <c r="B225" s="6">
        <v>0.89105826616287231</v>
      </c>
      <c r="C225" s="1">
        <v>1</v>
      </c>
      <c r="D225" s="6">
        <v>7.4016409926116467E-3</v>
      </c>
      <c r="E225" s="1">
        <v>0</v>
      </c>
    </row>
    <row r="226" spans="2:5" x14ac:dyDescent="0.3">
      <c r="B226" s="6">
        <v>0.96295642852783203</v>
      </c>
      <c r="C226" s="1">
        <v>1</v>
      </c>
      <c r="D226" s="6">
        <v>9.7622191533446312E-3</v>
      </c>
      <c r="E226" s="1">
        <v>0</v>
      </c>
    </row>
    <row r="227" spans="2:5" x14ac:dyDescent="0.3">
      <c r="B227" s="6">
        <v>9.7124360501766205E-2</v>
      </c>
      <c r="C227" s="1">
        <v>0</v>
      </c>
      <c r="D227" s="6">
        <v>0.4336254894733429</v>
      </c>
      <c r="E227" s="1">
        <v>0</v>
      </c>
    </row>
    <row r="228" spans="2:5" x14ac:dyDescent="0.3">
      <c r="B228" s="6">
        <v>0.10242320597171781</v>
      </c>
      <c r="C228" s="1">
        <v>0</v>
      </c>
      <c r="D228" s="6">
        <v>0.84859633445739746</v>
      </c>
      <c r="E228" s="1">
        <v>1</v>
      </c>
    </row>
    <row r="229" spans="2:5" x14ac:dyDescent="0.3">
      <c r="B229" s="6">
        <v>6.7451749928295612E-3</v>
      </c>
      <c r="C229" s="1">
        <v>0</v>
      </c>
      <c r="D229" s="6">
        <v>0.90456855297088623</v>
      </c>
      <c r="E229" s="1">
        <v>1</v>
      </c>
    </row>
    <row r="230" spans="2:5" x14ac:dyDescent="0.3">
      <c r="B230" s="6">
        <v>4.2986679822206497E-2</v>
      </c>
      <c r="C230" s="1">
        <v>0</v>
      </c>
      <c r="D230" s="6">
        <v>0.93425196409225464</v>
      </c>
      <c r="E230" s="1">
        <v>1</v>
      </c>
    </row>
    <row r="231" spans="2:5" x14ac:dyDescent="0.3">
      <c r="B231" s="6">
        <v>5.2411900833249092E-3</v>
      </c>
      <c r="C231" s="1">
        <v>0</v>
      </c>
      <c r="D231" s="6">
        <v>0.93527865409851074</v>
      </c>
      <c r="E231" s="1">
        <v>1</v>
      </c>
    </row>
    <row r="232" spans="2:5" x14ac:dyDescent="0.3">
      <c r="B232" s="6">
        <v>1.168626639991999E-2</v>
      </c>
      <c r="C232" s="1">
        <v>0</v>
      </c>
      <c r="D232" s="1"/>
      <c r="E232" s="1"/>
    </row>
    <row r="233" spans="2:5" x14ac:dyDescent="0.3">
      <c r="B233" s="6">
        <v>0.92977368831634521</v>
      </c>
      <c r="C233" s="1">
        <v>1</v>
      </c>
      <c r="D233" s="1"/>
      <c r="E233" s="1"/>
    </row>
    <row r="234" spans="2:5" x14ac:dyDescent="0.3">
      <c r="B234" s="6">
        <v>0.81558936834335327</v>
      </c>
      <c r="C234" s="1">
        <v>1</v>
      </c>
      <c r="D234" s="1"/>
      <c r="E234" s="1"/>
    </row>
    <row r="235" spans="2:5" x14ac:dyDescent="0.3">
      <c r="B235" s="6">
        <v>7.8376950696110725E-3</v>
      </c>
      <c r="C235" s="1">
        <v>0</v>
      </c>
      <c r="D235" s="1"/>
      <c r="E235" s="1"/>
    </row>
    <row r="236" spans="2:5" x14ac:dyDescent="0.3">
      <c r="B236" s="6">
        <v>6.2526702880859375E-2</v>
      </c>
      <c r="C236" s="1">
        <v>0</v>
      </c>
      <c r="D236" s="1"/>
      <c r="E236" s="1"/>
    </row>
    <row r="237" spans="2:5" x14ac:dyDescent="0.3">
      <c r="B237" s="6">
        <v>0.44010061025619512</v>
      </c>
      <c r="C237" s="1">
        <v>0</v>
      </c>
      <c r="D237" s="1"/>
      <c r="E237" s="1"/>
    </row>
    <row r="238" spans="2:5" x14ac:dyDescent="0.3">
      <c r="B238" s="6">
        <v>0.49967566132545471</v>
      </c>
      <c r="C238" s="1">
        <v>0</v>
      </c>
      <c r="D238" s="1"/>
      <c r="E238" s="1"/>
    </row>
    <row r="239" spans="2:5" x14ac:dyDescent="0.3">
      <c r="B239" s="6">
        <v>0.90225118398666382</v>
      </c>
      <c r="C239" s="1">
        <v>1</v>
      </c>
      <c r="D239" s="1"/>
      <c r="E239" s="1"/>
    </row>
    <row r="240" spans="2:5" x14ac:dyDescent="0.3">
      <c r="B240" s="6">
        <v>0.8789096474647522</v>
      </c>
      <c r="C240" s="1">
        <v>1</v>
      </c>
      <c r="D240" s="1"/>
      <c r="E240" s="1"/>
    </row>
    <row r="241" spans="2:5" x14ac:dyDescent="0.3">
      <c r="B241" s="6">
        <v>2.6417765766382221E-2</v>
      </c>
      <c r="C241" s="1">
        <v>0</v>
      </c>
      <c r="D241" s="1"/>
      <c r="E241" s="1"/>
    </row>
    <row r="242" spans="2:5" x14ac:dyDescent="0.3">
      <c r="B242" s="6">
        <v>5.4406528361141682E-3</v>
      </c>
      <c r="C242" s="1">
        <v>0</v>
      </c>
      <c r="D242" s="1"/>
      <c r="E242" s="1"/>
    </row>
    <row r="243" spans="2:5" x14ac:dyDescent="0.3">
      <c r="B243" s="6">
        <v>2.008132450282574E-2</v>
      </c>
      <c r="C243" s="1">
        <v>0</v>
      </c>
      <c r="D243" s="1"/>
      <c r="E243" s="1"/>
    </row>
    <row r="244" spans="2:5" x14ac:dyDescent="0.3">
      <c r="B244" s="6">
        <v>0.1327877938747406</v>
      </c>
      <c r="C244" s="1">
        <v>0</v>
      </c>
      <c r="D244" s="1"/>
      <c r="E244" s="1"/>
    </row>
    <row r="245" spans="2:5" x14ac:dyDescent="0.3">
      <c r="B245" s="6">
        <v>0.84821730852127075</v>
      </c>
      <c r="C245" s="1">
        <v>1</v>
      </c>
      <c r="D245" s="1"/>
      <c r="E245" s="1"/>
    </row>
    <row r="246" spans="2:5" x14ac:dyDescent="0.3">
      <c r="B246" s="6">
        <v>0.93706238269805908</v>
      </c>
      <c r="C246" s="1">
        <v>1</v>
      </c>
      <c r="D246" s="1"/>
      <c r="E246" s="1"/>
    </row>
    <row r="247" spans="2:5" x14ac:dyDescent="0.3">
      <c r="B247" s="6">
        <v>0.9474828839302063</v>
      </c>
      <c r="C247" s="1">
        <v>1</v>
      </c>
      <c r="D247" s="1"/>
      <c r="E247" s="1"/>
    </row>
    <row r="248" spans="2:5" x14ac:dyDescent="0.3">
      <c r="B248" s="6">
        <v>0.68211358785629272</v>
      </c>
      <c r="C248" s="1">
        <v>1</v>
      </c>
      <c r="D248" s="1"/>
      <c r="E248" s="1"/>
    </row>
    <row r="249" spans="2:5" x14ac:dyDescent="0.3">
      <c r="B249" s="6">
        <v>0.89348649978637695</v>
      </c>
      <c r="C249" s="1">
        <v>1</v>
      </c>
      <c r="D249" s="1"/>
      <c r="E249" s="1"/>
    </row>
    <row r="250" spans="2:5" x14ac:dyDescent="0.3">
      <c r="B250" s="6">
        <v>0.91050475835800171</v>
      </c>
      <c r="C250" s="1">
        <v>1</v>
      </c>
      <c r="D250" s="1"/>
      <c r="E250" s="1"/>
    </row>
    <row r="251" spans="2:5" x14ac:dyDescent="0.3">
      <c r="B251" s="6">
        <v>0.64123040437698364</v>
      </c>
      <c r="C251" s="1">
        <v>1</v>
      </c>
      <c r="D251" s="1"/>
      <c r="E251" s="1"/>
    </row>
    <row r="252" spans="2:5" x14ac:dyDescent="0.3">
      <c r="B252" s="6">
        <v>0.72056037187576294</v>
      </c>
      <c r="C252" s="1">
        <v>1</v>
      </c>
      <c r="D252" s="1"/>
      <c r="E252" s="1"/>
    </row>
    <row r="253" spans="2:5" x14ac:dyDescent="0.3">
      <c r="B253" s="6">
        <v>0.74946707487106323</v>
      </c>
      <c r="C253" s="1">
        <v>1</v>
      </c>
      <c r="D253" s="1"/>
      <c r="E253" s="1"/>
    </row>
    <row r="254" spans="2:5" x14ac:dyDescent="0.3">
      <c r="B254" s="6">
        <v>4.8138648271560669E-2</v>
      </c>
      <c r="C254" s="1">
        <v>0</v>
      </c>
      <c r="D254" s="1"/>
      <c r="E254" s="1"/>
    </row>
    <row r="255" spans="2:5" x14ac:dyDescent="0.3">
      <c r="B255" s="6">
        <v>0.85311704874038696</v>
      </c>
      <c r="C255" s="1">
        <v>1</v>
      </c>
      <c r="D255" s="1"/>
      <c r="E255" s="1"/>
    </row>
    <row r="256" spans="2:5" x14ac:dyDescent="0.3">
      <c r="B256" s="6">
        <v>0.8280404806137085</v>
      </c>
      <c r="C256" s="1">
        <v>1</v>
      </c>
      <c r="D256" s="1"/>
      <c r="E256" s="1"/>
    </row>
    <row r="257" spans="2:5" x14ac:dyDescent="0.3">
      <c r="B257" s="6">
        <v>0.57425463199615479</v>
      </c>
      <c r="C257" s="1">
        <v>1</v>
      </c>
      <c r="D257" s="1"/>
      <c r="E257" s="1"/>
    </row>
    <row r="258" spans="2:5" x14ac:dyDescent="0.3">
      <c r="B258" s="6">
        <v>0.74199074506759644</v>
      </c>
      <c r="C258" s="1">
        <v>1</v>
      </c>
      <c r="D258" s="1"/>
      <c r="E258" s="1"/>
    </row>
    <row r="259" spans="2:5" x14ac:dyDescent="0.3">
      <c r="B259" s="6">
        <v>0.73930704593658447</v>
      </c>
      <c r="C259" s="1">
        <v>1</v>
      </c>
      <c r="D259" s="1"/>
      <c r="E259" s="1"/>
    </row>
    <row r="260" spans="2:5" x14ac:dyDescent="0.3">
      <c r="B260" s="6">
        <v>0.1101784259080887</v>
      </c>
      <c r="C260" s="1">
        <v>0</v>
      </c>
      <c r="D260" s="1"/>
      <c r="E260" s="1"/>
    </row>
    <row r="261" spans="2:5" x14ac:dyDescent="0.3">
      <c r="B261" s="6">
        <v>3.5787951201200492E-2</v>
      </c>
      <c r="C261" s="1">
        <v>0</v>
      </c>
      <c r="D261" s="1"/>
      <c r="E261" s="1"/>
    </row>
    <row r="262" spans="2:5" x14ac:dyDescent="0.3">
      <c r="B262" s="6">
        <v>0.46526628732681269</v>
      </c>
      <c r="C262" s="1">
        <v>0</v>
      </c>
      <c r="D262" s="1"/>
      <c r="E262" s="1"/>
    </row>
    <row r="263" spans="2:5" x14ac:dyDescent="0.3">
      <c r="B263" s="6">
        <v>0.22457580268383029</v>
      </c>
      <c r="C263" s="1">
        <v>0</v>
      </c>
      <c r="D263" s="1"/>
      <c r="E263" s="1"/>
    </row>
    <row r="264" spans="2:5" x14ac:dyDescent="0.3">
      <c r="B264" s="6">
        <v>1.5576479956507679E-2</v>
      </c>
      <c r="C264" s="1">
        <v>0</v>
      </c>
      <c r="D264" s="1"/>
      <c r="E264" s="1"/>
    </row>
    <row r="265" spans="2:5" x14ac:dyDescent="0.3">
      <c r="B265" s="6">
        <v>0.15159815549850461</v>
      </c>
      <c r="C265" s="1">
        <v>0</v>
      </c>
      <c r="D265" s="1"/>
      <c r="E265" s="1"/>
    </row>
    <row r="266" spans="2:5" x14ac:dyDescent="0.3">
      <c r="B266" s="6">
        <v>0.85938495397567749</v>
      </c>
      <c r="C266" s="1">
        <v>1</v>
      </c>
      <c r="D266" s="1"/>
      <c r="E266" s="1"/>
    </row>
    <row r="267" spans="2:5" x14ac:dyDescent="0.3">
      <c r="B267" s="6">
        <v>3.7383509334176779E-3</v>
      </c>
      <c r="C267" s="1">
        <v>0</v>
      </c>
      <c r="D267" s="1"/>
      <c r="E267" s="1"/>
    </row>
    <row r="268" spans="2:5" x14ac:dyDescent="0.3">
      <c r="B268" s="6">
        <v>0.13253085315227511</v>
      </c>
      <c r="C268" s="1">
        <v>0</v>
      </c>
      <c r="D268" s="1"/>
      <c r="E268" s="1"/>
    </row>
    <row r="269" spans="2:5" x14ac:dyDescent="0.3">
      <c r="B269" s="6">
        <v>0.83249646425247192</v>
      </c>
      <c r="C269" s="1">
        <v>1</v>
      </c>
      <c r="D269" s="1"/>
      <c r="E269" s="1"/>
    </row>
    <row r="270" spans="2:5" x14ac:dyDescent="0.3">
      <c r="B270" s="6">
        <v>0.30059006810188288</v>
      </c>
      <c r="C270" s="1">
        <v>0</v>
      </c>
      <c r="D270" s="1"/>
      <c r="E270" s="1"/>
    </row>
    <row r="271" spans="2:5" x14ac:dyDescent="0.3">
      <c r="B271" s="6">
        <v>8.515460416674614E-3</v>
      </c>
      <c r="C271" s="1">
        <v>0</v>
      </c>
      <c r="D271" s="1"/>
      <c r="E271" s="1"/>
    </row>
    <row r="272" spans="2:5" x14ac:dyDescent="0.3">
      <c r="B272" s="6">
        <v>1.1874770745635029E-2</v>
      </c>
      <c r="C272" s="1">
        <v>0</v>
      </c>
      <c r="D272" s="1"/>
      <c r="E272" s="1"/>
    </row>
    <row r="273" spans="2:5" x14ac:dyDescent="0.3">
      <c r="B273" s="6">
        <v>0.80784213542938232</v>
      </c>
      <c r="C273" s="1">
        <v>1</v>
      </c>
      <c r="D273" s="1"/>
      <c r="E273" s="1"/>
    </row>
    <row r="274" spans="2:5" x14ac:dyDescent="0.3">
      <c r="B274" s="6">
        <v>0.93813937902450562</v>
      </c>
      <c r="C274" s="1">
        <v>1</v>
      </c>
      <c r="D274" s="1"/>
      <c r="E274" s="1"/>
    </row>
    <row r="275" spans="2:5" x14ac:dyDescent="0.3">
      <c r="B275" s="6">
        <v>0.89615869522094727</v>
      </c>
      <c r="C275" s="1">
        <v>1</v>
      </c>
      <c r="D275" s="1"/>
      <c r="E275" s="1"/>
    </row>
    <row r="276" spans="2:5" x14ac:dyDescent="0.3">
      <c r="B276" s="6">
        <v>0.22081620991230011</v>
      </c>
      <c r="C276" s="1">
        <v>0</v>
      </c>
      <c r="D276" s="1"/>
      <c r="E276" s="1"/>
    </row>
    <row r="277" spans="2:5" x14ac:dyDescent="0.3">
      <c r="B277" s="6">
        <v>5.1947399042546749E-3</v>
      </c>
      <c r="C277" s="1">
        <v>0</v>
      </c>
      <c r="D277" s="1"/>
      <c r="E277" s="1"/>
    </row>
    <row r="278" spans="2:5" x14ac:dyDescent="0.3">
      <c r="B278" s="6">
        <v>2.3827608674764629E-3</v>
      </c>
      <c r="C278" s="1">
        <v>0</v>
      </c>
      <c r="D278" s="1"/>
      <c r="E278" s="1"/>
    </row>
    <row r="279" spans="2:5" x14ac:dyDescent="0.3">
      <c r="B279" s="6">
        <v>0.82638257741928101</v>
      </c>
      <c r="C279" s="1">
        <v>1</v>
      </c>
      <c r="D279" s="1"/>
      <c r="E279" s="1"/>
    </row>
    <row r="280" spans="2:5" x14ac:dyDescent="0.3">
      <c r="B280" s="6">
        <v>0.1042306646704674</v>
      </c>
      <c r="C280" s="1">
        <v>0</v>
      </c>
      <c r="D280" s="1"/>
      <c r="E280" s="1"/>
    </row>
    <row r="281" spans="2:5" x14ac:dyDescent="0.3">
      <c r="B281" s="6">
        <v>2.3050848394632339E-2</v>
      </c>
      <c r="C281" s="1">
        <v>0</v>
      </c>
      <c r="D281" s="1"/>
      <c r="E281" s="1"/>
    </row>
    <row r="282" spans="2:5" x14ac:dyDescent="0.3">
      <c r="B282" s="6">
        <v>5.0973504781723022E-2</v>
      </c>
      <c r="C282" s="1">
        <v>0</v>
      </c>
      <c r="D282" s="1"/>
      <c r="E282" s="1"/>
    </row>
    <row r="283" spans="2:5" x14ac:dyDescent="0.3">
      <c r="B283" s="6">
        <v>3.799996804445982E-3</v>
      </c>
      <c r="C283" s="1">
        <v>0</v>
      </c>
      <c r="D283" s="1"/>
      <c r="E283" s="1"/>
    </row>
    <row r="284" spans="2:5" x14ac:dyDescent="0.3">
      <c r="B284" s="6">
        <v>0.29326552152633673</v>
      </c>
      <c r="C284" s="1">
        <v>0</v>
      </c>
      <c r="D284" s="1"/>
      <c r="E284" s="1"/>
    </row>
    <row r="285" spans="2:5" x14ac:dyDescent="0.3">
      <c r="B285" s="6">
        <v>0.94071775674819946</v>
      </c>
      <c r="C285" s="1">
        <v>1</v>
      </c>
      <c r="D285" s="1"/>
      <c r="E285" s="1"/>
    </row>
    <row r="286" spans="2:5" x14ac:dyDescent="0.3">
      <c r="B286" s="6">
        <v>0.91746890544891357</v>
      </c>
      <c r="C286" s="1">
        <v>1</v>
      </c>
      <c r="D286" s="1"/>
      <c r="E286" s="1"/>
    </row>
    <row r="287" spans="2:5" x14ac:dyDescent="0.3">
      <c r="B287" s="6">
        <v>0.89573913812637329</v>
      </c>
      <c r="C287" s="1">
        <v>1</v>
      </c>
      <c r="D287" s="1"/>
      <c r="E287" s="1"/>
    </row>
    <row r="288" spans="2:5" x14ac:dyDescent="0.3">
      <c r="B288" s="6">
        <v>0.94497817754745483</v>
      </c>
      <c r="C288" s="1">
        <v>1</v>
      </c>
      <c r="D288" s="1"/>
      <c r="E288" s="1"/>
    </row>
    <row r="289" spans="2:5" x14ac:dyDescent="0.3">
      <c r="B289" s="6">
        <v>0.95670777559280396</v>
      </c>
      <c r="C289" s="1">
        <v>1</v>
      </c>
      <c r="D289" s="1"/>
      <c r="E289" s="1"/>
    </row>
    <row r="290" spans="2:5" x14ac:dyDescent="0.3">
      <c r="B290" s="6">
        <v>0.68531835079193115</v>
      </c>
      <c r="C290" s="1">
        <v>1</v>
      </c>
      <c r="D290" s="1"/>
      <c r="E290" s="1"/>
    </row>
    <row r="291" spans="2:5" x14ac:dyDescent="0.3">
      <c r="B291" s="6">
        <v>1.366317505016923E-3</v>
      </c>
      <c r="C291" s="1">
        <v>0</v>
      </c>
      <c r="D291" s="1"/>
      <c r="E291" s="1"/>
    </row>
    <row r="292" spans="2:5" x14ac:dyDescent="0.3">
      <c r="B292" s="6">
        <v>0.90379881858825684</v>
      </c>
      <c r="C292" s="1">
        <v>1</v>
      </c>
      <c r="D292" s="1"/>
      <c r="E292" s="1"/>
    </row>
    <row r="293" spans="2:5" x14ac:dyDescent="0.3">
      <c r="B293" s="6">
        <v>0.87022221088409424</v>
      </c>
      <c r="C293" s="1">
        <v>1</v>
      </c>
      <c r="D293" s="1"/>
      <c r="E293" s="1"/>
    </row>
    <row r="294" spans="2:5" x14ac:dyDescent="0.3">
      <c r="B294" s="6">
        <v>0.24716770648956299</v>
      </c>
      <c r="C294" s="1">
        <v>0</v>
      </c>
      <c r="D294" s="1"/>
      <c r="E294" s="1"/>
    </row>
    <row r="295" spans="2:5" x14ac:dyDescent="0.3">
      <c r="B295" s="6">
        <v>3.2642785459756851E-2</v>
      </c>
      <c r="C295" s="1">
        <v>0</v>
      </c>
      <c r="D295" s="1"/>
      <c r="E295" s="1"/>
    </row>
    <row r="296" spans="2:5" x14ac:dyDescent="0.3">
      <c r="B296" s="6">
        <v>0.1212825030088425</v>
      </c>
      <c r="C296" s="1">
        <v>0</v>
      </c>
      <c r="D296" s="1"/>
      <c r="E296" s="1"/>
    </row>
    <row r="297" spans="2:5" x14ac:dyDescent="0.3">
      <c r="B297" s="6">
        <v>0.87048971652984619</v>
      </c>
      <c r="C297" s="1">
        <v>1</v>
      </c>
      <c r="D297" s="1"/>
      <c r="E297" s="1"/>
    </row>
    <row r="298" spans="2:5" x14ac:dyDescent="0.3">
      <c r="B298" s="6">
        <v>0.55941849946975708</v>
      </c>
      <c r="C298" s="1">
        <v>1</v>
      </c>
      <c r="D298" s="1"/>
      <c r="E298" s="1"/>
    </row>
    <row r="299" spans="2:5" x14ac:dyDescent="0.3">
      <c r="B299" s="6">
        <v>0.94560420513153076</v>
      </c>
      <c r="C299" s="1">
        <v>1</v>
      </c>
      <c r="D299" s="1"/>
      <c r="E299" s="1"/>
    </row>
    <row r="300" spans="2:5" x14ac:dyDescent="0.3">
      <c r="B300" s="6">
        <v>0.27077645063400269</v>
      </c>
      <c r="C300" s="1">
        <v>0</v>
      </c>
      <c r="D300" s="1"/>
      <c r="E300" s="1"/>
    </row>
    <row r="301" spans="2:5" x14ac:dyDescent="0.3">
      <c r="B301" s="6">
        <v>0.61839151382446289</v>
      </c>
      <c r="C301" s="1">
        <v>1</v>
      </c>
      <c r="D301" s="1"/>
      <c r="E301" s="1"/>
    </row>
    <row r="302" spans="2:5" x14ac:dyDescent="0.3">
      <c r="B302" s="6">
        <v>7.5264811515808105E-2</v>
      </c>
      <c r="C302" s="1">
        <v>0</v>
      </c>
      <c r="D302" s="1"/>
      <c r="E302" s="1"/>
    </row>
    <row r="303" spans="2:5" x14ac:dyDescent="0.3">
      <c r="B303" s="6">
        <v>4.3056225404143333E-3</v>
      </c>
      <c r="C303" s="1">
        <v>0</v>
      </c>
      <c r="D303" s="1"/>
      <c r="E303" s="1"/>
    </row>
    <row r="304" spans="2:5" x14ac:dyDescent="0.3">
      <c r="B304" s="6">
        <v>4.9493499100208282E-2</v>
      </c>
      <c r="C304" s="1">
        <v>0</v>
      </c>
      <c r="D304" s="1"/>
      <c r="E304" s="1"/>
    </row>
    <row r="305" spans="2:5" x14ac:dyDescent="0.3">
      <c r="B305" s="6">
        <v>0.40490522980690002</v>
      </c>
      <c r="C305" s="1">
        <v>0</v>
      </c>
      <c r="D305" s="1"/>
      <c r="E305" s="1"/>
    </row>
    <row r="306" spans="2:5" x14ac:dyDescent="0.3">
      <c r="B306" s="6">
        <v>6.737428717315197E-3</v>
      </c>
      <c r="C306" s="1">
        <v>0</v>
      </c>
      <c r="D306" s="1"/>
      <c r="E306" s="1"/>
    </row>
    <row r="307" spans="2:5" x14ac:dyDescent="0.3">
      <c r="B307" s="6">
        <v>1.705851219594479E-2</v>
      </c>
      <c r="C307" s="1">
        <v>0</v>
      </c>
      <c r="D307" s="1"/>
      <c r="E307" s="1"/>
    </row>
    <row r="308" spans="2:5" x14ac:dyDescent="0.3">
      <c r="B308" s="6">
        <v>6.8694362416863441E-3</v>
      </c>
      <c r="C308" s="1">
        <v>0</v>
      </c>
      <c r="D308" s="1"/>
      <c r="E308" s="1"/>
    </row>
    <row r="309" spans="2:5" x14ac:dyDescent="0.3">
      <c r="B309" s="6">
        <v>6.3841966912150383E-3</v>
      </c>
      <c r="C309" s="1">
        <v>0</v>
      </c>
      <c r="D309" s="1"/>
      <c r="E309" s="1"/>
    </row>
    <row r="310" spans="2:5" x14ac:dyDescent="0.3">
      <c r="B310" s="6">
        <v>0.93660247325897217</v>
      </c>
      <c r="C310" s="1">
        <v>1</v>
      </c>
      <c r="D310" s="1"/>
      <c r="E310" s="1"/>
    </row>
    <row r="311" spans="2:5" x14ac:dyDescent="0.3">
      <c r="B311" s="6">
        <v>0.8957066535949707</v>
      </c>
      <c r="C311" s="1">
        <v>1</v>
      </c>
      <c r="D311" s="1"/>
      <c r="E311" s="1"/>
    </row>
    <row r="312" spans="2:5" x14ac:dyDescent="0.3">
      <c r="B312" s="6">
        <v>0.50428950786590576</v>
      </c>
      <c r="C312" s="1">
        <v>1</v>
      </c>
      <c r="D312" s="1"/>
      <c r="E312" s="1"/>
    </row>
    <row r="313" spans="2:5" x14ac:dyDescent="0.3">
      <c r="B313" s="6">
        <v>0.45814737677574158</v>
      </c>
      <c r="C313" s="1">
        <v>0</v>
      </c>
      <c r="D313" s="1"/>
      <c r="E313" s="1"/>
    </row>
    <row r="314" spans="2:5" x14ac:dyDescent="0.3">
      <c r="B314" s="6">
        <v>0.50075936317443848</v>
      </c>
      <c r="C314" s="1">
        <v>1</v>
      </c>
      <c r="D314" s="1"/>
      <c r="E314" s="1"/>
    </row>
    <row r="315" spans="2:5" x14ac:dyDescent="0.3">
      <c r="B315" s="6">
        <v>6.7456541582942009E-3</v>
      </c>
      <c r="C315" s="1">
        <v>0</v>
      </c>
      <c r="D315" s="1"/>
      <c r="E315" s="1"/>
    </row>
    <row r="316" spans="2:5" x14ac:dyDescent="0.3">
      <c r="B316" s="6">
        <v>0.86233979463577271</v>
      </c>
      <c r="C316" s="1">
        <v>1</v>
      </c>
      <c r="D316" s="1"/>
      <c r="E316" s="1"/>
    </row>
    <row r="317" spans="2:5" x14ac:dyDescent="0.3">
      <c r="B317" s="6">
        <v>0.29725700616836548</v>
      </c>
      <c r="C317" s="1">
        <v>0</v>
      </c>
      <c r="D317" s="1"/>
      <c r="E317" s="1"/>
    </row>
    <row r="318" spans="2:5" x14ac:dyDescent="0.3">
      <c r="B318" s="6">
        <v>0.88794440031051636</v>
      </c>
      <c r="C318" s="1">
        <v>1</v>
      </c>
      <c r="D318" s="1"/>
      <c r="E318" s="1"/>
    </row>
    <row r="319" spans="2:5" x14ac:dyDescent="0.3">
      <c r="B319" s="6">
        <v>0.74882310628890991</v>
      </c>
      <c r="C319" s="1">
        <v>1</v>
      </c>
      <c r="D319" s="1"/>
      <c r="E319" s="1"/>
    </row>
    <row r="320" spans="2:5" x14ac:dyDescent="0.3">
      <c r="B320" s="6">
        <v>0.75639724731445313</v>
      </c>
      <c r="C320" s="1">
        <v>1</v>
      </c>
      <c r="D320" s="1"/>
      <c r="E320" s="1"/>
    </row>
    <row r="321" spans="2:5" x14ac:dyDescent="0.3">
      <c r="B321" s="6">
        <v>0.1025723218917847</v>
      </c>
      <c r="C321" s="1">
        <v>0</v>
      </c>
      <c r="D321" s="1"/>
      <c r="E321" s="1"/>
    </row>
    <row r="322" spans="2:5" x14ac:dyDescent="0.3">
      <c r="B322" s="6">
        <v>0.70842587947845459</v>
      </c>
      <c r="C322" s="1">
        <v>1</v>
      </c>
      <c r="D322" s="1"/>
      <c r="E322" s="1"/>
    </row>
    <row r="323" spans="2:5" x14ac:dyDescent="0.3">
      <c r="B323" s="6">
        <v>3.2772831618785858E-2</v>
      </c>
      <c r="C323" s="1">
        <v>0</v>
      </c>
      <c r="D323" s="1"/>
      <c r="E323" s="1"/>
    </row>
    <row r="324" spans="2:5" x14ac:dyDescent="0.3">
      <c r="B324" s="6">
        <v>5.6053739041090012E-2</v>
      </c>
      <c r="C324" s="1">
        <v>0</v>
      </c>
      <c r="D324" s="1"/>
      <c r="E324" s="1"/>
    </row>
    <row r="325" spans="2:5" x14ac:dyDescent="0.3">
      <c r="B325" s="6">
        <v>0.27591699361801147</v>
      </c>
      <c r="C325" s="1">
        <v>0</v>
      </c>
      <c r="D325" s="1"/>
      <c r="E325" s="1"/>
    </row>
    <row r="326" spans="2:5" x14ac:dyDescent="0.3">
      <c r="B326" s="6">
        <v>8.0462753772735596E-2</v>
      </c>
      <c r="C326" s="1">
        <v>0</v>
      </c>
      <c r="D326" s="1"/>
      <c r="E326" s="1"/>
    </row>
    <row r="327" spans="2:5" x14ac:dyDescent="0.3">
      <c r="B327" s="6">
        <v>6.8358533084392548E-2</v>
      </c>
      <c r="C327" s="1">
        <v>0</v>
      </c>
      <c r="D327" s="1"/>
      <c r="E327" s="1"/>
    </row>
    <row r="328" spans="2:5" x14ac:dyDescent="0.3">
      <c r="B328" s="6">
        <v>1.7150010913610458E-2</v>
      </c>
      <c r="C328" s="1">
        <v>0</v>
      </c>
      <c r="D328" s="1"/>
      <c r="E328" s="1"/>
    </row>
    <row r="329" spans="2:5" x14ac:dyDescent="0.3">
      <c r="B329" s="6">
        <v>0.68531835079193115</v>
      </c>
      <c r="C329" s="1">
        <v>1</v>
      </c>
      <c r="D329" s="1"/>
      <c r="E329" s="1"/>
    </row>
    <row r="330" spans="2:5" x14ac:dyDescent="0.3">
      <c r="B330" s="6">
        <v>0.90914833545684814</v>
      </c>
      <c r="C330" s="1">
        <v>1</v>
      </c>
      <c r="D330" s="1"/>
      <c r="E330" s="1"/>
    </row>
    <row r="331" spans="2:5" x14ac:dyDescent="0.3">
      <c r="B331" s="6">
        <v>0.1279066056013107</v>
      </c>
      <c r="C331" s="1">
        <v>0</v>
      </c>
      <c r="D331" s="1"/>
      <c r="E331" s="1"/>
    </row>
    <row r="332" spans="2:5" x14ac:dyDescent="0.3">
      <c r="B332" s="6">
        <v>0.36776676774024958</v>
      </c>
      <c r="C332" s="1">
        <v>0</v>
      </c>
      <c r="D332" s="1"/>
      <c r="E332" s="1"/>
    </row>
    <row r="333" spans="2:5" x14ac:dyDescent="0.3">
      <c r="B333" s="6">
        <v>0.84645646810531616</v>
      </c>
      <c r="C333" s="1">
        <v>1</v>
      </c>
      <c r="D333" s="1"/>
      <c r="E333" s="1"/>
    </row>
    <row r="334" spans="2:5" x14ac:dyDescent="0.3">
      <c r="B334" s="6">
        <v>3.7130799144506448E-2</v>
      </c>
      <c r="C334" s="1">
        <v>0</v>
      </c>
      <c r="D334" s="1"/>
      <c r="E334" s="1"/>
    </row>
    <row r="335" spans="2:5" x14ac:dyDescent="0.3">
      <c r="B335" s="6">
        <v>1.1051591485738751E-2</v>
      </c>
      <c r="C335" s="1">
        <v>0</v>
      </c>
      <c r="D335" s="1"/>
      <c r="E335" s="1"/>
    </row>
    <row r="336" spans="2:5" x14ac:dyDescent="0.3">
      <c r="B336" s="6">
        <v>0.8915974497795105</v>
      </c>
      <c r="C336" s="1">
        <v>1</v>
      </c>
      <c r="D336" s="1"/>
      <c r="E336" s="1"/>
    </row>
    <row r="337" spans="2:5" x14ac:dyDescent="0.3">
      <c r="B337" s="6">
        <v>0.18995299935340881</v>
      </c>
      <c r="C337" s="1">
        <v>0</v>
      </c>
      <c r="D337" s="1"/>
      <c r="E337" s="1"/>
    </row>
    <row r="338" spans="2:5" x14ac:dyDescent="0.3">
      <c r="B338" s="6">
        <v>1.403573993593454E-2</v>
      </c>
      <c r="C338" s="1">
        <v>0</v>
      </c>
      <c r="D338" s="1"/>
      <c r="E338" s="1"/>
    </row>
    <row r="339" spans="2:5" x14ac:dyDescent="0.3">
      <c r="B339" s="6">
        <v>0.34223559498786932</v>
      </c>
      <c r="C339" s="1">
        <v>0</v>
      </c>
      <c r="D339" s="1"/>
      <c r="E339" s="1"/>
    </row>
    <row r="340" spans="2:5" x14ac:dyDescent="0.3">
      <c r="B340" s="6">
        <v>0.80918055772781372</v>
      </c>
      <c r="C340" s="1">
        <v>1</v>
      </c>
      <c r="D340" s="1"/>
      <c r="E340" s="1"/>
    </row>
    <row r="341" spans="2:5" x14ac:dyDescent="0.3">
      <c r="B341" s="6">
        <v>1.7763510346412659E-2</v>
      </c>
      <c r="C341" s="1">
        <v>0</v>
      </c>
      <c r="D341" s="1"/>
      <c r="E341" s="1"/>
    </row>
    <row r="342" spans="2:5" x14ac:dyDescent="0.3">
      <c r="B342" s="6">
        <v>0.71997767686843872</v>
      </c>
      <c r="C342" s="1">
        <v>1</v>
      </c>
      <c r="D342" s="1"/>
      <c r="E342" s="1"/>
    </row>
    <row r="343" spans="2:5" x14ac:dyDescent="0.3">
      <c r="B343" s="6">
        <v>5.0713915377855301E-2</v>
      </c>
      <c r="C343" s="1">
        <v>0</v>
      </c>
      <c r="D343" s="1"/>
      <c r="E343" s="1"/>
    </row>
    <row r="344" spans="2:5" x14ac:dyDescent="0.3">
      <c r="B344" s="6">
        <v>0.93877267837524414</v>
      </c>
      <c r="C344" s="1">
        <v>1</v>
      </c>
      <c r="D344" s="1"/>
      <c r="E344" s="1"/>
    </row>
    <row r="345" spans="2:5" x14ac:dyDescent="0.3">
      <c r="B345" s="6">
        <v>0.80445951223373413</v>
      </c>
      <c r="C345" s="1">
        <v>1</v>
      </c>
      <c r="D345" s="1"/>
      <c r="E345" s="1"/>
    </row>
    <row r="346" spans="2:5" x14ac:dyDescent="0.3">
      <c r="B346" s="6">
        <v>0.96804183721542358</v>
      </c>
      <c r="C346" s="1">
        <v>1</v>
      </c>
      <c r="D346" s="1"/>
      <c r="E346" s="1"/>
    </row>
    <row r="347" spans="2:5" x14ac:dyDescent="0.3">
      <c r="B347" s="6">
        <v>4.9291916191577911E-2</v>
      </c>
      <c r="C347" s="1">
        <v>0</v>
      </c>
      <c r="D347" s="1"/>
      <c r="E347" s="1"/>
    </row>
    <row r="348" spans="2:5" x14ac:dyDescent="0.3">
      <c r="B348" s="6">
        <v>8.7272310629487038E-3</v>
      </c>
      <c r="C348" s="1">
        <v>0</v>
      </c>
      <c r="D348" s="1"/>
      <c r="E348" s="1"/>
    </row>
    <row r="349" spans="2:5" x14ac:dyDescent="0.3">
      <c r="B349" s="6">
        <v>7.6711542904376984E-2</v>
      </c>
      <c r="C349" s="1">
        <v>0</v>
      </c>
      <c r="D349" s="1"/>
      <c r="E349" s="1"/>
    </row>
    <row r="350" spans="2:5" x14ac:dyDescent="0.3">
      <c r="B350" s="6">
        <v>0.2131027281284332</v>
      </c>
      <c r="C350" s="1">
        <v>0</v>
      </c>
      <c r="D350" s="1"/>
      <c r="E350" s="1"/>
    </row>
    <row r="351" spans="2:5" x14ac:dyDescent="0.3">
      <c r="B351" s="6">
        <v>0.9107699990272522</v>
      </c>
      <c r="C351" s="1">
        <v>1</v>
      </c>
      <c r="D351" s="1"/>
      <c r="E351" s="1"/>
    </row>
    <row r="352" spans="2:5" x14ac:dyDescent="0.3">
      <c r="B352" s="6">
        <v>0.19243775308132169</v>
      </c>
      <c r="C352" s="1">
        <v>0</v>
      </c>
      <c r="D352" s="1"/>
      <c r="E352" s="1"/>
    </row>
    <row r="353" spans="2:5" x14ac:dyDescent="0.3">
      <c r="B353" s="6">
        <v>5.7438772171735757E-2</v>
      </c>
      <c r="C353" s="1">
        <v>0</v>
      </c>
      <c r="D353" s="1"/>
      <c r="E353" s="1"/>
    </row>
    <row r="354" spans="2:5" x14ac:dyDescent="0.3">
      <c r="B354" s="6">
        <v>0.888691246509552</v>
      </c>
      <c r="C354" s="1">
        <v>1</v>
      </c>
      <c r="D354" s="1"/>
      <c r="E354" s="1"/>
    </row>
    <row r="355" spans="2:5" x14ac:dyDescent="0.3">
      <c r="B355" s="6">
        <v>0.70004743337631226</v>
      </c>
      <c r="C355" s="1">
        <v>1</v>
      </c>
      <c r="D355" s="1"/>
      <c r="E355" s="1"/>
    </row>
    <row r="356" spans="2:5" x14ac:dyDescent="0.3">
      <c r="B356" s="6">
        <v>0.33403113484382629</v>
      </c>
      <c r="C356" s="1">
        <v>0</v>
      </c>
      <c r="D356" s="1"/>
      <c r="E356" s="1"/>
    </row>
    <row r="357" spans="2:5" x14ac:dyDescent="0.3">
      <c r="B357" s="6">
        <v>0.86684626340866089</v>
      </c>
      <c r="C357" s="1">
        <v>1</v>
      </c>
      <c r="D357" s="1"/>
      <c r="E357" s="1"/>
    </row>
    <row r="358" spans="2:5" x14ac:dyDescent="0.3">
      <c r="B358" s="6">
        <v>0.55624252557754517</v>
      </c>
      <c r="C358" s="1">
        <v>1</v>
      </c>
      <c r="D358" s="1"/>
      <c r="E358" s="1"/>
    </row>
    <row r="359" spans="2:5" x14ac:dyDescent="0.3">
      <c r="B359" s="6">
        <v>0.69168490171432495</v>
      </c>
      <c r="C359" s="1">
        <v>1</v>
      </c>
      <c r="D359" s="1"/>
      <c r="E359" s="1"/>
    </row>
    <row r="360" spans="2:5" x14ac:dyDescent="0.3">
      <c r="B360" s="6">
        <v>5.4470766335725777E-2</v>
      </c>
      <c r="C360" s="1">
        <v>0</v>
      </c>
      <c r="D360" s="1"/>
      <c r="E360" s="1"/>
    </row>
    <row r="361" spans="2:5" x14ac:dyDescent="0.3">
      <c r="B361" s="6">
        <v>6.2613390386104584E-2</v>
      </c>
      <c r="C361" s="1">
        <v>0</v>
      </c>
      <c r="D361" s="1"/>
      <c r="E361" s="1"/>
    </row>
    <row r="362" spans="2:5" x14ac:dyDescent="0.3">
      <c r="B362" s="6">
        <v>0.28932157158851618</v>
      </c>
      <c r="C362" s="1">
        <v>0</v>
      </c>
      <c r="D362" s="1"/>
      <c r="E362" s="1"/>
    </row>
    <row r="363" spans="2:5" x14ac:dyDescent="0.3">
      <c r="B363" s="6">
        <v>0.55995774269104004</v>
      </c>
      <c r="C363" s="1">
        <v>1</v>
      </c>
      <c r="D363" s="1"/>
      <c r="E363" s="1"/>
    </row>
    <row r="364" spans="2:5" x14ac:dyDescent="0.3">
      <c r="B364" s="6">
        <v>0.93477964401245117</v>
      </c>
      <c r="C364" s="1">
        <v>1</v>
      </c>
      <c r="D364" s="1"/>
      <c r="E364" s="1"/>
    </row>
    <row r="365" spans="2:5" x14ac:dyDescent="0.3">
      <c r="B365" s="6">
        <v>0.17739832401275629</v>
      </c>
      <c r="C365" s="1">
        <v>0</v>
      </c>
      <c r="D365" s="1"/>
      <c r="E365" s="1"/>
    </row>
    <row r="366" spans="2:5" x14ac:dyDescent="0.3">
      <c r="B366" s="6">
        <v>0.84470820426940918</v>
      </c>
      <c r="C366" s="1">
        <v>1</v>
      </c>
      <c r="D366" s="1"/>
      <c r="E366" s="1"/>
    </row>
    <row r="367" spans="2:5" x14ac:dyDescent="0.3">
      <c r="B367" s="6">
        <v>0.94378358125686646</v>
      </c>
      <c r="C367" s="1">
        <v>1</v>
      </c>
      <c r="D367" s="1"/>
      <c r="E367" s="1"/>
    </row>
    <row r="368" spans="2:5" x14ac:dyDescent="0.3">
      <c r="B368" s="6">
        <v>0.74697637557983398</v>
      </c>
      <c r="C368" s="1">
        <v>1</v>
      </c>
      <c r="D368" s="1"/>
      <c r="E368" s="1"/>
    </row>
    <row r="369" spans="2:5" x14ac:dyDescent="0.3">
      <c r="B369" s="6">
        <v>1.130908820778131E-2</v>
      </c>
      <c r="C369" s="1">
        <v>0</v>
      </c>
      <c r="D369" s="1"/>
      <c r="E369" s="1"/>
    </row>
    <row r="370" spans="2:5" x14ac:dyDescent="0.3">
      <c r="B370" s="6">
        <v>0.74958008527755737</v>
      </c>
      <c r="C370" s="1">
        <v>1</v>
      </c>
      <c r="D370" s="1"/>
      <c r="E370" s="1"/>
    </row>
    <row r="371" spans="2:5" x14ac:dyDescent="0.3">
      <c r="B371" s="6">
        <v>5.2511915564537048E-3</v>
      </c>
      <c r="C371" s="1">
        <v>0</v>
      </c>
      <c r="D371" s="1"/>
      <c r="E371" s="1"/>
    </row>
    <row r="372" spans="2:5" x14ac:dyDescent="0.3">
      <c r="B372" s="6">
        <v>9.6608862280845642E-2</v>
      </c>
      <c r="C372" s="1">
        <v>0</v>
      </c>
      <c r="D372" s="1"/>
      <c r="E372" s="1"/>
    </row>
    <row r="373" spans="2:5" x14ac:dyDescent="0.3">
      <c r="B373" s="6">
        <v>0.87321615219116211</v>
      </c>
      <c r="C373" s="1">
        <v>1</v>
      </c>
      <c r="D373" s="1"/>
      <c r="E373" s="1"/>
    </row>
    <row r="374" spans="2:5" x14ac:dyDescent="0.3">
      <c r="B374" s="6">
        <v>0.33038061857223511</v>
      </c>
      <c r="C374" s="1">
        <v>0</v>
      </c>
      <c r="D374" s="1"/>
      <c r="E374" s="1"/>
    </row>
    <row r="375" spans="2:5" x14ac:dyDescent="0.3">
      <c r="B375" s="6">
        <v>1.9045917317271229E-2</v>
      </c>
      <c r="C375" s="1">
        <v>0</v>
      </c>
      <c r="D375" s="1"/>
      <c r="E375" s="1"/>
    </row>
    <row r="376" spans="2:5" x14ac:dyDescent="0.3">
      <c r="B376" s="6">
        <v>0.53044933080673218</v>
      </c>
      <c r="C376" s="1">
        <v>1</v>
      </c>
      <c r="D376" s="1"/>
      <c r="E376" s="1"/>
    </row>
    <row r="377" spans="2:5" x14ac:dyDescent="0.3">
      <c r="B377" s="6">
        <v>0.56289643049240112</v>
      </c>
      <c r="C377" s="1">
        <v>1</v>
      </c>
      <c r="D377" s="1"/>
      <c r="E377" s="1"/>
    </row>
    <row r="378" spans="2:5" x14ac:dyDescent="0.3">
      <c r="B378" s="6">
        <v>0.2225319296121597</v>
      </c>
      <c r="C378" s="1">
        <v>0</v>
      </c>
      <c r="D378" s="1"/>
      <c r="E378" s="1"/>
    </row>
    <row r="379" spans="2:5" x14ac:dyDescent="0.3">
      <c r="B379" s="6">
        <v>1.7431536689400669E-2</v>
      </c>
      <c r="C379" s="1">
        <v>0</v>
      </c>
      <c r="D379" s="1"/>
      <c r="E379" s="1"/>
    </row>
    <row r="380" spans="2:5" x14ac:dyDescent="0.3">
      <c r="B380" s="6">
        <v>8.8021056726574898E-3</v>
      </c>
      <c r="C380" s="1">
        <v>0</v>
      </c>
      <c r="D380" s="1"/>
      <c r="E380" s="1"/>
    </row>
    <row r="381" spans="2:5" x14ac:dyDescent="0.3">
      <c r="B381" s="6">
        <v>1.1290634050965309E-2</v>
      </c>
      <c r="C381" s="1">
        <v>0</v>
      </c>
      <c r="D381" s="1"/>
      <c r="E381" s="1"/>
    </row>
    <row r="382" spans="2:5" x14ac:dyDescent="0.3">
      <c r="B382" s="6">
        <v>0.78256028890609741</v>
      </c>
      <c r="C382" s="1">
        <v>1</v>
      </c>
      <c r="D382" s="1"/>
      <c r="E382" s="1"/>
    </row>
    <row r="383" spans="2:5" x14ac:dyDescent="0.3">
      <c r="B383" s="6">
        <v>1.6041124239563938E-2</v>
      </c>
      <c r="C383" s="1">
        <v>0</v>
      </c>
      <c r="D383" s="1"/>
      <c r="E383" s="1"/>
    </row>
    <row r="384" spans="2:5" x14ac:dyDescent="0.3">
      <c r="B384" s="6">
        <v>0.17122663557529449</v>
      </c>
      <c r="C384" s="1">
        <v>0</v>
      </c>
      <c r="D384" s="1"/>
      <c r="E384" s="1"/>
    </row>
    <row r="385" spans="2:5" x14ac:dyDescent="0.3">
      <c r="B385" s="6">
        <v>0.93372678756713867</v>
      </c>
      <c r="C385" s="1">
        <v>1</v>
      </c>
      <c r="D385" s="1"/>
      <c r="E385" s="1"/>
    </row>
    <row r="386" spans="2:5" x14ac:dyDescent="0.3">
      <c r="B386" s="6">
        <v>2.1588323637843129E-2</v>
      </c>
      <c r="C386" s="1">
        <v>0</v>
      </c>
      <c r="D386" s="1"/>
      <c r="E386" s="1"/>
    </row>
    <row r="387" spans="2:5" x14ac:dyDescent="0.3">
      <c r="B387" s="6">
        <v>1.731724850833416E-2</v>
      </c>
      <c r="C387" s="1">
        <v>0</v>
      </c>
      <c r="D387" s="1"/>
      <c r="E387" s="1"/>
    </row>
    <row r="388" spans="2:5" x14ac:dyDescent="0.3">
      <c r="B388" s="6">
        <v>0.84700369834899902</v>
      </c>
      <c r="C388" s="1">
        <v>1</v>
      </c>
      <c r="D388" s="1"/>
      <c r="E388" s="1"/>
    </row>
    <row r="389" spans="2:5" x14ac:dyDescent="0.3">
      <c r="B389" s="6">
        <v>0.1154675930738449</v>
      </c>
      <c r="C389" s="1">
        <v>0</v>
      </c>
      <c r="D389" s="1"/>
      <c r="E389" s="1"/>
    </row>
    <row r="390" spans="2:5" x14ac:dyDescent="0.3">
      <c r="B390" s="6">
        <v>6.5057147294282913E-3</v>
      </c>
      <c r="C390" s="1">
        <v>0</v>
      </c>
      <c r="D390" s="1"/>
      <c r="E390" s="1"/>
    </row>
    <row r="391" spans="2:5" x14ac:dyDescent="0.3">
      <c r="B391" s="6">
        <v>0.122025802731514</v>
      </c>
      <c r="C391" s="1">
        <v>0</v>
      </c>
      <c r="D391" s="1"/>
      <c r="E391" s="1"/>
    </row>
    <row r="392" spans="2:5" x14ac:dyDescent="0.3">
      <c r="B392" s="6">
        <v>0.82159793376922607</v>
      </c>
      <c r="C392" s="1">
        <v>1</v>
      </c>
      <c r="D392" s="1"/>
      <c r="E392" s="1"/>
    </row>
    <row r="393" spans="2:5" x14ac:dyDescent="0.3">
      <c r="B393" s="6">
        <v>3.2928235828876502E-2</v>
      </c>
      <c r="C393" s="1">
        <v>0</v>
      </c>
      <c r="D393" s="1"/>
      <c r="E393" s="1"/>
    </row>
    <row r="394" spans="2:5" x14ac:dyDescent="0.3">
      <c r="B394" s="6">
        <v>0.2289057374000549</v>
      </c>
      <c r="C394" s="1">
        <v>0</v>
      </c>
      <c r="D394" s="1"/>
      <c r="E394" s="1"/>
    </row>
    <row r="395" spans="2:5" x14ac:dyDescent="0.3">
      <c r="B395" s="6">
        <v>3.3799603581428528E-2</v>
      </c>
      <c r="C395" s="1">
        <v>0</v>
      </c>
      <c r="D395" s="1"/>
      <c r="E395" s="1"/>
    </row>
    <row r="396" spans="2:5" x14ac:dyDescent="0.3">
      <c r="B396" s="6">
        <v>0.49201512336730963</v>
      </c>
      <c r="C396" s="1">
        <v>0</v>
      </c>
      <c r="D396" s="1"/>
      <c r="E396" s="1"/>
    </row>
    <row r="397" spans="2:5" x14ac:dyDescent="0.3">
      <c r="B397" s="6">
        <v>0.87364351749420166</v>
      </c>
      <c r="C397" s="1">
        <v>1</v>
      </c>
      <c r="D397" s="1"/>
      <c r="E397" s="1"/>
    </row>
    <row r="398" spans="2:5" x14ac:dyDescent="0.3">
      <c r="B398" s="6">
        <v>5.6945132091641426E-3</v>
      </c>
      <c r="C398" s="1">
        <v>0</v>
      </c>
      <c r="D398" s="1"/>
      <c r="E398" s="1"/>
    </row>
    <row r="399" spans="2:5" x14ac:dyDescent="0.3">
      <c r="B399" s="6">
        <v>0.81485146284103394</v>
      </c>
      <c r="C399" s="1">
        <v>1</v>
      </c>
      <c r="D399" s="1"/>
      <c r="E399" s="1"/>
    </row>
    <row r="400" spans="2:5" x14ac:dyDescent="0.3">
      <c r="B400" s="6">
        <v>1.2519357725977899E-2</v>
      </c>
      <c r="C400" s="1">
        <v>0</v>
      </c>
      <c r="D400" s="1"/>
      <c r="E400" s="1"/>
    </row>
    <row r="401" spans="2:5" x14ac:dyDescent="0.3">
      <c r="B401" s="6">
        <v>0.26084345579147339</v>
      </c>
      <c r="C401" s="1">
        <v>0</v>
      </c>
      <c r="D401" s="1"/>
      <c r="E401" s="1"/>
    </row>
    <row r="402" spans="2:5" x14ac:dyDescent="0.3">
      <c r="B402" s="6">
        <v>0.88807928562164307</v>
      </c>
      <c r="C402" s="1">
        <v>1</v>
      </c>
      <c r="D402" s="1"/>
      <c r="E402" s="1"/>
    </row>
    <row r="403" spans="2:5" x14ac:dyDescent="0.3">
      <c r="B403" s="6">
        <v>0.78960061073303223</v>
      </c>
      <c r="C403" s="1">
        <v>1</v>
      </c>
      <c r="D403" s="1"/>
      <c r="E403" s="1"/>
    </row>
    <row r="404" spans="2:5" x14ac:dyDescent="0.3">
      <c r="B404" s="6">
        <v>6.6059236414730549E-3</v>
      </c>
      <c r="C404" s="1">
        <v>0</v>
      </c>
      <c r="D404" s="1"/>
      <c r="E404" s="1"/>
    </row>
    <row r="405" spans="2:5" x14ac:dyDescent="0.3">
      <c r="B405" s="6">
        <v>0.90943336486816406</v>
      </c>
      <c r="C405" s="1">
        <v>1</v>
      </c>
      <c r="D405" s="1"/>
      <c r="E405" s="1"/>
    </row>
    <row r="406" spans="2:5" x14ac:dyDescent="0.3">
      <c r="B406" s="6">
        <v>3.2740514725446701E-3</v>
      </c>
      <c r="C406" s="1">
        <v>0</v>
      </c>
      <c r="D406" s="1"/>
      <c r="E406" s="1"/>
    </row>
    <row r="407" spans="2:5" x14ac:dyDescent="0.3">
      <c r="B407" s="6">
        <v>0.77155989408493042</v>
      </c>
      <c r="C407" s="1">
        <v>1</v>
      </c>
      <c r="D407" s="1"/>
      <c r="E407" s="1"/>
    </row>
    <row r="408" spans="2:5" x14ac:dyDescent="0.3">
      <c r="B408" s="6">
        <v>0.83746534585952759</v>
      </c>
      <c r="C408" s="1">
        <v>1</v>
      </c>
      <c r="D408" s="1"/>
      <c r="E408" s="1"/>
    </row>
    <row r="409" spans="2:5" x14ac:dyDescent="0.3">
      <c r="B409" s="6">
        <v>3.4642710816115141E-3</v>
      </c>
      <c r="C409" s="1">
        <v>0</v>
      </c>
      <c r="D409" s="1"/>
      <c r="E409" s="1"/>
    </row>
    <row r="410" spans="2:5" x14ac:dyDescent="0.3">
      <c r="B410" s="6">
        <v>0.64620447158813477</v>
      </c>
      <c r="C410" s="1">
        <v>1</v>
      </c>
      <c r="D410" s="1"/>
      <c r="E410" s="1"/>
    </row>
    <row r="411" spans="2:5" x14ac:dyDescent="0.3">
      <c r="B411" s="6">
        <v>1.8120011314749721E-2</v>
      </c>
      <c r="C411" s="1">
        <v>0</v>
      </c>
      <c r="D411" s="1"/>
      <c r="E411" s="1"/>
    </row>
    <row r="412" spans="2:5" x14ac:dyDescent="0.3">
      <c r="B412" s="6">
        <v>0.16758900880813599</v>
      </c>
      <c r="C412" s="1">
        <v>0</v>
      </c>
      <c r="D412" s="1"/>
      <c r="E412" s="1"/>
    </row>
    <row r="413" spans="2:5" x14ac:dyDescent="0.3">
      <c r="B413" s="6">
        <v>0.86511021852493286</v>
      </c>
      <c r="C413" s="1">
        <v>1</v>
      </c>
      <c r="D413" s="1"/>
      <c r="E413" s="1"/>
    </row>
    <row r="414" spans="2:5" x14ac:dyDescent="0.3">
      <c r="B414" s="6">
        <v>0.83628737926483154</v>
      </c>
      <c r="C414" s="1">
        <v>1</v>
      </c>
      <c r="D414" s="1"/>
      <c r="E414" s="1"/>
    </row>
    <row r="415" spans="2:5" x14ac:dyDescent="0.3">
      <c r="B415" s="6">
        <v>4.2082365602254868E-2</v>
      </c>
      <c r="C415" s="1">
        <v>0</v>
      </c>
      <c r="D415" s="1"/>
      <c r="E415" s="1"/>
    </row>
    <row r="416" spans="2:5" x14ac:dyDescent="0.3">
      <c r="B416" s="6">
        <v>0.93678194284439087</v>
      </c>
      <c r="C416" s="1">
        <v>1</v>
      </c>
      <c r="D416" s="1"/>
      <c r="E416" s="1"/>
    </row>
    <row r="417" spans="2:5" x14ac:dyDescent="0.3">
      <c r="B417" s="6">
        <v>0.92910999059677124</v>
      </c>
      <c r="C417" s="1">
        <v>1</v>
      </c>
      <c r="D417" s="1"/>
      <c r="E417" s="1"/>
    </row>
    <row r="418" spans="2:5" x14ac:dyDescent="0.3">
      <c r="B418" s="6">
        <v>0.15339457988739011</v>
      </c>
      <c r="C418" s="1">
        <v>0</v>
      </c>
      <c r="D418" s="1"/>
      <c r="E418" s="1"/>
    </row>
    <row r="419" spans="2:5" x14ac:dyDescent="0.3">
      <c r="B419" s="6">
        <v>5.0445981323719018E-2</v>
      </c>
      <c r="C419" s="1">
        <v>0</v>
      </c>
      <c r="D419" s="1"/>
      <c r="E419" s="1"/>
    </row>
    <row r="420" spans="2:5" x14ac:dyDescent="0.3">
      <c r="B420" s="6">
        <v>0.87175190448760986</v>
      </c>
      <c r="C420" s="1">
        <v>1</v>
      </c>
      <c r="D420" s="1"/>
      <c r="E420" s="1"/>
    </row>
    <row r="421" spans="2:5" x14ac:dyDescent="0.3">
      <c r="B421" s="6">
        <v>1.196247898042202E-2</v>
      </c>
      <c r="C421" s="1">
        <v>0</v>
      </c>
      <c r="D421" s="1"/>
      <c r="E421" s="1"/>
    </row>
    <row r="422" spans="2:5" x14ac:dyDescent="0.3">
      <c r="B422" s="6">
        <v>0.90368568897247314</v>
      </c>
      <c r="C422" s="1">
        <v>1</v>
      </c>
      <c r="D422" s="1"/>
      <c r="E422" s="1"/>
    </row>
    <row r="423" spans="2:5" x14ac:dyDescent="0.3">
      <c r="B423" s="6">
        <v>1.155304722487926E-3</v>
      </c>
      <c r="C423" s="1">
        <v>0</v>
      </c>
      <c r="D423" s="1"/>
      <c r="E423" s="1"/>
    </row>
    <row r="424" spans="2:5" x14ac:dyDescent="0.3">
      <c r="B424" s="6">
        <v>0.3712979257106781</v>
      </c>
      <c r="C424" s="1">
        <v>0</v>
      </c>
      <c r="D424" s="1"/>
      <c r="E424" s="1"/>
    </row>
    <row r="425" spans="2:5" x14ac:dyDescent="0.3">
      <c r="B425" s="6">
        <v>1.566423662006855E-2</v>
      </c>
      <c r="C425" s="1">
        <v>0</v>
      </c>
      <c r="D425" s="1"/>
      <c r="E425" s="1"/>
    </row>
    <row r="426" spans="2:5" x14ac:dyDescent="0.3">
      <c r="B426" s="6">
        <v>0.82070076465606689</v>
      </c>
      <c r="C426" s="1">
        <v>1</v>
      </c>
      <c r="D426" s="1"/>
      <c r="E426" s="1"/>
    </row>
    <row r="427" spans="2:5" x14ac:dyDescent="0.3">
      <c r="B427" s="6">
        <v>0.82528746128082275</v>
      </c>
      <c r="C427" s="1">
        <v>1</v>
      </c>
      <c r="D427" s="1"/>
      <c r="E427" s="1"/>
    </row>
    <row r="428" spans="2:5" x14ac:dyDescent="0.3">
      <c r="B428" s="6">
        <v>0.32862433791160578</v>
      </c>
      <c r="C428" s="1">
        <v>0</v>
      </c>
      <c r="D428" s="1"/>
      <c r="E428" s="1"/>
    </row>
    <row r="429" spans="2:5" x14ac:dyDescent="0.3">
      <c r="B429" s="6">
        <v>0.89960020780563354</v>
      </c>
      <c r="C429" s="1">
        <v>1</v>
      </c>
      <c r="D429" s="1"/>
      <c r="E429" s="1"/>
    </row>
    <row r="430" spans="2:5" x14ac:dyDescent="0.3">
      <c r="B430" s="6">
        <v>5.6528761982917793E-2</v>
      </c>
      <c r="C430" s="1">
        <v>0</v>
      </c>
      <c r="D430" s="1"/>
      <c r="E430" s="1"/>
    </row>
    <row r="431" spans="2:5" x14ac:dyDescent="0.3">
      <c r="B431" s="6">
        <v>0.91471880674362183</v>
      </c>
      <c r="C431" s="1">
        <v>1</v>
      </c>
      <c r="D431" s="1"/>
      <c r="E431" s="1"/>
    </row>
    <row r="432" spans="2:5" x14ac:dyDescent="0.3">
      <c r="B432" s="6">
        <v>0.20929241180419919</v>
      </c>
      <c r="C432" s="1">
        <v>0</v>
      </c>
      <c r="D432" s="1"/>
      <c r="E432" s="1"/>
    </row>
    <row r="433" spans="2:5" x14ac:dyDescent="0.3">
      <c r="B433" s="6">
        <v>0.49924677610397339</v>
      </c>
      <c r="C433" s="1">
        <v>0</v>
      </c>
      <c r="D433" s="1"/>
      <c r="E433" s="1"/>
    </row>
    <row r="434" spans="2:5" x14ac:dyDescent="0.3">
      <c r="B434" s="6">
        <v>0.25293564796447748</v>
      </c>
      <c r="C434" s="1">
        <v>0</v>
      </c>
      <c r="D434" s="1"/>
      <c r="E434" s="1"/>
    </row>
    <row r="435" spans="2:5" x14ac:dyDescent="0.3">
      <c r="B435" s="6">
        <v>0.27193111181259161</v>
      </c>
      <c r="C435" s="1">
        <v>0</v>
      </c>
      <c r="D435" s="1"/>
      <c r="E435" s="1"/>
    </row>
    <row r="436" spans="2:5" x14ac:dyDescent="0.3">
      <c r="B436" s="6">
        <v>1.0502739809453491E-2</v>
      </c>
      <c r="C436" s="1">
        <v>0</v>
      </c>
      <c r="D436" s="1"/>
      <c r="E436" s="1"/>
    </row>
    <row r="437" spans="2:5" x14ac:dyDescent="0.3">
      <c r="B437" s="6">
        <v>0.9715840220451355</v>
      </c>
      <c r="C437" s="1">
        <v>1</v>
      </c>
      <c r="D437" s="1"/>
      <c r="E437" s="1"/>
    </row>
    <row r="438" spans="2:5" x14ac:dyDescent="0.3">
      <c r="B438" s="6">
        <v>0.19526171684265139</v>
      </c>
      <c r="C438" s="1">
        <v>0</v>
      </c>
      <c r="D438" s="1"/>
      <c r="E438" s="1"/>
    </row>
    <row r="439" spans="2:5" x14ac:dyDescent="0.3">
      <c r="B439" s="6">
        <v>0.50061500072479248</v>
      </c>
      <c r="C439" s="1">
        <v>1</v>
      </c>
      <c r="D439" s="1"/>
      <c r="E439" s="1"/>
    </row>
    <row r="440" spans="2:5" x14ac:dyDescent="0.3">
      <c r="B440" s="6">
        <v>0.61198586225509644</v>
      </c>
      <c r="C440" s="1">
        <v>1</v>
      </c>
      <c r="D440" s="1"/>
      <c r="E440" s="1"/>
    </row>
    <row r="441" spans="2:5" x14ac:dyDescent="0.3">
      <c r="B441" s="6">
        <v>0.51335537433624268</v>
      </c>
      <c r="C441" s="1">
        <v>1</v>
      </c>
      <c r="D441" s="1"/>
      <c r="E441" s="1"/>
    </row>
    <row r="442" spans="2:5" x14ac:dyDescent="0.3">
      <c r="B442" s="6">
        <v>4.0898289531469352E-2</v>
      </c>
      <c r="C442" s="1">
        <v>0</v>
      </c>
      <c r="D442" s="1"/>
      <c r="E442" s="1"/>
    </row>
    <row r="443" spans="2:5" x14ac:dyDescent="0.3">
      <c r="B443" s="6">
        <v>0.26422309875488281</v>
      </c>
      <c r="C443" s="1">
        <v>0</v>
      </c>
      <c r="D443" s="1"/>
      <c r="E443" s="1"/>
    </row>
    <row r="444" spans="2:5" x14ac:dyDescent="0.3">
      <c r="B444" s="6">
        <v>0.85797327756881714</v>
      </c>
      <c r="C444" s="1">
        <v>1</v>
      </c>
      <c r="D444" s="1"/>
      <c r="E444" s="1"/>
    </row>
    <row r="445" spans="2:5" x14ac:dyDescent="0.3">
      <c r="B445" s="6">
        <v>0.68245828151702881</v>
      </c>
      <c r="C445" s="1">
        <v>1</v>
      </c>
      <c r="D445" s="1"/>
      <c r="E445" s="1"/>
    </row>
    <row r="446" spans="2:5" x14ac:dyDescent="0.3">
      <c r="B446" s="6">
        <v>0.53560030460357666</v>
      </c>
      <c r="C446" s="1">
        <v>1</v>
      </c>
      <c r="D446" s="1"/>
      <c r="E446" s="1"/>
    </row>
    <row r="447" spans="2:5" x14ac:dyDescent="0.3">
      <c r="B447" s="6">
        <v>0.85384970903396606</v>
      </c>
      <c r="C447" s="1">
        <v>1</v>
      </c>
      <c r="D447" s="1"/>
      <c r="E447" s="1"/>
    </row>
    <row r="448" spans="2:5" x14ac:dyDescent="0.3">
      <c r="B448" s="6">
        <v>3.4200370311737061E-2</v>
      </c>
      <c r="C448" s="1">
        <v>0</v>
      </c>
      <c r="D448" s="1"/>
      <c r="E448" s="1"/>
    </row>
    <row r="449" spans="2:5" x14ac:dyDescent="0.3">
      <c r="B449" s="6">
        <v>1.652226410806179E-2</v>
      </c>
      <c r="C449" s="1">
        <v>0</v>
      </c>
      <c r="D449" s="1"/>
      <c r="E449" s="1"/>
    </row>
    <row r="450" spans="2:5" x14ac:dyDescent="0.3">
      <c r="B450" s="6">
        <v>0.69841837882995605</v>
      </c>
      <c r="C450" s="1">
        <v>1</v>
      </c>
      <c r="D450" s="1"/>
      <c r="E450" s="1"/>
    </row>
    <row r="451" spans="2:5" x14ac:dyDescent="0.3">
      <c r="B451" s="6">
        <v>6.1070237308740623E-2</v>
      </c>
      <c r="C451" s="1">
        <v>0</v>
      </c>
      <c r="D451" s="1"/>
      <c r="E451" s="1"/>
    </row>
    <row r="452" spans="2:5" x14ac:dyDescent="0.3">
      <c r="B452" s="6">
        <v>0.83668339252471924</v>
      </c>
      <c r="C452" s="1">
        <v>1</v>
      </c>
      <c r="D452" s="1"/>
      <c r="E452" s="1"/>
    </row>
    <row r="453" spans="2:5" x14ac:dyDescent="0.3">
      <c r="B453" s="6">
        <v>0.74911344051361084</v>
      </c>
      <c r="C453" s="1">
        <v>1</v>
      </c>
      <c r="D453" s="1"/>
      <c r="E453" s="1"/>
    </row>
    <row r="454" spans="2:5" x14ac:dyDescent="0.3">
      <c r="B454" s="6">
        <v>0.22171476483345029</v>
      </c>
      <c r="C454" s="1">
        <v>0</v>
      </c>
      <c r="D454" s="1"/>
      <c r="E454" s="1"/>
    </row>
    <row r="455" spans="2:5" x14ac:dyDescent="0.3">
      <c r="B455" s="6">
        <v>0.84742575883865356</v>
      </c>
      <c r="C455" s="1">
        <v>1</v>
      </c>
      <c r="D455" s="1"/>
      <c r="E455" s="1"/>
    </row>
    <row r="456" spans="2:5" x14ac:dyDescent="0.3">
      <c r="B456" s="6">
        <v>0.18734799325466159</v>
      </c>
      <c r="C456" s="1">
        <v>0</v>
      </c>
      <c r="D456" s="1"/>
      <c r="E456" s="1"/>
    </row>
    <row r="457" spans="2:5" x14ac:dyDescent="0.3">
      <c r="B457" s="6">
        <v>0.291126549243927</v>
      </c>
      <c r="C457" s="1">
        <v>0</v>
      </c>
      <c r="D457" s="1"/>
      <c r="E457" s="1"/>
    </row>
    <row r="458" spans="2:5" x14ac:dyDescent="0.3">
      <c r="B458" s="6">
        <v>2.0672081038355831E-2</v>
      </c>
      <c r="C458" s="1">
        <v>0</v>
      </c>
      <c r="D458" s="1"/>
      <c r="E458" s="1"/>
    </row>
    <row r="459" spans="2:5" x14ac:dyDescent="0.3">
      <c r="B459" s="6">
        <v>3.020396688953042E-3</v>
      </c>
      <c r="C459" s="1">
        <v>0</v>
      </c>
      <c r="D459" s="1"/>
      <c r="E459" s="1"/>
    </row>
    <row r="460" spans="2:5" x14ac:dyDescent="0.3">
      <c r="B460" s="6">
        <v>0.84651046991348267</v>
      </c>
      <c r="C460" s="1">
        <v>1</v>
      </c>
      <c r="D460" s="1"/>
      <c r="E460" s="1"/>
    </row>
    <row r="461" spans="2:5" x14ac:dyDescent="0.3">
      <c r="B461" s="6">
        <v>0.95852857828140259</v>
      </c>
      <c r="C461" s="1">
        <v>1</v>
      </c>
      <c r="D461" s="1"/>
      <c r="E461" s="1"/>
    </row>
    <row r="462" spans="2:5" x14ac:dyDescent="0.3">
      <c r="B462" s="6">
        <v>3.8367619272321458E-3</v>
      </c>
      <c r="C462" s="1">
        <v>0</v>
      </c>
      <c r="D462" s="1"/>
      <c r="E462" s="1"/>
    </row>
    <row r="463" spans="2:5" x14ac:dyDescent="0.3">
      <c r="B463" s="6">
        <v>0.25518101453781128</v>
      </c>
      <c r="C463" s="1">
        <v>0</v>
      </c>
      <c r="D463" s="1"/>
      <c r="E463" s="1"/>
    </row>
    <row r="464" spans="2:5" x14ac:dyDescent="0.3">
      <c r="B464" s="6">
        <v>0.642261803150177</v>
      </c>
      <c r="C464" s="1">
        <v>1</v>
      </c>
      <c r="D464" s="1"/>
      <c r="E464" s="1"/>
    </row>
    <row r="465" spans="2:5" x14ac:dyDescent="0.3">
      <c r="B465" s="6">
        <v>0.29323813319206238</v>
      </c>
      <c r="C465" s="1">
        <v>0</v>
      </c>
      <c r="D465" s="1"/>
      <c r="E465" s="1"/>
    </row>
    <row r="466" spans="2:5" x14ac:dyDescent="0.3">
      <c r="B466" s="6">
        <v>1.4210282824933531E-2</v>
      </c>
      <c r="C466" s="1">
        <v>0</v>
      </c>
      <c r="D466" s="1"/>
      <c r="E466" s="1"/>
    </row>
    <row r="467" spans="2:5" x14ac:dyDescent="0.3">
      <c r="B467" s="6">
        <v>5.7611558586359024E-3</v>
      </c>
      <c r="C467" s="1">
        <v>0</v>
      </c>
      <c r="D467" s="1"/>
      <c r="E467" s="1"/>
    </row>
    <row r="468" spans="2:5" x14ac:dyDescent="0.3">
      <c r="B468" s="6">
        <v>0.89904385805130005</v>
      </c>
      <c r="C468" s="1">
        <v>1</v>
      </c>
      <c r="D468" s="1"/>
      <c r="E468" s="1"/>
    </row>
    <row r="469" spans="2:5" x14ac:dyDescent="0.3">
      <c r="B469" s="6">
        <v>0.78123486042022705</v>
      </c>
      <c r="C469" s="1">
        <v>1</v>
      </c>
      <c r="D469" s="1"/>
      <c r="E469" s="1"/>
    </row>
    <row r="470" spans="2:5" x14ac:dyDescent="0.3">
      <c r="B470" s="6">
        <v>2.5622459128499031E-2</v>
      </c>
      <c r="C470" s="1">
        <v>0</v>
      </c>
      <c r="D470" s="1"/>
      <c r="E470" s="1"/>
    </row>
    <row r="471" spans="2:5" x14ac:dyDescent="0.3">
      <c r="B471" s="6">
        <v>2.6622873265296221E-3</v>
      </c>
      <c r="C471" s="1">
        <v>0</v>
      </c>
      <c r="D471" s="1"/>
      <c r="E471" s="1"/>
    </row>
    <row r="472" spans="2:5" x14ac:dyDescent="0.3">
      <c r="B472" s="6">
        <v>0.78097927570343018</v>
      </c>
      <c r="C472" s="1">
        <v>1</v>
      </c>
      <c r="D472" s="1"/>
      <c r="E472" s="1"/>
    </row>
    <row r="473" spans="2:5" x14ac:dyDescent="0.3">
      <c r="B473" s="6">
        <v>0.95372200012207031</v>
      </c>
      <c r="C473" s="1">
        <v>1</v>
      </c>
      <c r="D473" s="1"/>
      <c r="E473" s="1"/>
    </row>
    <row r="474" spans="2:5" x14ac:dyDescent="0.3">
      <c r="B474" s="6">
        <v>0.78360801935195923</v>
      </c>
      <c r="C474" s="1">
        <v>1</v>
      </c>
      <c r="D474" s="1"/>
      <c r="E474" s="1"/>
    </row>
    <row r="475" spans="2:5" x14ac:dyDescent="0.3">
      <c r="B475" s="6">
        <v>0.86776202917098999</v>
      </c>
      <c r="C475" s="1">
        <v>1</v>
      </c>
      <c r="D475" s="1"/>
      <c r="E475" s="1"/>
    </row>
    <row r="476" spans="2:5" x14ac:dyDescent="0.3">
      <c r="B476" s="6">
        <v>4.9659501761198037E-2</v>
      </c>
      <c r="C476" s="1">
        <v>0</v>
      </c>
      <c r="D476" s="1"/>
      <c r="E476" s="1"/>
    </row>
    <row r="477" spans="2:5" x14ac:dyDescent="0.3">
      <c r="B477" s="6">
        <v>0.74683886766433716</v>
      </c>
      <c r="C477" s="1">
        <v>1</v>
      </c>
      <c r="D477" s="1"/>
      <c r="E477" s="1"/>
    </row>
    <row r="478" spans="2:5" x14ac:dyDescent="0.3">
      <c r="B478" s="6">
        <v>0.58167916536331177</v>
      </c>
      <c r="C478" s="1">
        <v>1</v>
      </c>
      <c r="D478" s="1"/>
      <c r="E478" s="1"/>
    </row>
    <row r="479" spans="2:5" x14ac:dyDescent="0.3">
      <c r="B479" s="6">
        <v>0.92458629608154297</v>
      </c>
      <c r="C479" s="1">
        <v>1</v>
      </c>
      <c r="D479" s="1"/>
      <c r="E479" s="1"/>
    </row>
    <row r="480" spans="2:5" x14ac:dyDescent="0.3">
      <c r="B480" s="6">
        <v>2.0688429474830631E-2</v>
      </c>
      <c r="C480" s="1">
        <v>0</v>
      </c>
      <c r="D480" s="1"/>
      <c r="E480" s="1"/>
    </row>
    <row r="481" spans="2:5" x14ac:dyDescent="0.3">
      <c r="B481" s="6">
        <v>0.89545994997024536</v>
      </c>
      <c r="C481" s="1">
        <v>1</v>
      </c>
      <c r="D481" s="1"/>
      <c r="E481" s="1"/>
    </row>
    <row r="482" spans="2:5" x14ac:dyDescent="0.3">
      <c r="B482" s="6">
        <v>0.23691241443157199</v>
      </c>
      <c r="C482" s="1">
        <v>0</v>
      </c>
      <c r="D482" s="1"/>
      <c r="E482" s="1"/>
    </row>
    <row r="483" spans="2:5" x14ac:dyDescent="0.3">
      <c r="B483" s="6">
        <v>3.2470319420099258E-2</v>
      </c>
      <c r="C483" s="1">
        <v>0</v>
      </c>
      <c r="D483" s="1"/>
      <c r="E483" s="1"/>
    </row>
    <row r="484" spans="2:5" x14ac:dyDescent="0.3">
      <c r="B484" s="6">
        <v>0.82182961702346802</v>
      </c>
      <c r="C484" s="1">
        <v>1</v>
      </c>
      <c r="D484" s="1"/>
      <c r="E484" s="1"/>
    </row>
    <row r="485" spans="2:5" x14ac:dyDescent="0.3">
      <c r="B485" s="6">
        <v>2.28218287229538E-2</v>
      </c>
      <c r="C485" s="1">
        <v>0</v>
      </c>
      <c r="D485" s="1"/>
      <c r="E485" s="1"/>
    </row>
    <row r="486" spans="2:5" x14ac:dyDescent="0.3">
      <c r="B486" s="6">
        <v>0.86608004570007324</v>
      </c>
      <c r="C486" s="1">
        <v>1</v>
      </c>
      <c r="D486" s="1"/>
      <c r="E486" s="1"/>
    </row>
    <row r="487" spans="2:5" x14ac:dyDescent="0.3">
      <c r="B487" s="6">
        <v>0.87621390819549561</v>
      </c>
      <c r="C487" s="1">
        <v>1</v>
      </c>
      <c r="D487" s="1"/>
      <c r="E487" s="1"/>
    </row>
    <row r="488" spans="2:5" x14ac:dyDescent="0.3">
      <c r="B488" s="6">
        <v>0.3730778694152832</v>
      </c>
      <c r="C488" s="1">
        <v>0</v>
      </c>
      <c r="D488" s="1"/>
      <c r="E488" s="1"/>
    </row>
    <row r="489" spans="2:5" x14ac:dyDescent="0.3">
      <c r="B489" s="6">
        <v>0.1663238853216171</v>
      </c>
      <c r="C489" s="1">
        <v>0</v>
      </c>
      <c r="D489" s="1"/>
      <c r="E489" s="1"/>
    </row>
    <row r="490" spans="2:5" x14ac:dyDescent="0.3">
      <c r="B490" s="6">
        <v>1.360734365880489E-2</v>
      </c>
      <c r="C490" s="1">
        <v>0</v>
      </c>
      <c r="D490" s="1"/>
      <c r="E490" s="1"/>
    </row>
    <row r="491" spans="2:5" x14ac:dyDescent="0.3">
      <c r="B491" s="6">
        <v>7.6839298009872437E-2</v>
      </c>
      <c r="C491" s="1">
        <v>0</v>
      </c>
      <c r="D491" s="1"/>
      <c r="E491" s="1"/>
    </row>
    <row r="492" spans="2:5" x14ac:dyDescent="0.3">
      <c r="B492" s="6">
        <v>0.1477229446172714</v>
      </c>
      <c r="C492" s="1">
        <v>0</v>
      </c>
      <c r="D492" s="1"/>
      <c r="E492" s="1"/>
    </row>
    <row r="493" spans="2:5" x14ac:dyDescent="0.3">
      <c r="B493" s="6">
        <v>0.73709136247634888</v>
      </c>
      <c r="C493" s="1">
        <v>1</v>
      </c>
      <c r="D493" s="1"/>
      <c r="E493" s="1"/>
    </row>
    <row r="494" spans="2:5" x14ac:dyDescent="0.3">
      <c r="B494" s="6">
        <v>4.9933701753616333E-2</v>
      </c>
      <c r="C494" s="1">
        <v>0</v>
      </c>
      <c r="D494" s="1"/>
      <c r="E494" s="1"/>
    </row>
    <row r="495" spans="2:5" x14ac:dyDescent="0.3">
      <c r="B495" s="6">
        <v>0.3358837366104126</v>
      </c>
      <c r="C495" s="1">
        <v>0</v>
      </c>
      <c r="D495" s="1"/>
      <c r="E495" s="1"/>
    </row>
    <row r="496" spans="2:5" x14ac:dyDescent="0.3">
      <c r="B496" s="6">
        <v>0.17709968984127039</v>
      </c>
      <c r="C496" s="1">
        <v>0</v>
      </c>
      <c r="D496" s="1"/>
      <c r="E496" s="1"/>
    </row>
    <row r="497" spans="2:5" x14ac:dyDescent="0.3">
      <c r="B497" s="6">
        <v>0.16777762770652771</v>
      </c>
      <c r="C497" s="1">
        <v>0</v>
      </c>
      <c r="D497" s="1"/>
      <c r="E497" s="1"/>
    </row>
    <row r="498" spans="2:5" x14ac:dyDescent="0.3">
      <c r="B498" s="6">
        <v>0.88342219591140747</v>
      </c>
      <c r="C498" s="1">
        <v>1</v>
      </c>
      <c r="D498" s="1"/>
      <c r="E498" s="1"/>
    </row>
    <row r="499" spans="2:5" x14ac:dyDescent="0.3">
      <c r="B499" s="6">
        <v>0.67509907484054565</v>
      </c>
      <c r="C499" s="1">
        <v>1</v>
      </c>
      <c r="D499" s="1"/>
      <c r="E499" s="1"/>
    </row>
    <row r="500" spans="2:5" x14ac:dyDescent="0.3">
      <c r="B500" s="6">
        <v>0.1879360228776932</v>
      </c>
      <c r="C500" s="1">
        <v>0</v>
      </c>
      <c r="D500" s="1"/>
      <c r="E500" s="1"/>
    </row>
    <row r="501" spans="2:5" x14ac:dyDescent="0.3">
      <c r="B501" s="6">
        <v>0.88989418745040894</v>
      </c>
      <c r="C501" s="1">
        <v>1</v>
      </c>
      <c r="D501" s="1"/>
      <c r="E501" s="1"/>
    </row>
    <row r="502" spans="2:5" x14ac:dyDescent="0.3">
      <c r="B502" s="6">
        <v>0.83014798164367676</v>
      </c>
      <c r="C502" s="1">
        <v>1</v>
      </c>
      <c r="D502" s="1"/>
      <c r="E502" s="1"/>
    </row>
    <row r="503" spans="2:5" x14ac:dyDescent="0.3">
      <c r="B503" s="6">
        <v>3.9621815085411072E-2</v>
      </c>
      <c r="C503" s="1">
        <v>0</v>
      </c>
      <c r="D503" s="1"/>
      <c r="E503" s="1"/>
    </row>
    <row r="504" spans="2:5" x14ac:dyDescent="0.3">
      <c r="B504" s="6">
        <v>1.2439503334462639E-2</v>
      </c>
      <c r="C504" s="1">
        <v>0</v>
      </c>
      <c r="D504" s="1"/>
      <c r="E504" s="1"/>
    </row>
    <row r="505" spans="2:5" x14ac:dyDescent="0.3">
      <c r="B505" s="6">
        <v>0.8659018874168396</v>
      </c>
      <c r="C505" s="1">
        <v>1</v>
      </c>
      <c r="D505" s="1"/>
      <c r="E505" s="1"/>
    </row>
    <row r="506" spans="2:5" x14ac:dyDescent="0.3">
      <c r="B506" s="6">
        <v>8.3037592470645905E-2</v>
      </c>
      <c r="C506" s="1">
        <v>0</v>
      </c>
      <c r="D506" s="1"/>
      <c r="E506" s="1"/>
    </row>
    <row r="507" spans="2:5" x14ac:dyDescent="0.3">
      <c r="B507" s="6">
        <v>0.12518589198589319</v>
      </c>
      <c r="C507" s="1">
        <v>0</v>
      </c>
      <c r="D507" s="1"/>
      <c r="E507" s="1"/>
    </row>
    <row r="508" spans="2:5" x14ac:dyDescent="0.3">
      <c r="B508" s="6">
        <v>0.29786458611488342</v>
      </c>
      <c r="C508" s="1">
        <v>0</v>
      </c>
      <c r="D508" s="1"/>
      <c r="E508" s="1"/>
    </row>
    <row r="509" spans="2:5" x14ac:dyDescent="0.3">
      <c r="B509" s="6">
        <v>3.117953659966588E-3</v>
      </c>
      <c r="C509" s="1">
        <v>0</v>
      </c>
      <c r="D509" s="1"/>
      <c r="E509" s="1"/>
    </row>
    <row r="510" spans="2:5" x14ac:dyDescent="0.3">
      <c r="B510" s="6">
        <v>3.3403723500668998E-3</v>
      </c>
      <c r="C510" s="1">
        <v>0</v>
      </c>
      <c r="D510" s="1"/>
      <c r="E510" s="1"/>
    </row>
    <row r="511" spans="2:5" x14ac:dyDescent="0.3">
      <c r="B511" s="6">
        <v>6.8156272172927856E-2</v>
      </c>
      <c r="C511" s="1">
        <v>0</v>
      </c>
      <c r="D511" s="1"/>
      <c r="E511" s="1"/>
    </row>
    <row r="512" spans="2:5" x14ac:dyDescent="0.3">
      <c r="B512" s="6">
        <v>1.020370237529278E-2</v>
      </c>
      <c r="C512" s="1">
        <v>0</v>
      </c>
      <c r="D512" s="1"/>
      <c r="E512" s="1"/>
    </row>
    <row r="513" spans="2:5" x14ac:dyDescent="0.3">
      <c r="B513" s="6">
        <v>0.65400773286819458</v>
      </c>
      <c r="C513" s="1">
        <v>1</v>
      </c>
      <c r="D513" s="1"/>
      <c r="E513" s="1"/>
    </row>
    <row r="514" spans="2:5" x14ac:dyDescent="0.3">
      <c r="B514" s="6">
        <v>0.89013272523880005</v>
      </c>
      <c r="C514" s="1">
        <v>1</v>
      </c>
      <c r="D514" s="1"/>
      <c r="E514" s="1"/>
    </row>
    <row r="515" spans="2:5" x14ac:dyDescent="0.3">
      <c r="B515" s="6">
        <v>0.78716564178466797</v>
      </c>
      <c r="C515" s="1">
        <v>1</v>
      </c>
      <c r="D515" s="1"/>
      <c r="E515" s="1"/>
    </row>
    <row r="516" spans="2:5" x14ac:dyDescent="0.3">
      <c r="B516" s="6">
        <v>0.92779421806335449</v>
      </c>
      <c r="C516" s="1">
        <v>1</v>
      </c>
      <c r="D516" s="1"/>
      <c r="E516" s="1"/>
    </row>
    <row r="517" spans="2:5" x14ac:dyDescent="0.3">
      <c r="B517" s="6">
        <v>1.7873480916023251E-2</v>
      </c>
      <c r="C517" s="1">
        <v>0</v>
      </c>
      <c r="D517" s="1"/>
      <c r="E517" s="1"/>
    </row>
    <row r="518" spans="2:5" x14ac:dyDescent="0.3">
      <c r="B518" s="6">
        <v>2.7038883417844769E-2</v>
      </c>
      <c r="C518" s="1">
        <v>0</v>
      </c>
      <c r="D518" s="1"/>
      <c r="E518" s="1"/>
    </row>
    <row r="519" spans="2:5" x14ac:dyDescent="0.3">
      <c r="B519" s="6">
        <v>9.699346125125885E-2</v>
      </c>
      <c r="C519" s="1">
        <v>0</v>
      </c>
      <c r="D519" s="1"/>
      <c r="E519" s="1"/>
    </row>
    <row r="520" spans="2:5" x14ac:dyDescent="0.3">
      <c r="B520" s="6">
        <v>0.60308897495269775</v>
      </c>
      <c r="C520" s="1">
        <v>1</v>
      </c>
      <c r="D520" s="1"/>
      <c r="E520" s="1"/>
    </row>
    <row r="521" spans="2:5" x14ac:dyDescent="0.3">
      <c r="B521" s="6">
        <v>0.74992388486862183</v>
      </c>
      <c r="C521" s="1">
        <v>1</v>
      </c>
      <c r="D521" s="1"/>
      <c r="E521" s="1"/>
    </row>
    <row r="522" spans="2:5" x14ac:dyDescent="0.3">
      <c r="B522" s="6">
        <v>0.89835834503173828</v>
      </c>
      <c r="C522" s="1">
        <v>1</v>
      </c>
      <c r="D522" s="1"/>
      <c r="E522" s="1"/>
    </row>
    <row r="523" spans="2:5" x14ac:dyDescent="0.3">
      <c r="B523" s="6">
        <v>6.3629895448684692E-2</v>
      </c>
      <c r="C523" s="1">
        <v>0</v>
      </c>
      <c r="D523" s="1"/>
      <c r="E523" s="1"/>
    </row>
    <row r="524" spans="2:5" x14ac:dyDescent="0.3">
      <c r="B524" s="6">
        <v>1.673977263271809E-2</v>
      </c>
      <c r="C524" s="1">
        <v>0</v>
      </c>
      <c r="D524" s="1"/>
      <c r="E524" s="1"/>
    </row>
    <row r="525" spans="2:5" x14ac:dyDescent="0.3">
      <c r="B525" s="6">
        <v>0.74568009376525879</v>
      </c>
      <c r="C525" s="1">
        <v>1</v>
      </c>
      <c r="D525" s="1"/>
      <c r="E525" s="1"/>
    </row>
    <row r="526" spans="2:5" x14ac:dyDescent="0.3">
      <c r="B526" s="6">
        <v>0.1115265265107155</v>
      </c>
      <c r="C526" s="1">
        <v>0</v>
      </c>
      <c r="D526" s="1"/>
      <c r="E526" s="1"/>
    </row>
    <row r="527" spans="2:5" x14ac:dyDescent="0.3">
      <c r="B527" s="6">
        <v>0.95900207757949829</v>
      </c>
      <c r="C527" s="1">
        <v>1</v>
      </c>
      <c r="D527" s="1"/>
      <c r="E527" s="1"/>
    </row>
    <row r="528" spans="2:5" x14ac:dyDescent="0.3">
      <c r="B528" s="6">
        <v>9.513586014509201E-2</v>
      </c>
      <c r="C528" s="1">
        <v>0</v>
      </c>
      <c r="D528" s="1"/>
      <c r="E528" s="1"/>
    </row>
    <row r="529" spans="2:5" x14ac:dyDescent="0.3">
      <c r="B529" s="6">
        <v>0.30911615490913391</v>
      </c>
      <c r="C529" s="1">
        <v>0</v>
      </c>
      <c r="D529" s="1"/>
      <c r="E529" s="1"/>
    </row>
    <row r="530" spans="2:5" x14ac:dyDescent="0.3">
      <c r="B530" s="6">
        <v>7.5422422960400581E-3</v>
      </c>
      <c r="C530" s="1">
        <v>0</v>
      </c>
      <c r="D530" s="1"/>
      <c r="E530" s="1"/>
    </row>
    <row r="531" spans="2:5" x14ac:dyDescent="0.3">
      <c r="B531" s="6">
        <v>0.23014518618583679</v>
      </c>
      <c r="C531" s="1">
        <v>0</v>
      </c>
      <c r="D531" s="1"/>
      <c r="E531" s="1"/>
    </row>
    <row r="532" spans="2:5" x14ac:dyDescent="0.3">
      <c r="B532" s="6">
        <v>0.32013007998466492</v>
      </c>
      <c r="C532" s="1">
        <v>0</v>
      </c>
      <c r="D532" s="1"/>
      <c r="E532" s="1"/>
    </row>
    <row r="533" spans="2:5" x14ac:dyDescent="0.3">
      <c r="B533" s="6">
        <v>0.80397111177444458</v>
      </c>
      <c r="C533" s="1">
        <v>1</v>
      </c>
      <c r="D533" s="1"/>
      <c r="E533" s="1"/>
    </row>
    <row r="534" spans="2:5" x14ac:dyDescent="0.3">
      <c r="B534" s="6">
        <v>0.39564135670661932</v>
      </c>
      <c r="C534" s="1">
        <v>0</v>
      </c>
      <c r="D534" s="1"/>
      <c r="E534" s="1"/>
    </row>
  </sheetData>
  <autoFilter ref="B3:E3" xr:uid="{64F55BA6-DCF4-4B76-9C3D-1DA69541AE55}"/>
  <mergeCells count="3">
    <mergeCell ref="A1:N2"/>
    <mergeCell ref="H15:I15"/>
    <mergeCell ref="J15:K15"/>
  </mergeCell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A646-302A-47F0-B701-90B3CA0358D6}">
  <dimension ref="A1:J760"/>
  <sheetViews>
    <sheetView tabSelected="1" workbookViewId="0">
      <selection activeCell="I4" sqref="I4"/>
    </sheetView>
  </sheetViews>
  <sheetFormatPr defaultRowHeight="14.4" x14ac:dyDescent="0.3"/>
  <cols>
    <col min="1" max="1" width="13.6640625" bestFit="1" customWidth="1"/>
    <col min="2" max="2" width="16" bestFit="1" customWidth="1"/>
    <col min="3" max="3" width="18.77734375" bestFit="1" customWidth="1"/>
    <col min="4" max="4" width="14.109375" bestFit="1" customWidth="1"/>
    <col min="8" max="8" width="12.5546875" bestFit="1" customWidth="1"/>
    <col min="9" max="9" width="16.109375" bestFit="1" customWidth="1"/>
    <col min="10" max="10" width="17.21875" bestFit="1" customWidth="1"/>
  </cols>
  <sheetData>
    <row r="1" spans="1:10" x14ac:dyDescent="0.3">
      <c r="A1" s="25" t="s">
        <v>966</v>
      </c>
      <c r="B1" s="25" t="s">
        <v>1826</v>
      </c>
      <c r="C1" s="25" t="s">
        <v>1829</v>
      </c>
      <c r="D1" s="25" t="s">
        <v>1830</v>
      </c>
    </row>
    <row r="2" spans="1:10" x14ac:dyDescent="0.3">
      <c r="A2" t="s">
        <v>1616</v>
      </c>
      <c r="B2" t="s">
        <v>1327</v>
      </c>
      <c r="C2">
        <v>1</v>
      </c>
      <c r="D2" s="34">
        <v>0.5095699146955267</v>
      </c>
    </row>
    <row r="3" spans="1:10" x14ac:dyDescent="0.3">
      <c r="A3" t="s">
        <v>1298</v>
      </c>
      <c r="B3" t="s">
        <v>979</v>
      </c>
      <c r="C3">
        <v>1</v>
      </c>
      <c r="D3" s="34">
        <v>0.54633691611459334</v>
      </c>
      <c r="H3" s="41" t="s">
        <v>1812</v>
      </c>
      <c r="I3" t="s">
        <v>1831</v>
      </c>
      <c r="J3" t="s">
        <v>1832</v>
      </c>
    </row>
    <row r="4" spans="1:10" x14ac:dyDescent="0.3">
      <c r="A4" t="s">
        <v>1095</v>
      </c>
      <c r="B4" t="s">
        <v>979</v>
      </c>
      <c r="C4">
        <v>1</v>
      </c>
      <c r="D4" s="34">
        <v>0.53447676871371375</v>
      </c>
      <c r="H4" s="42" t="s">
        <v>1327</v>
      </c>
      <c r="I4" s="43">
        <v>0.55787770122772951</v>
      </c>
      <c r="J4" s="43">
        <v>443</v>
      </c>
    </row>
    <row r="5" spans="1:10" x14ac:dyDescent="0.3">
      <c r="A5" t="s">
        <v>1516</v>
      </c>
      <c r="B5" t="s">
        <v>1327</v>
      </c>
      <c r="C5">
        <v>0</v>
      </c>
      <c r="D5" s="34">
        <v>0.49827919455870778</v>
      </c>
      <c r="H5" s="42" t="s">
        <v>979</v>
      </c>
      <c r="I5" s="43">
        <v>0.55361273189103821</v>
      </c>
      <c r="J5" s="43">
        <v>316</v>
      </c>
    </row>
    <row r="6" spans="1:10" x14ac:dyDescent="0.3">
      <c r="A6" t="s">
        <v>1375</v>
      </c>
      <c r="B6" t="s">
        <v>1327</v>
      </c>
      <c r="C6">
        <v>0</v>
      </c>
      <c r="D6" s="34">
        <v>0.49827919455870778</v>
      </c>
      <c r="H6" s="42" t="s">
        <v>1813</v>
      </c>
      <c r="I6" s="43">
        <v>0.55787770122772951</v>
      </c>
      <c r="J6" s="43">
        <v>759</v>
      </c>
    </row>
    <row r="7" spans="1:10" x14ac:dyDescent="0.3">
      <c r="A7" t="s">
        <v>1360</v>
      </c>
      <c r="B7" t="s">
        <v>1327</v>
      </c>
      <c r="C7">
        <v>1</v>
      </c>
      <c r="D7" s="34">
        <v>0.52861075830877258</v>
      </c>
    </row>
    <row r="8" spans="1:10" x14ac:dyDescent="0.3">
      <c r="A8" t="s">
        <v>1107</v>
      </c>
      <c r="B8" t="s">
        <v>979</v>
      </c>
      <c r="C8">
        <v>0</v>
      </c>
      <c r="D8" s="34">
        <v>0.49827919455870778</v>
      </c>
    </row>
    <row r="9" spans="1:10" x14ac:dyDescent="0.3">
      <c r="A9" t="s">
        <v>1476</v>
      </c>
      <c r="B9" t="s">
        <v>1327</v>
      </c>
      <c r="C9">
        <v>0</v>
      </c>
      <c r="D9" s="34">
        <v>0.49827919455870778</v>
      </c>
    </row>
    <row r="10" spans="1:10" x14ac:dyDescent="0.3">
      <c r="A10" t="s">
        <v>1174</v>
      </c>
      <c r="B10" t="s">
        <v>979</v>
      </c>
      <c r="C10">
        <v>1</v>
      </c>
      <c r="D10" s="34">
        <v>0.52861075830877258</v>
      </c>
    </row>
    <row r="11" spans="1:10" x14ac:dyDescent="0.3">
      <c r="A11" t="s">
        <v>1025</v>
      </c>
      <c r="B11" t="s">
        <v>979</v>
      </c>
      <c r="C11">
        <v>0</v>
      </c>
      <c r="D11" s="34">
        <v>0.49420581579017753</v>
      </c>
    </row>
    <row r="12" spans="1:10" x14ac:dyDescent="0.3">
      <c r="A12" t="s">
        <v>1111</v>
      </c>
      <c r="B12" t="s">
        <v>979</v>
      </c>
      <c r="C12">
        <v>0</v>
      </c>
      <c r="D12" s="34">
        <v>0.49335327153360847</v>
      </c>
    </row>
    <row r="13" spans="1:10" x14ac:dyDescent="0.3">
      <c r="A13" t="s">
        <v>1567</v>
      </c>
      <c r="B13" t="s">
        <v>1327</v>
      </c>
      <c r="C13">
        <v>1</v>
      </c>
      <c r="D13" s="34">
        <v>0.52453737954024215</v>
      </c>
    </row>
    <row r="14" spans="1:10" x14ac:dyDescent="0.3">
      <c r="A14" t="s">
        <v>1568</v>
      </c>
      <c r="B14" t="s">
        <v>1327</v>
      </c>
      <c r="C14">
        <v>0</v>
      </c>
      <c r="D14" s="34">
        <v>0.49855966739454721</v>
      </c>
    </row>
    <row r="15" spans="1:10" x14ac:dyDescent="0.3">
      <c r="A15" t="s">
        <v>1087</v>
      </c>
      <c r="B15" t="s">
        <v>979</v>
      </c>
      <c r="C15">
        <v>0</v>
      </c>
      <c r="D15" s="34">
        <v>0.49855966739454721</v>
      </c>
    </row>
    <row r="16" spans="1:10" x14ac:dyDescent="0.3">
      <c r="A16" t="s">
        <v>1376</v>
      </c>
      <c r="B16" t="s">
        <v>1327</v>
      </c>
      <c r="C16">
        <v>0</v>
      </c>
      <c r="D16" s="34">
        <v>0.49855966739454721</v>
      </c>
    </row>
    <row r="17" spans="1:4" x14ac:dyDescent="0.3">
      <c r="A17" t="s">
        <v>1617</v>
      </c>
      <c r="B17" t="s">
        <v>1327</v>
      </c>
      <c r="C17">
        <v>1</v>
      </c>
      <c r="D17" s="34">
        <v>0.53447676871371375</v>
      </c>
    </row>
    <row r="18" spans="1:4" x14ac:dyDescent="0.3">
      <c r="A18" t="s">
        <v>1589</v>
      </c>
      <c r="B18" t="s">
        <v>1327</v>
      </c>
      <c r="C18">
        <v>0</v>
      </c>
      <c r="D18" s="34">
        <v>0.49855966739454721</v>
      </c>
    </row>
    <row r="19" spans="1:4" x14ac:dyDescent="0.3">
      <c r="A19" t="s">
        <v>1199</v>
      </c>
      <c r="B19" t="s">
        <v>979</v>
      </c>
      <c r="C19">
        <v>0</v>
      </c>
      <c r="D19" s="34">
        <v>0.49855966739454721</v>
      </c>
    </row>
    <row r="20" spans="1:4" x14ac:dyDescent="0.3">
      <c r="A20" t="s">
        <v>1501</v>
      </c>
      <c r="B20" t="s">
        <v>1327</v>
      </c>
      <c r="C20">
        <v>1</v>
      </c>
      <c r="D20" s="34">
        <v>0.5095699146955267</v>
      </c>
    </row>
    <row r="21" spans="1:4" x14ac:dyDescent="0.3">
      <c r="A21" t="s">
        <v>1120</v>
      </c>
      <c r="B21" t="s">
        <v>979</v>
      </c>
      <c r="C21">
        <v>1</v>
      </c>
      <c r="D21" s="34">
        <v>0.5095699146955267</v>
      </c>
    </row>
    <row r="22" spans="1:4" x14ac:dyDescent="0.3">
      <c r="A22" t="s">
        <v>1100</v>
      </c>
      <c r="B22" t="s">
        <v>979</v>
      </c>
      <c r="C22">
        <v>1</v>
      </c>
      <c r="D22" s="34">
        <v>0.5095699146955267</v>
      </c>
    </row>
    <row r="23" spans="1:4" x14ac:dyDescent="0.3">
      <c r="A23" t="s">
        <v>1361</v>
      </c>
      <c r="B23" t="s">
        <v>1327</v>
      </c>
      <c r="C23">
        <v>1</v>
      </c>
      <c r="D23" s="34">
        <v>0.5095699146955267</v>
      </c>
    </row>
    <row r="24" spans="1:4" x14ac:dyDescent="0.3">
      <c r="A24" t="s">
        <v>1430</v>
      </c>
      <c r="B24" t="s">
        <v>1327</v>
      </c>
      <c r="C24">
        <v>1</v>
      </c>
      <c r="D24" s="34">
        <v>0.54633691611459334</v>
      </c>
    </row>
    <row r="25" spans="1:4" x14ac:dyDescent="0.3">
      <c r="A25" t="s">
        <v>1446</v>
      </c>
      <c r="B25" t="s">
        <v>1327</v>
      </c>
      <c r="C25">
        <v>1</v>
      </c>
      <c r="D25" s="34">
        <v>0.54633691611459334</v>
      </c>
    </row>
    <row r="26" spans="1:4" x14ac:dyDescent="0.3">
      <c r="A26" t="s">
        <v>1487</v>
      </c>
      <c r="B26" t="s">
        <v>1327</v>
      </c>
      <c r="C26">
        <v>0</v>
      </c>
      <c r="D26" s="34">
        <v>0.49855966739454721</v>
      </c>
    </row>
    <row r="27" spans="1:4" x14ac:dyDescent="0.3">
      <c r="A27" t="s">
        <v>1569</v>
      </c>
      <c r="B27" t="s">
        <v>1327</v>
      </c>
      <c r="C27">
        <v>1</v>
      </c>
      <c r="D27" s="34">
        <v>0.53447676871371375</v>
      </c>
    </row>
    <row r="28" spans="1:4" x14ac:dyDescent="0.3">
      <c r="A28" t="s">
        <v>1723</v>
      </c>
      <c r="B28" t="s">
        <v>1327</v>
      </c>
      <c r="C28">
        <v>0</v>
      </c>
      <c r="D28" s="34">
        <v>0.46194467458447902</v>
      </c>
    </row>
    <row r="29" spans="1:4" x14ac:dyDescent="0.3">
      <c r="A29" t="s">
        <v>1101</v>
      </c>
      <c r="B29" t="s">
        <v>979</v>
      </c>
      <c r="C29">
        <v>0</v>
      </c>
      <c r="D29" s="34">
        <v>0.49827919455870778</v>
      </c>
    </row>
    <row r="30" spans="1:4" x14ac:dyDescent="0.3">
      <c r="A30" t="s">
        <v>1343</v>
      </c>
      <c r="B30" t="s">
        <v>1327</v>
      </c>
      <c r="C30">
        <v>0</v>
      </c>
      <c r="D30" s="34">
        <v>0.49420581579017753</v>
      </c>
    </row>
    <row r="31" spans="1:4" x14ac:dyDescent="0.3">
      <c r="A31" t="s">
        <v>1459</v>
      </c>
      <c r="B31" t="s">
        <v>1327</v>
      </c>
      <c r="C31">
        <v>1</v>
      </c>
      <c r="D31" s="34">
        <v>0.52861075830877258</v>
      </c>
    </row>
    <row r="32" spans="1:4" x14ac:dyDescent="0.3">
      <c r="A32" t="s">
        <v>1412</v>
      </c>
      <c r="B32" t="s">
        <v>1327</v>
      </c>
      <c r="C32">
        <v>0</v>
      </c>
      <c r="D32" s="34">
        <v>0.49827919455870778</v>
      </c>
    </row>
    <row r="33" spans="1:4" x14ac:dyDescent="0.3">
      <c r="A33" t="s">
        <v>1268</v>
      </c>
      <c r="B33" t="s">
        <v>979</v>
      </c>
      <c r="C33">
        <v>1</v>
      </c>
      <c r="D33" s="34">
        <v>0.52861075830877258</v>
      </c>
    </row>
    <row r="34" spans="1:4" x14ac:dyDescent="0.3">
      <c r="A34" t="s">
        <v>1703</v>
      </c>
      <c r="B34" t="s">
        <v>1327</v>
      </c>
      <c r="C34">
        <v>0</v>
      </c>
      <c r="D34" s="34">
        <v>0.49827919455870778</v>
      </c>
    </row>
    <row r="35" spans="1:4" x14ac:dyDescent="0.3">
      <c r="A35" t="s">
        <v>1029</v>
      </c>
      <c r="B35" t="s">
        <v>979</v>
      </c>
      <c r="C35">
        <v>0</v>
      </c>
      <c r="D35" s="34">
        <v>0.49827919455870778</v>
      </c>
    </row>
    <row r="36" spans="1:4" x14ac:dyDescent="0.3">
      <c r="A36" t="s">
        <v>1682</v>
      </c>
      <c r="B36" t="s">
        <v>1327</v>
      </c>
      <c r="C36">
        <v>1</v>
      </c>
      <c r="D36" s="34">
        <v>0.52861075830877258</v>
      </c>
    </row>
    <row r="37" spans="1:4" x14ac:dyDescent="0.3">
      <c r="A37" t="s">
        <v>1502</v>
      </c>
      <c r="B37" t="s">
        <v>1327</v>
      </c>
      <c r="C37">
        <v>1</v>
      </c>
      <c r="D37" s="34">
        <v>0.54241347639918036</v>
      </c>
    </row>
    <row r="38" spans="1:4" x14ac:dyDescent="0.3">
      <c r="A38" t="s">
        <v>1541</v>
      </c>
      <c r="B38" t="s">
        <v>1327</v>
      </c>
      <c r="C38">
        <v>1</v>
      </c>
      <c r="D38" s="34">
        <v>0.54241347639918036</v>
      </c>
    </row>
    <row r="39" spans="1:4" x14ac:dyDescent="0.3">
      <c r="A39" t="s">
        <v>1552</v>
      </c>
      <c r="B39" t="s">
        <v>1327</v>
      </c>
      <c r="C39">
        <v>1</v>
      </c>
      <c r="D39" s="34">
        <v>0.54156093214261136</v>
      </c>
    </row>
    <row r="40" spans="1:4" x14ac:dyDescent="0.3">
      <c r="A40" t="s">
        <v>1335</v>
      </c>
      <c r="B40" t="s">
        <v>1327</v>
      </c>
      <c r="C40">
        <v>1</v>
      </c>
      <c r="D40" s="34">
        <v>0.54648685516771078</v>
      </c>
    </row>
    <row r="41" spans="1:4" x14ac:dyDescent="0.3">
      <c r="A41" t="s">
        <v>1570</v>
      </c>
      <c r="B41" t="s">
        <v>1327</v>
      </c>
      <c r="C41">
        <v>1</v>
      </c>
      <c r="D41" s="34">
        <v>0.54648685516771078</v>
      </c>
    </row>
    <row r="42" spans="1:4" x14ac:dyDescent="0.3">
      <c r="A42" t="s">
        <v>1197</v>
      </c>
      <c r="B42" t="s">
        <v>979</v>
      </c>
      <c r="C42">
        <v>1</v>
      </c>
      <c r="D42" s="34">
        <v>0.54648685516771078</v>
      </c>
    </row>
    <row r="43" spans="1:4" x14ac:dyDescent="0.3">
      <c r="A43" t="s">
        <v>1321</v>
      </c>
      <c r="B43" t="s">
        <v>979</v>
      </c>
      <c r="C43">
        <v>1</v>
      </c>
      <c r="D43" s="34">
        <v>0.54648685516771078</v>
      </c>
    </row>
    <row r="44" spans="1:4" x14ac:dyDescent="0.3">
      <c r="A44" t="s">
        <v>1517</v>
      </c>
      <c r="B44" t="s">
        <v>1327</v>
      </c>
      <c r="C44">
        <v>1</v>
      </c>
      <c r="D44" s="34">
        <v>0.54648685516771078</v>
      </c>
    </row>
    <row r="45" spans="1:4" x14ac:dyDescent="0.3">
      <c r="A45" t="s">
        <v>1299</v>
      </c>
      <c r="B45" t="s">
        <v>979</v>
      </c>
      <c r="C45">
        <v>0</v>
      </c>
      <c r="D45" s="34">
        <v>0.49827919455870778</v>
      </c>
    </row>
    <row r="46" spans="1:4" x14ac:dyDescent="0.3">
      <c r="A46" t="s">
        <v>1143</v>
      </c>
      <c r="B46" t="s">
        <v>979</v>
      </c>
      <c r="C46">
        <v>0</v>
      </c>
      <c r="D46" s="34">
        <v>0.49827919455870778</v>
      </c>
    </row>
    <row r="47" spans="1:4" x14ac:dyDescent="0.3">
      <c r="A47" t="s">
        <v>1168</v>
      </c>
      <c r="B47" t="s">
        <v>979</v>
      </c>
      <c r="C47">
        <v>1</v>
      </c>
      <c r="D47" s="34">
        <v>0.52861075830877258</v>
      </c>
    </row>
    <row r="48" spans="1:4" x14ac:dyDescent="0.3">
      <c r="A48" t="s">
        <v>1553</v>
      </c>
      <c r="B48" t="s">
        <v>1327</v>
      </c>
      <c r="C48">
        <v>1</v>
      </c>
      <c r="D48" s="34">
        <v>0.51491023212910847</v>
      </c>
    </row>
    <row r="49" spans="1:4" x14ac:dyDescent="0.3">
      <c r="A49" t="s">
        <v>1175</v>
      </c>
      <c r="B49" t="s">
        <v>979</v>
      </c>
      <c r="C49">
        <v>1</v>
      </c>
      <c r="D49" s="34">
        <v>0.51491023212910847</v>
      </c>
    </row>
    <row r="50" spans="1:4" x14ac:dyDescent="0.3">
      <c r="A50" t="s">
        <v>1067</v>
      </c>
      <c r="B50" t="s">
        <v>979</v>
      </c>
      <c r="C50">
        <v>1</v>
      </c>
      <c r="D50" s="34">
        <v>0.51083685336057816</v>
      </c>
    </row>
    <row r="51" spans="1:4" x14ac:dyDescent="0.3">
      <c r="A51" t="s">
        <v>1390</v>
      </c>
      <c r="B51" t="s">
        <v>1327</v>
      </c>
      <c r="C51">
        <v>1</v>
      </c>
      <c r="D51" s="34">
        <v>0.51491023212910847</v>
      </c>
    </row>
    <row r="52" spans="1:4" x14ac:dyDescent="0.3">
      <c r="A52" t="s">
        <v>1571</v>
      </c>
      <c r="B52" t="s">
        <v>1327</v>
      </c>
      <c r="C52">
        <v>1</v>
      </c>
      <c r="D52" s="34">
        <v>0.55361273189103821</v>
      </c>
    </row>
    <row r="53" spans="1:4" x14ac:dyDescent="0.3">
      <c r="A53" t="s">
        <v>1669</v>
      </c>
      <c r="B53" t="s">
        <v>1327</v>
      </c>
      <c r="C53">
        <v>0</v>
      </c>
      <c r="D53" s="34">
        <v>0.48242547365343108</v>
      </c>
    </row>
    <row r="54" spans="1:4" x14ac:dyDescent="0.3">
      <c r="A54" t="s">
        <v>1488</v>
      </c>
      <c r="B54" t="s">
        <v>1327</v>
      </c>
      <c r="C54">
        <v>1</v>
      </c>
      <c r="D54" s="34">
        <v>0.51491023212910847</v>
      </c>
    </row>
    <row r="55" spans="1:4" x14ac:dyDescent="0.3">
      <c r="A55" t="s">
        <v>1203</v>
      </c>
      <c r="B55" t="s">
        <v>979</v>
      </c>
      <c r="C55">
        <v>1</v>
      </c>
      <c r="D55" s="34">
        <v>0.54648685516771078</v>
      </c>
    </row>
    <row r="56" spans="1:4" x14ac:dyDescent="0.3">
      <c r="A56" t="s">
        <v>1125</v>
      </c>
      <c r="B56" t="s">
        <v>979</v>
      </c>
      <c r="C56">
        <v>1</v>
      </c>
      <c r="D56" s="34">
        <v>0.53447676871371375</v>
      </c>
    </row>
    <row r="57" spans="1:4" x14ac:dyDescent="0.3">
      <c r="A57" t="s">
        <v>1422</v>
      </c>
      <c r="B57" t="s">
        <v>1327</v>
      </c>
      <c r="C57">
        <v>0</v>
      </c>
      <c r="D57" s="34">
        <v>0.49855966739454721</v>
      </c>
    </row>
    <row r="58" spans="1:4" x14ac:dyDescent="0.3">
      <c r="A58" t="s">
        <v>1644</v>
      </c>
      <c r="B58" t="s">
        <v>1327</v>
      </c>
      <c r="C58">
        <v>0</v>
      </c>
      <c r="D58" s="34">
        <v>0.49855966739454721</v>
      </c>
    </row>
    <row r="59" spans="1:4" x14ac:dyDescent="0.3">
      <c r="A59" t="s">
        <v>1518</v>
      </c>
      <c r="B59" t="s">
        <v>1327</v>
      </c>
      <c r="C59">
        <v>0</v>
      </c>
      <c r="D59" s="34">
        <v>0.49855966739454721</v>
      </c>
    </row>
    <row r="60" spans="1:4" x14ac:dyDescent="0.3">
      <c r="A60" t="s">
        <v>1645</v>
      </c>
      <c r="B60" t="s">
        <v>1327</v>
      </c>
      <c r="C60">
        <v>1</v>
      </c>
      <c r="D60" s="34">
        <v>0.5095699146955267</v>
      </c>
    </row>
    <row r="61" spans="1:4" x14ac:dyDescent="0.3">
      <c r="A61" t="s">
        <v>1572</v>
      </c>
      <c r="B61" t="s">
        <v>1327</v>
      </c>
      <c r="C61">
        <v>1</v>
      </c>
      <c r="D61" s="34">
        <v>0.5095699146955267</v>
      </c>
    </row>
    <row r="62" spans="1:4" x14ac:dyDescent="0.3">
      <c r="A62" t="s">
        <v>1605</v>
      </c>
      <c r="B62" t="s">
        <v>1327</v>
      </c>
      <c r="C62">
        <v>1</v>
      </c>
      <c r="D62" s="34">
        <v>0.5095699146955267</v>
      </c>
    </row>
    <row r="63" spans="1:4" x14ac:dyDescent="0.3">
      <c r="A63" t="s">
        <v>1292</v>
      </c>
      <c r="B63" t="s">
        <v>979</v>
      </c>
      <c r="C63">
        <v>1</v>
      </c>
      <c r="D63" s="34">
        <v>0.5095699146955267</v>
      </c>
    </row>
    <row r="64" spans="1:4" x14ac:dyDescent="0.3">
      <c r="A64" t="s">
        <v>1046</v>
      </c>
      <c r="B64" t="s">
        <v>979</v>
      </c>
      <c r="C64">
        <v>1</v>
      </c>
      <c r="D64" s="34">
        <v>0.5095699146955267</v>
      </c>
    </row>
    <row r="65" spans="1:4" x14ac:dyDescent="0.3">
      <c r="A65" t="s">
        <v>1283</v>
      </c>
      <c r="B65" t="s">
        <v>979</v>
      </c>
      <c r="C65">
        <v>1</v>
      </c>
      <c r="D65" s="34">
        <v>0.5095699146955267</v>
      </c>
    </row>
    <row r="66" spans="1:4" x14ac:dyDescent="0.3">
      <c r="A66" t="s">
        <v>1227</v>
      </c>
      <c r="B66" t="s">
        <v>979</v>
      </c>
      <c r="C66">
        <v>1</v>
      </c>
      <c r="D66" s="34">
        <v>0.54633691611459334</v>
      </c>
    </row>
    <row r="67" spans="1:4" x14ac:dyDescent="0.3">
      <c r="A67" t="s">
        <v>1724</v>
      </c>
      <c r="B67" t="s">
        <v>1327</v>
      </c>
      <c r="C67">
        <v>0</v>
      </c>
      <c r="D67" s="34">
        <v>0.41980148999502098</v>
      </c>
    </row>
    <row r="68" spans="1:4" x14ac:dyDescent="0.3">
      <c r="A68" t="s">
        <v>1362</v>
      </c>
      <c r="B68" t="s">
        <v>1327</v>
      </c>
      <c r="C68">
        <v>0</v>
      </c>
      <c r="D68" s="34">
        <v>0.49855966739454721</v>
      </c>
    </row>
    <row r="69" spans="1:4" x14ac:dyDescent="0.3">
      <c r="A69" t="s">
        <v>1253</v>
      </c>
      <c r="B69" t="s">
        <v>979</v>
      </c>
      <c r="C69">
        <v>1</v>
      </c>
      <c r="D69" s="34">
        <v>0.53447676871371375</v>
      </c>
    </row>
    <row r="70" spans="1:4" x14ac:dyDescent="0.3">
      <c r="A70" t="s">
        <v>1051</v>
      </c>
      <c r="B70" t="s">
        <v>979</v>
      </c>
      <c r="C70">
        <v>1</v>
      </c>
      <c r="D70" s="34">
        <v>0.54648685516771078</v>
      </c>
    </row>
    <row r="71" spans="1:4" x14ac:dyDescent="0.3">
      <c r="A71" t="s">
        <v>1176</v>
      </c>
      <c r="B71" t="s">
        <v>979</v>
      </c>
      <c r="C71">
        <v>1</v>
      </c>
      <c r="D71" s="34">
        <v>0.54648685516771078</v>
      </c>
    </row>
    <row r="72" spans="1:4" x14ac:dyDescent="0.3">
      <c r="A72" t="s">
        <v>1000</v>
      </c>
      <c r="B72" t="s">
        <v>979</v>
      </c>
      <c r="C72">
        <v>1</v>
      </c>
      <c r="D72" s="34">
        <v>0.54648685516771078</v>
      </c>
    </row>
    <row r="73" spans="1:4" x14ac:dyDescent="0.3">
      <c r="A73" t="s">
        <v>1351</v>
      </c>
      <c r="B73" t="s">
        <v>1327</v>
      </c>
      <c r="C73">
        <v>1</v>
      </c>
      <c r="D73" s="34">
        <v>0.54648685516771078</v>
      </c>
    </row>
    <row r="74" spans="1:4" x14ac:dyDescent="0.3">
      <c r="A74" t="s">
        <v>1149</v>
      </c>
      <c r="B74" t="s">
        <v>979</v>
      </c>
      <c r="C74">
        <v>1</v>
      </c>
      <c r="D74" s="34">
        <v>0.54648685516771078</v>
      </c>
    </row>
    <row r="75" spans="1:4" x14ac:dyDescent="0.3">
      <c r="A75" t="s">
        <v>1027</v>
      </c>
      <c r="B75" t="s">
        <v>979</v>
      </c>
      <c r="C75">
        <v>1</v>
      </c>
      <c r="D75" s="34">
        <v>0.55361273189103821</v>
      </c>
    </row>
    <row r="76" spans="1:4" x14ac:dyDescent="0.3">
      <c r="A76" t="s">
        <v>1725</v>
      </c>
      <c r="B76" t="s">
        <v>1327</v>
      </c>
      <c r="C76">
        <v>0</v>
      </c>
      <c r="D76" s="34">
        <v>0.4841101071984823</v>
      </c>
    </row>
    <row r="77" spans="1:4" x14ac:dyDescent="0.3">
      <c r="A77" t="s">
        <v>1726</v>
      </c>
      <c r="B77" t="s">
        <v>1327</v>
      </c>
      <c r="C77">
        <v>0</v>
      </c>
      <c r="D77" s="34">
        <v>0.4841101071984823</v>
      </c>
    </row>
    <row r="78" spans="1:4" x14ac:dyDescent="0.3">
      <c r="A78" t="s">
        <v>1193</v>
      </c>
      <c r="B78" t="s">
        <v>979</v>
      </c>
      <c r="C78">
        <v>1</v>
      </c>
      <c r="D78" s="34">
        <v>0.54648685516771078</v>
      </c>
    </row>
    <row r="79" spans="1:4" x14ac:dyDescent="0.3">
      <c r="A79" t="s">
        <v>1618</v>
      </c>
      <c r="B79" t="s">
        <v>1327</v>
      </c>
      <c r="C79">
        <v>1</v>
      </c>
      <c r="D79" s="34">
        <v>0.54648685516771078</v>
      </c>
    </row>
    <row r="80" spans="1:4" x14ac:dyDescent="0.3">
      <c r="A80" t="s">
        <v>1240</v>
      </c>
      <c r="B80" t="s">
        <v>979</v>
      </c>
      <c r="C80">
        <v>0</v>
      </c>
      <c r="D80" s="34">
        <v>0.49420581579017753</v>
      </c>
    </row>
    <row r="81" spans="1:4" x14ac:dyDescent="0.3">
      <c r="A81" t="s">
        <v>1241</v>
      </c>
      <c r="B81" t="s">
        <v>979</v>
      </c>
      <c r="C81">
        <v>0</v>
      </c>
      <c r="D81" s="34">
        <v>0.49827919455870778</v>
      </c>
    </row>
    <row r="82" spans="1:4" x14ac:dyDescent="0.3">
      <c r="A82" t="s">
        <v>1160</v>
      </c>
      <c r="B82" t="s">
        <v>979</v>
      </c>
      <c r="C82">
        <v>1</v>
      </c>
      <c r="D82" s="34">
        <v>0.52861075830877258</v>
      </c>
    </row>
    <row r="83" spans="1:4" x14ac:dyDescent="0.3">
      <c r="A83" t="s">
        <v>1272</v>
      </c>
      <c r="B83" t="s">
        <v>979</v>
      </c>
      <c r="C83">
        <v>0</v>
      </c>
      <c r="D83" s="34">
        <v>0.49827919455870778</v>
      </c>
    </row>
    <row r="84" spans="1:4" x14ac:dyDescent="0.3">
      <c r="A84" t="s">
        <v>1646</v>
      </c>
      <c r="B84" t="s">
        <v>1327</v>
      </c>
      <c r="C84">
        <v>0</v>
      </c>
      <c r="D84" s="34">
        <v>0.49827919455870778</v>
      </c>
    </row>
    <row r="85" spans="1:4" x14ac:dyDescent="0.3">
      <c r="A85" t="s">
        <v>1074</v>
      </c>
      <c r="B85" t="s">
        <v>979</v>
      </c>
      <c r="C85">
        <v>1</v>
      </c>
      <c r="D85" s="34">
        <v>0.52861075830877258</v>
      </c>
    </row>
    <row r="86" spans="1:4" x14ac:dyDescent="0.3">
      <c r="A86" t="s">
        <v>1243</v>
      </c>
      <c r="B86" t="s">
        <v>979</v>
      </c>
      <c r="C86">
        <v>0</v>
      </c>
      <c r="D86" s="34">
        <v>0.49827919455870778</v>
      </c>
    </row>
    <row r="87" spans="1:4" x14ac:dyDescent="0.3">
      <c r="A87" t="s">
        <v>1232</v>
      </c>
      <c r="B87" t="s">
        <v>979</v>
      </c>
      <c r="C87">
        <v>0</v>
      </c>
      <c r="D87" s="34">
        <v>0.49827919455870778</v>
      </c>
    </row>
    <row r="88" spans="1:4" x14ac:dyDescent="0.3">
      <c r="A88" t="s">
        <v>1077</v>
      </c>
      <c r="B88" t="s">
        <v>979</v>
      </c>
      <c r="C88">
        <v>0</v>
      </c>
      <c r="D88" s="34">
        <v>0.49827919455870778</v>
      </c>
    </row>
    <row r="89" spans="1:4" x14ac:dyDescent="0.3">
      <c r="A89" t="s">
        <v>1018</v>
      </c>
      <c r="B89" t="s">
        <v>979</v>
      </c>
      <c r="C89">
        <v>1</v>
      </c>
      <c r="D89" s="34">
        <v>0.53573663503210001</v>
      </c>
    </row>
    <row r="90" spans="1:4" x14ac:dyDescent="0.3">
      <c r="A90" t="s">
        <v>1727</v>
      </c>
      <c r="B90" t="s">
        <v>1327</v>
      </c>
      <c r="C90">
        <v>0</v>
      </c>
      <c r="D90" s="34">
        <v>0.4520052854110076</v>
      </c>
    </row>
    <row r="91" spans="1:4" x14ac:dyDescent="0.3">
      <c r="A91" t="s">
        <v>1088</v>
      </c>
      <c r="B91" t="s">
        <v>979</v>
      </c>
      <c r="C91">
        <v>1</v>
      </c>
      <c r="D91" s="34">
        <v>0.52453737954024215</v>
      </c>
    </row>
    <row r="92" spans="1:4" x14ac:dyDescent="0.3">
      <c r="A92" t="s">
        <v>1728</v>
      </c>
      <c r="B92" t="s">
        <v>1327</v>
      </c>
      <c r="C92">
        <v>0</v>
      </c>
      <c r="D92" s="34">
        <v>0.41694082711533242</v>
      </c>
    </row>
    <row r="93" spans="1:4" x14ac:dyDescent="0.3">
      <c r="A93" t="s">
        <v>1200</v>
      </c>
      <c r="B93" t="s">
        <v>979</v>
      </c>
      <c r="C93">
        <v>0</v>
      </c>
      <c r="D93" s="34">
        <v>0.49827919455870778</v>
      </c>
    </row>
    <row r="94" spans="1:4" x14ac:dyDescent="0.3">
      <c r="A94" t="s">
        <v>1182</v>
      </c>
      <c r="B94" t="s">
        <v>979</v>
      </c>
      <c r="C94">
        <v>1</v>
      </c>
      <c r="D94" s="34">
        <v>0.52861075830877258</v>
      </c>
    </row>
    <row r="95" spans="1:4" x14ac:dyDescent="0.3">
      <c r="A95" t="s">
        <v>1108</v>
      </c>
      <c r="B95" t="s">
        <v>979</v>
      </c>
      <c r="C95">
        <v>0</v>
      </c>
      <c r="D95" s="34">
        <v>0.46579443608303039</v>
      </c>
    </row>
    <row r="96" spans="1:4" x14ac:dyDescent="0.3">
      <c r="A96" t="s">
        <v>1519</v>
      </c>
      <c r="B96" t="s">
        <v>1327</v>
      </c>
      <c r="C96">
        <v>1</v>
      </c>
      <c r="D96" s="34">
        <v>0.52861075830877258</v>
      </c>
    </row>
    <row r="97" spans="1:4" x14ac:dyDescent="0.3">
      <c r="A97" t="s">
        <v>1503</v>
      </c>
      <c r="B97" t="s">
        <v>1327</v>
      </c>
      <c r="C97">
        <v>1</v>
      </c>
      <c r="D97" s="34">
        <v>0.52861075830877258</v>
      </c>
    </row>
    <row r="98" spans="1:4" x14ac:dyDescent="0.3">
      <c r="A98" t="s">
        <v>1011</v>
      </c>
      <c r="B98" t="s">
        <v>979</v>
      </c>
      <c r="C98">
        <v>1</v>
      </c>
      <c r="D98" s="34">
        <v>0.54648685516771078</v>
      </c>
    </row>
    <row r="99" spans="1:4" x14ac:dyDescent="0.3">
      <c r="A99" t="s">
        <v>1052</v>
      </c>
      <c r="B99" t="s">
        <v>979</v>
      </c>
      <c r="C99">
        <v>1</v>
      </c>
      <c r="D99" s="34">
        <v>0.54648685516771078</v>
      </c>
    </row>
    <row r="100" spans="1:4" x14ac:dyDescent="0.3">
      <c r="A100" t="s">
        <v>1169</v>
      </c>
      <c r="B100" t="s">
        <v>979</v>
      </c>
      <c r="C100">
        <v>1</v>
      </c>
      <c r="D100" s="34">
        <v>0.54241347639918036</v>
      </c>
    </row>
    <row r="101" spans="1:4" x14ac:dyDescent="0.3">
      <c r="A101" t="s">
        <v>1573</v>
      </c>
      <c r="B101" t="s">
        <v>1327</v>
      </c>
      <c r="C101">
        <v>0</v>
      </c>
      <c r="D101" s="34">
        <v>0.49855966739454721</v>
      </c>
    </row>
    <row r="102" spans="1:4" x14ac:dyDescent="0.3">
      <c r="A102" t="s">
        <v>1520</v>
      </c>
      <c r="B102" t="s">
        <v>1327</v>
      </c>
      <c r="C102">
        <v>0</v>
      </c>
      <c r="D102" s="34">
        <v>0.49855966739454721</v>
      </c>
    </row>
    <row r="103" spans="1:4" x14ac:dyDescent="0.3">
      <c r="A103" t="s">
        <v>1183</v>
      </c>
      <c r="B103" t="s">
        <v>979</v>
      </c>
      <c r="C103">
        <v>0</v>
      </c>
      <c r="D103" s="34">
        <v>0.49855966739454721</v>
      </c>
    </row>
    <row r="104" spans="1:4" x14ac:dyDescent="0.3">
      <c r="A104" t="s">
        <v>1288</v>
      </c>
      <c r="B104" t="s">
        <v>979</v>
      </c>
      <c r="C104">
        <v>0</v>
      </c>
      <c r="D104" s="34">
        <v>0.49855966739454721</v>
      </c>
    </row>
    <row r="105" spans="1:4" x14ac:dyDescent="0.3">
      <c r="A105" t="s">
        <v>1336</v>
      </c>
      <c r="B105" t="s">
        <v>1327</v>
      </c>
      <c r="C105">
        <v>0</v>
      </c>
      <c r="D105" s="34">
        <v>0.49855966739454721</v>
      </c>
    </row>
    <row r="106" spans="1:4" x14ac:dyDescent="0.3">
      <c r="A106" t="s">
        <v>1590</v>
      </c>
      <c r="B106" t="s">
        <v>1327</v>
      </c>
      <c r="C106">
        <v>1</v>
      </c>
      <c r="D106" s="34">
        <v>0.53447676871371375</v>
      </c>
    </row>
    <row r="107" spans="1:4" x14ac:dyDescent="0.3">
      <c r="A107" t="s">
        <v>1729</v>
      </c>
      <c r="B107" t="s">
        <v>1327</v>
      </c>
      <c r="C107">
        <v>0</v>
      </c>
      <c r="D107" s="34">
        <v>0.46194467458447902</v>
      </c>
    </row>
    <row r="108" spans="1:4" x14ac:dyDescent="0.3">
      <c r="A108" t="s">
        <v>1730</v>
      </c>
      <c r="B108" t="s">
        <v>1327</v>
      </c>
      <c r="C108">
        <v>0</v>
      </c>
      <c r="D108" s="34">
        <v>0.41722129995117158</v>
      </c>
    </row>
    <row r="109" spans="1:4" x14ac:dyDescent="0.3">
      <c r="A109" t="s">
        <v>1670</v>
      </c>
      <c r="B109" t="s">
        <v>1327</v>
      </c>
      <c r="C109">
        <v>1</v>
      </c>
      <c r="D109" s="34">
        <v>0.5095699146955267</v>
      </c>
    </row>
    <row r="110" spans="1:4" x14ac:dyDescent="0.3">
      <c r="A110" t="s">
        <v>1683</v>
      </c>
      <c r="B110" t="s">
        <v>1327</v>
      </c>
      <c r="C110">
        <v>1</v>
      </c>
      <c r="D110" s="34">
        <v>0.5095699146955267</v>
      </c>
    </row>
    <row r="111" spans="1:4" x14ac:dyDescent="0.3">
      <c r="A111" t="s">
        <v>1249</v>
      </c>
      <c r="B111" t="s">
        <v>979</v>
      </c>
      <c r="C111">
        <v>1</v>
      </c>
      <c r="D111" s="34">
        <v>0.5095699146955267</v>
      </c>
    </row>
    <row r="112" spans="1:4" x14ac:dyDescent="0.3">
      <c r="A112" t="s">
        <v>1344</v>
      </c>
      <c r="B112" t="s">
        <v>1327</v>
      </c>
      <c r="C112">
        <v>1</v>
      </c>
      <c r="D112" s="34">
        <v>0.5095699146955267</v>
      </c>
    </row>
    <row r="113" spans="1:4" x14ac:dyDescent="0.3">
      <c r="A113" t="s">
        <v>1413</v>
      </c>
      <c r="B113" t="s">
        <v>1327</v>
      </c>
      <c r="C113">
        <v>1</v>
      </c>
      <c r="D113" s="34">
        <v>0.5095699146955267</v>
      </c>
    </row>
    <row r="114" spans="1:4" x14ac:dyDescent="0.3">
      <c r="A114" t="s">
        <v>1137</v>
      </c>
      <c r="B114" t="s">
        <v>979</v>
      </c>
      <c r="C114">
        <v>1</v>
      </c>
      <c r="D114" s="34">
        <v>0.5095699146955267</v>
      </c>
    </row>
    <row r="115" spans="1:4" x14ac:dyDescent="0.3">
      <c r="A115" t="s">
        <v>1401</v>
      </c>
      <c r="B115" t="s">
        <v>1327</v>
      </c>
      <c r="C115">
        <v>1</v>
      </c>
      <c r="D115" s="34">
        <v>0.54633691611459334</v>
      </c>
    </row>
    <row r="116" spans="1:4" x14ac:dyDescent="0.3">
      <c r="A116" t="s">
        <v>1704</v>
      </c>
      <c r="B116" t="s">
        <v>1327</v>
      </c>
      <c r="C116">
        <v>1</v>
      </c>
      <c r="D116" s="34">
        <v>0.54633691611459334</v>
      </c>
    </row>
    <row r="117" spans="1:4" x14ac:dyDescent="0.3">
      <c r="A117" t="s">
        <v>1326</v>
      </c>
      <c r="B117" t="s">
        <v>1327</v>
      </c>
      <c r="C117">
        <v>0</v>
      </c>
      <c r="D117" s="34">
        <v>0.49420581579017753</v>
      </c>
    </row>
    <row r="118" spans="1:4" x14ac:dyDescent="0.3">
      <c r="A118" t="s">
        <v>1489</v>
      </c>
      <c r="B118" t="s">
        <v>1327</v>
      </c>
      <c r="C118">
        <v>1</v>
      </c>
      <c r="D118" s="34">
        <v>0.52453737954024215</v>
      </c>
    </row>
    <row r="119" spans="1:4" x14ac:dyDescent="0.3">
      <c r="A119" t="s">
        <v>1300</v>
      </c>
      <c r="B119" t="s">
        <v>979</v>
      </c>
      <c r="C119">
        <v>1</v>
      </c>
      <c r="D119" s="34">
        <v>0.54241347639918036</v>
      </c>
    </row>
    <row r="120" spans="1:4" x14ac:dyDescent="0.3">
      <c r="A120" t="s">
        <v>1377</v>
      </c>
      <c r="B120" t="s">
        <v>1327</v>
      </c>
      <c r="C120">
        <v>1</v>
      </c>
      <c r="D120" s="34">
        <v>0.54241347639918036</v>
      </c>
    </row>
    <row r="121" spans="1:4" x14ac:dyDescent="0.3">
      <c r="A121" t="s">
        <v>1150</v>
      </c>
      <c r="B121" t="s">
        <v>979</v>
      </c>
      <c r="C121">
        <v>1</v>
      </c>
      <c r="D121" s="34">
        <v>0.54241347639918036</v>
      </c>
    </row>
    <row r="122" spans="1:4" x14ac:dyDescent="0.3">
      <c r="A122" t="s">
        <v>1028</v>
      </c>
      <c r="B122" t="s">
        <v>979</v>
      </c>
      <c r="C122">
        <v>1</v>
      </c>
      <c r="D122" s="34">
        <v>0.54241347639918036</v>
      </c>
    </row>
    <row r="123" spans="1:4" x14ac:dyDescent="0.3">
      <c r="A123" t="s">
        <v>1057</v>
      </c>
      <c r="B123" t="s">
        <v>979</v>
      </c>
      <c r="C123">
        <v>0</v>
      </c>
      <c r="D123" s="34">
        <v>0.49827919455870778</v>
      </c>
    </row>
    <row r="124" spans="1:4" x14ac:dyDescent="0.3">
      <c r="A124" t="s">
        <v>1213</v>
      </c>
      <c r="B124" t="s">
        <v>979</v>
      </c>
      <c r="C124">
        <v>0</v>
      </c>
      <c r="D124" s="34">
        <v>0.49827919455870778</v>
      </c>
    </row>
    <row r="125" spans="1:4" x14ac:dyDescent="0.3">
      <c r="A125" t="s">
        <v>1305</v>
      </c>
      <c r="B125" t="s">
        <v>979</v>
      </c>
      <c r="C125">
        <v>0</v>
      </c>
      <c r="D125" s="34">
        <v>0.49827919455870778</v>
      </c>
    </row>
    <row r="126" spans="1:4" x14ac:dyDescent="0.3">
      <c r="A126" t="s">
        <v>1262</v>
      </c>
      <c r="B126" t="s">
        <v>979</v>
      </c>
      <c r="C126">
        <v>0</v>
      </c>
      <c r="D126" s="34">
        <v>0.49827919455870778</v>
      </c>
    </row>
    <row r="127" spans="1:4" x14ac:dyDescent="0.3">
      <c r="A127" t="s">
        <v>1447</v>
      </c>
      <c r="B127" t="s">
        <v>1327</v>
      </c>
      <c r="C127">
        <v>0</v>
      </c>
      <c r="D127" s="34">
        <v>0.49827919455870778</v>
      </c>
    </row>
    <row r="128" spans="1:4" x14ac:dyDescent="0.3">
      <c r="A128" t="s">
        <v>1083</v>
      </c>
      <c r="B128" t="s">
        <v>979</v>
      </c>
      <c r="C128">
        <v>1</v>
      </c>
      <c r="D128" s="34">
        <v>0.52861075830877258</v>
      </c>
    </row>
    <row r="129" spans="1:4" x14ac:dyDescent="0.3">
      <c r="A129" t="s">
        <v>1214</v>
      </c>
      <c r="B129" t="s">
        <v>979</v>
      </c>
      <c r="C129">
        <v>0</v>
      </c>
      <c r="D129" s="34">
        <v>0.49827919455870778</v>
      </c>
    </row>
    <row r="130" spans="1:4" x14ac:dyDescent="0.3">
      <c r="A130" t="s">
        <v>1352</v>
      </c>
      <c r="B130" t="s">
        <v>1327</v>
      </c>
      <c r="C130">
        <v>1</v>
      </c>
      <c r="D130" s="34">
        <v>0.52861075830877258</v>
      </c>
    </row>
    <row r="131" spans="1:4" x14ac:dyDescent="0.3">
      <c r="A131" t="s">
        <v>1353</v>
      </c>
      <c r="B131" t="s">
        <v>1327</v>
      </c>
      <c r="C131">
        <v>1</v>
      </c>
      <c r="D131" s="34">
        <v>0.51405768787253936</v>
      </c>
    </row>
    <row r="132" spans="1:4" x14ac:dyDescent="0.3">
      <c r="A132" t="s">
        <v>1460</v>
      </c>
      <c r="B132" t="s">
        <v>1327</v>
      </c>
      <c r="C132">
        <v>1</v>
      </c>
      <c r="D132" s="34">
        <v>0.51491023212910847</v>
      </c>
    </row>
    <row r="133" spans="1:4" x14ac:dyDescent="0.3">
      <c r="A133" t="s">
        <v>1684</v>
      </c>
      <c r="B133" t="s">
        <v>1327</v>
      </c>
      <c r="C133">
        <v>1</v>
      </c>
      <c r="D133" s="34">
        <v>0.51405768787253936</v>
      </c>
    </row>
    <row r="134" spans="1:4" x14ac:dyDescent="0.3">
      <c r="A134" t="s">
        <v>1461</v>
      </c>
      <c r="B134" t="s">
        <v>1327</v>
      </c>
      <c r="C134">
        <v>1</v>
      </c>
      <c r="D134" s="34">
        <v>0.51491023212910847</v>
      </c>
    </row>
    <row r="135" spans="1:4" x14ac:dyDescent="0.3">
      <c r="A135" t="s">
        <v>1201</v>
      </c>
      <c r="B135" t="s">
        <v>979</v>
      </c>
      <c r="C135">
        <v>1</v>
      </c>
      <c r="D135" s="34">
        <v>0.51491023212910847</v>
      </c>
    </row>
    <row r="136" spans="1:4" x14ac:dyDescent="0.3">
      <c r="A136" t="s">
        <v>1647</v>
      </c>
      <c r="B136" t="s">
        <v>1327</v>
      </c>
      <c r="C136">
        <v>1</v>
      </c>
      <c r="D136" s="34">
        <v>0.54648685516771078</v>
      </c>
    </row>
    <row r="137" spans="1:4" x14ac:dyDescent="0.3">
      <c r="A137" t="s">
        <v>1731</v>
      </c>
      <c r="B137" t="s">
        <v>1327</v>
      </c>
      <c r="C137">
        <v>0</v>
      </c>
      <c r="D137" s="34">
        <v>0.45680870724815431</v>
      </c>
    </row>
    <row r="138" spans="1:4" x14ac:dyDescent="0.3">
      <c r="A138" t="s">
        <v>1254</v>
      </c>
      <c r="B138" t="s">
        <v>979</v>
      </c>
      <c r="C138">
        <v>1</v>
      </c>
      <c r="D138" s="34">
        <v>0.54648685516771078</v>
      </c>
    </row>
    <row r="139" spans="1:4" x14ac:dyDescent="0.3">
      <c r="A139" t="s">
        <v>1732</v>
      </c>
      <c r="B139" t="s">
        <v>1327</v>
      </c>
      <c r="C139">
        <v>0</v>
      </c>
      <c r="D139" s="34">
        <v>0.45680870724815431</v>
      </c>
    </row>
    <row r="140" spans="1:4" x14ac:dyDescent="0.3">
      <c r="A140" t="s">
        <v>1448</v>
      </c>
      <c r="B140" t="s">
        <v>1327</v>
      </c>
      <c r="C140">
        <v>1</v>
      </c>
      <c r="D140" s="34">
        <v>0.51083685336057816</v>
      </c>
    </row>
    <row r="141" spans="1:4" x14ac:dyDescent="0.3">
      <c r="A141" t="s">
        <v>1244</v>
      </c>
      <c r="B141" t="s">
        <v>979</v>
      </c>
      <c r="C141">
        <v>1</v>
      </c>
      <c r="D141" s="34">
        <v>0.51083685336057816</v>
      </c>
    </row>
    <row r="142" spans="1:4" x14ac:dyDescent="0.3">
      <c r="A142" t="s">
        <v>1521</v>
      </c>
      <c r="B142" t="s">
        <v>1327</v>
      </c>
      <c r="C142">
        <v>1</v>
      </c>
      <c r="D142" s="34">
        <v>0.54241347639918036</v>
      </c>
    </row>
    <row r="143" spans="1:4" x14ac:dyDescent="0.3">
      <c r="A143" t="s">
        <v>1115</v>
      </c>
      <c r="B143" t="s">
        <v>979</v>
      </c>
      <c r="C143">
        <v>1</v>
      </c>
      <c r="D143" s="34">
        <v>0.51491023212910847</v>
      </c>
    </row>
    <row r="144" spans="1:4" x14ac:dyDescent="0.3">
      <c r="A144" t="s">
        <v>1345</v>
      </c>
      <c r="B144" t="s">
        <v>1327</v>
      </c>
      <c r="C144">
        <v>1</v>
      </c>
      <c r="D144" s="34">
        <v>0.51491023212910847</v>
      </c>
    </row>
    <row r="145" spans="1:4" x14ac:dyDescent="0.3">
      <c r="A145" t="s">
        <v>1402</v>
      </c>
      <c r="B145" t="s">
        <v>1327</v>
      </c>
      <c r="C145">
        <v>1</v>
      </c>
      <c r="D145" s="34">
        <v>0.51491023212910847</v>
      </c>
    </row>
    <row r="146" spans="1:4" x14ac:dyDescent="0.3">
      <c r="A146" t="s">
        <v>1504</v>
      </c>
      <c r="B146" t="s">
        <v>1327</v>
      </c>
      <c r="C146">
        <v>1</v>
      </c>
      <c r="D146" s="34">
        <v>0.54648685516771078</v>
      </c>
    </row>
    <row r="147" spans="1:4" x14ac:dyDescent="0.3">
      <c r="A147" t="s">
        <v>1309</v>
      </c>
      <c r="B147" t="s">
        <v>979</v>
      </c>
      <c r="C147">
        <v>1</v>
      </c>
      <c r="D147" s="34">
        <v>0.51491023212910847</v>
      </c>
    </row>
    <row r="148" spans="1:4" x14ac:dyDescent="0.3">
      <c r="A148" t="s">
        <v>1522</v>
      </c>
      <c r="B148" t="s">
        <v>1327</v>
      </c>
      <c r="C148">
        <v>1</v>
      </c>
      <c r="D148" s="34">
        <v>0.51491023212910847</v>
      </c>
    </row>
    <row r="149" spans="1:4" x14ac:dyDescent="0.3">
      <c r="A149" t="s">
        <v>1733</v>
      </c>
      <c r="B149" t="s">
        <v>1327</v>
      </c>
      <c r="C149">
        <v>0</v>
      </c>
      <c r="D149" s="34">
        <v>0.45680870724815431</v>
      </c>
    </row>
    <row r="150" spans="1:4" x14ac:dyDescent="0.3">
      <c r="A150" t="s">
        <v>1144</v>
      </c>
      <c r="B150" t="s">
        <v>979</v>
      </c>
      <c r="C150">
        <v>1</v>
      </c>
      <c r="D150" s="34">
        <v>0.54648685516771078</v>
      </c>
    </row>
    <row r="151" spans="1:4" x14ac:dyDescent="0.3">
      <c r="A151" t="s">
        <v>1449</v>
      </c>
      <c r="B151" t="s">
        <v>1327</v>
      </c>
      <c r="C151">
        <v>0</v>
      </c>
      <c r="D151" s="34">
        <v>0.49827919455870778</v>
      </c>
    </row>
    <row r="152" spans="1:4" x14ac:dyDescent="0.3">
      <c r="A152" t="s">
        <v>1734</v>
      </c>
      <c r="B152" t="s">
        <v>1327</v>
      </c>
      <c r="C152">
        <v>0</v>
      </c>
      <c r="D152" s="34">
        <v>0.41694082711533242</v>
      </c>
    </row>
    <row r="153" spans="1:4" x14ac:dyDescent="0.3">
      <c r="A153" t="s">
        <v>1102</v>
      </c>
      <c r="B153" t="s">
        <v>979</v>
      </c>
      <c r="C153">
        <v>0</v>
      </c>
      <c r="D153" s="34">
        <v>0.49827919455870778</v>
      </c>
    </row>
    <row r="154" spans="1:4" x14ac:dyDescent="0.3">
      <c r="A154" t="s">
        <v>1523</v>
      </c>
      <c r="B154" t="s">
        <v>1327</v>
      </c>
      <c r="C154">
        <v>1</v>
      </c>
      <c r="D154" s="34">
        <v>0.51491023212910847</v>
      </c>
    </row>
    <row r="155" spans="1:4" x14ac:dyDescent="0.3">
      <c r="A155" t="s">
        <v>1322</v>
      </c>
      <c r="B155" t="s">
        <v>979</v>
      </c>
      <c r="C155">
        <v>1</v>
      </c>
      <c r="D155" s="34">
        <v>0.51491023212910847</v>
      </c>
    </row>
    <row r="156" spans="1:4" x14ac:dyDescent="0.3">
      <c r="A156" t="s">
        <v>1378</v>
      </c>
      <c r="B156" t="s">
        <v>1327</v>
      </c>
      <c r="C156">
        <v>1</v>
      </c>
      <c r="D156" s="34">
        <v>0.54648685516771078</v>
      </c>
    </row>
    <row r="157" spans="1:4" x14ac:dyDescent="0.3">
      <c r="A157" t="s">
        <v>1685</v>
      </c>
      <c r="B157" t="s">
        <v>1327</v>
      </c>
      <c r="C157">
        <v>0</v>
      </c>
      <c r="D157" s="34">
        <v>0.49855966739454721</v>
      </c>
    </row>
    <row r="158" spans="1:4" x14ac:dyDescent="0.3">
      <c r="A158" t="s">
        <v>1233</v>
      </c>
      <c r="B158" t="s">
        <v>979</v>
      </c>
      <c r="C158">
        <v>0</v>
      </c>
      <c r="D158" s="34">
        <v>0.49855966739454721</v>
      </c>
    </row>
    <row r="159" spans="1:4" x14ac:dyDescent="0.3">
      <c r="A159" t="s">
        <v>1431</v>
      </c>
      <c r="B159" t="s">
        <v>1327</v>
      </c>
      <c r="C159">
        <v>0</v>
      </c>
      <c r="D159" s="34">
        <v>0.49855966739454721</v>
      </c>
    </row>
    <row r="160" spans="1:4" x14ac:dyDescent="0.3">
      <c r="A160" t="s">
        <v>1686</v>
      </c>
      <c r="B160" t="s">
        <v>1327</v>
      </c>
      <c r="C160">
        <v>0</v>
      </c>
      <c r="D160" s="34">
        <v>0.49855966739454721</v>
      </c>
    </row>
    <row r="161" spans="1:4" x14ac:dyDescent="0.3">
      <c r="A161" t="s">
        <v>1255</v>
      </c>
      <c r="B161" t="s">
        <v>979</v>
      </c>
      <c r="C161">
        <v>1</v>
      </c>
      <c r="D161" s="34">
        <v>0.53447676871371375</v>
      </c>
    </row>
    <row r="162" spans="1:4" x14ac:dyDescent="0.3">
      <c r="A162" t="s">
        <v>1687</v>
      </c>
      <c r="B162" t="s">
        <v>1327</v>
      </c>
      <c r="C162">
        <v>1</v>
      </c>
      <c r="D162" s="34">
        <v>0.54633691611459334</v>
      </c>
    </row>
    <row r="163" spans="1:4" x14ac:dyDescent="0.3">
      <c r="A163" t="s">
        <v>1276</v>
      </c>
      <c r="B163" t="s">
        <v>979</v>
      </c>
      <c r="C163">
        <v>1</v>
      </c>
      <c r="D163" s="34">
        <v>0.54633691611459334</v>
      </c>
    </row>
    <row r="164" spans="1:4" x14ac:dyDescent="0.3">
      <c r="A164" t="s">
        <v>1735</v>
      </c>
      <c r="B164" t="s">
        <v>1327</v>
      </c>
      <c r="C164">
        <v>0</v>
      </c>
      <c r="D164" s="34">
        <v>0.41980148999502098</v>
      </c>
    </row>
    <row r="165" spans="1:4" x14ac:dyDescent="0.3">
      <c r="A165" t="s">
        <v>1606</v>
      </c>
      <c r="B165" t="s">
        <v>1327</v>
      </c>
      <c r="C165">
        <v>1</v>
      </c>
      <c r="D165" s="34">
        <v>0.5095699146955267</v>
      </c>
    </row>
    <row r="166" spans="1:4" x14ac:dyDescent="0.3">
      <c r="A166" t="s">
        <v>1346</v>
      </c>
      <c r="B166" t="s">
        <v>1327</v>
      </c>
      <c r="C166">
        <v>1</v>
      </c>
      <c r="D166" s="34">
        <v>0.5095699146955267</v>
      </c>
    </row>
    <row r="167" spans="1:4" x14ac:dyDescent="0.3">
      <c r="A167" t="s">
        <v>1363</v>
      </c>
      <c r="B167" t="s">
        <v>1327</v>
      </c>
      <c r="C167">
        <v>1</v>
      </c>
      <c r="D167" s="34">
        <v>0.5095699146955267</v>
      </c>
    </row>
    <row r="168" spans="1:4" x14ac:dyDescent="0.3">
      <c r="A168" t="s">
        <v>1671</v>
      </c>
      <c r="B168" t="s">
        <v>1327</v>
      </c>
      <c r="C168">
        <v>1</v>
      </c>
      <c r="D168" s="34">
        <v>0.5095699146955267</v>
      </c>
    </row>
    <row r="169" spans="1:4" x14ac:dyDescent="0.3">
      <c r="A169" t="s">
        <v>1542</v>
      </c>
      <c r="B169" t="s">
        <v>1327</v>
      </c>
      <c r="C169">
        <v>1</v>
      </c>
      <c r="D169" s="34">
        <v>0.54633691611459334</v>
      </c>
    </row>
    <row r="170" spans="1:4" x14ac:dyDescent="0.3">
      <c r="A170" t="s">
        <v>1269</v>
      </c>
      <c r="B170" t="s">
        <v>979</v>
      </c>
      <c r="C170">
        <v>1</v>
      </c>
      <c r="D170" s="34">
        <v>0.53447676871371375</v>
      </c>
    </row>
    <row r="171" spans="1:4" x14ac:dyDescent="0.3">
      <c r="A171" t="s">
        <v>1161</v>
      </c>
      <c r="B171" t="s">
        <v>979</v>
      </c>
      <c r="C171">
        <v>1</v>
      </c>
      <c r="D171" s="34">
        <v>0.54648685516771078</v>
      </c>
    </row>
    <row r="172" spans="1:4" x14ac:dyDescent="0.3">
      <c r="A172" t="s">
        <v>1337</v>
      </c>
      <c r="B172" t="s">
        <v>1327</v>
      </c>
      <c r="C172">
        <v>1</v>
      </c>
      <c r="D172" s="34">
        <v>0.51491023212910847</v>
      </c>
    </row>
    <row r="173" spans="1:4" x14ac:dyDescent="0.3">
      <c r="A173" t="s">
        <v>1619</v>
      </c>
      <c r="B173" t="s">
        <v>1327</v>
      </c>
      <c r="C173">
        <v>1</v>
      </c>
      <c r="D173" s="34">
        <v>0.51491023212910847</v>
      </c>
    </row>
    <row r="174" spans="1:4" x14ac:dyDescent="0.3">
      <c r="A174" t="s">
        <v>1705</v>
      </c>
      <c r="B174" t="s">
        <v>1327</v>
      </c>
      <c r="C174">
        <v>1</v>
      </c>
      <c r="D174" s="34">
        <v>0.51491023212910847</v>
      </c>
    </row>
    <row r="175" spans="1:4" x14ac:dyDescent="0.3">
      <c r="A175" t="s">
        <v>1250</v>
      </c>
      <c r="B175" t="s">
        <v>979</v>
      </c>
      <c r="C175">
        <v>1</v>
      </c>
      <c r="D175" s="34">
        <v>0.51491023212910847</v>
      </c>
    </row>
    <row r="176" spans="1:4" x14ac:dyDescent="0.3">
      <c r="A176" t="s">
        <v>1591</v>
      </c>
      <c r="B176" t="s">
        <v>1327</v>
      </c>
      <c r="C176">
        <v>1</v>
      </c>
      <c r="D176" s="34">
        <v>0.51491023212910847</v>
      </c>
    </row>
    <row r="177" spans="1:4" x14ac:dyDescent="0.3">
      <c r="A177" t="s">
        <v>1423</v>
      </c>
      <c r="B177" t="s">
        <v>1327</v>
      </c>
      <c r="C177">
        <v>1</v>
      </c>
      <c r="D177" s="34">
        <v>0.51491023212910847</v>
      </c>
    </row>
    <row r="178" spans="1:4" x14ac:dyDescent="0.3">
      <c r="A178" t="s">
        <v>1273</v>
      </c>
      <c r="B178" t="s">
        <v>979</v>
      </c>
      <c r="C178">
        <v>1</v>
      </c>
      <c r="D178" s="34">
        <v>0.51491023212910847</v>
      </c>
    </row>
    <row r="179" spans="1:4" x14ac:dyDescent="0.3">
      <c r="A179" t="s">
        <v>1490</v>
      </c>
      <c r="B179" t="s">
        <v>1327</v>
      </c>
      <c r="C179">
        <v>0</v>
      </c>
      <c r="D179" s="34">
        <v>0.49827919455870778</v>
      </c>
    </row>
    <row r="180" spans="1:4" x14ac:dyDescent="0.3">
      <c r="A180" t="s">
        <v>1620</v>
      </c>
      <c r="B180" t="s">
        <v>1327</v>
      </c>
      <c r="C180">
        <v>0</v>
      </c>
      <c r="D180" s="34">
        <v>0.49827919455870778</v>
      </c>
    </row>
    <row r="181" spans="1:4" x14ac:dyDescent="0.3">
      <c r="A181" t="s">
        <v>1162</v>
      </c>
      <c r="B181" t="s">
        <v>979</v>
      </c>
      <c r="C181">
        <v>1</v>
      </c>
      <c r="D181" s="34">
        <v>0.52861075830877258</v>
      </c>
    </row>
    <row r="182" spans="1:4" x14ac:dyDescent="0.3">
      <c r="A182" t="s">
        <v>1184</v>
      </c>
      <c r="B182" t="s">
        <v>979</v>
      </c>
      <c r="C182">
        <v>1</v>
      </c>
      <c r="D182" s="34">
        <v>0.51491023212910847</v>
      </c>
    </row>
    <row r="183" spans="1:4" x14ac:dyDescent="0.3">
      <c r="A183" t="s">
        <v>1194</v>
      </c>
      <c r="B183" t="s">
        <v>979</v>
      </c>
      <c r="C183">
        <v>1</v>
      </c>
      <c r="D183" s="34">
        <v>0.51491023212910847</v>
      </c>
    </row>
    <row r="184" spans="1:4" x14ac:dyDescent="0.3">
      <c r="A184" t="s">
        <v>1234</v>
      </c>
      <c r="B184" t="s">
        <v>979</v>
      </c>
      <c r="C184">
        <v>1</v>
      </c>
      <c r="D184" s="34">
        <v>0.54648685516771078</v>
      </c>
    </row>
    <row r="185" spans="1:4" x14ac:dyDescent="0.3">
      <c r="A185" t="s">
        <v>1185</v>
      </c>
      <c r="B185" t="s">
        <v>979</v>
      </c>
      <c r="C185">
        <v>0</v>
      </c>
      <c r="D185" s="34">
        <v>0.48242547365343108</v>
      </c>
    </row>
    <row r="186" spans="1:4" x14ac:dyDescent="0.3">
      <c r="A186" t="s">
        <v>1328</v>
      </c>
      <c r="B186" t="s">
        <v>1327</v>
      </c>
      <c r="C186">
        <v>0</v>
      </c>
      <c r="D186" s="34">
        <v>0.48242547365343108</v>
      </c>
    </row>
    <row r="187" spans="1:4" x14ac:dyDescent="0.3">
      <c r="A187" t="s">
        <v>1109</v>
      </c>
      <c r="B187" t="s">
        <v>979</v>
      </c>
      <c r="C187">
        <v>1</v>
      </c>
      <c r="D187" s="34">
        <v>0.53327565803591415</v>
      </c>
    </row>
    <row r="188" spans="1:4" x14ac:dyDescent="0.3">
      <c r="A188" t="s">
        <v>1477</v>
      </c>
      <c r="B188" t="s">
        <v>1327</v>
      </c>
      <c r="C188">
        <v>1</v>
      </c>
      <c r="D188" s="34">
        <v>0.54648685516771078</v>
      </c>
    </row>
    <row r="189" spans="1:4" x14ac:dyDescent="0.3">
      <c r="A189" t="s">
        <v>1736</v>
      </c>
      <c r="B189" t="s">
        <v>1327</v>
      </c>
      <c r="C189">
        <v>0</v>
      </c>
      <c r="D189" s="34">
        <v>0.49146433087362451</v>
      </c>
    </row>
    <row r="190" spans="1:4" x14ac:dyDescent="0.3">
      <c r="A190" t="s">
        <v>1432</v>
      </c>
      <c r="B190" t="s">
        <v>1327</v>
      </c>
      <c r="C190">
        <v>1</v>
      </c>
      <c r="D190" s="34">
        <v>0.50264515084814121</v>
      </c>
    </row>
    <row r="191" spans="1:4" x14ac:dyDescent="0.3">
      <c r="A191" t="s">
        <v>1395</v>
      </c>
      <c r="B191" t="s">
        <v>1327</v>
      </c>
      <c r="C191">
        <v>0</v>
      </c>
      <c r="D191" s="34">
        <v>0.49855966739454721</v>
      </c>
    </row>
    <row r="192" spans="1:4" x14ac:dyDescent="0.3">
      <c r="A192" t="s">
        <v>1592</v>
      </c>
      <c r="B192" t="s">
        <v>1327</v>
      </c>
      <c r="C192">
        <v>0</v>
      </c>
      <c r="D192" s="34">
        <v>0.49855966739454721</v>
      </c>
    </row>
    <row r="193" spans="1:4" x14ac:dyDescent="0.3">
      <c r="A193" t="s">
        <v>1574</v>
      </c>
      <c r="B193" t="s">
        <v>1327</v>
      </c>
      <c r="C193">
        <v>1</v>
      </c>
      <c r="D193" s="34">
        <v>0.50264515084814121</v>
      </c>
    </row>
    <row r="194" spans="1:4" x14ac:dyDescent="0.3">
      <c r="A194" t="s">
        <v>1256</v>
      </c>
      <c r="B194" t="s">
        <v>979</v>
      </c>
      <c r="C194">
        <v>0</v>
      </c>
      <c r="D194" s="34">
        <v>0.49855966739454721</v>
      </c>
    </row>
    <row r="195" spans="1:4" x14ac:dyDescent="0.3">
      <c r="A195" t="s">
        <v>1310</v>
      </c>
      <c r="B195" t="s">
        <v>979</v>
      </c>
      <c r="C195">
        <v>1</v>
      </c>
      <c r="D195" s="34">
        <v>0.53709928920434491</v>
      </c>
    </row>
    <row r="196" spans="1:4" x14ac:dyDescent="0.3">
      <c r="A196" t="s">
        <v>1008</v>
      </c>
      <c r="B196" t="s">
        <v>979</v>
      </c>
      <c r="C196">
        <v>1</v>
      </c>
      <c r="D196" s="34">
        <v>0.54648685516771078</v>
      </c>
    </row>
    <row r="197" spans="1:4" x14ac:dyDescent="0.3">
      <c r="A197" t="s">
        <v>1097</v>
      </c>
      <c r="B197" t="s">
        <v>979</v>
      </c>
      <c r="C197">
        <v>1</v>
      </c>
      <c r="D197" s="34">
        <v>0.54648685516771078</v>
      </c>
    </row>
    <row r="198" spans="1:4" x14ac:dyDescent="0.3">
      <c r="A198" t="s">
        <v>1048</v>
      </c>
      <c r="B198" t="s">
        <v>979</v>
      </c>
      <c r="C198">
        <v>1</v>
      </c>
      <c r="D198" s="34">
        <v>0.54648685516771078</v>
      </c>
    </row>
    <row r="199" spans="1:4" x14ac:dyDescent="0.3">
      <c r="A199" t="s">
        <v>1235</v>
      </c>
      <c r="B199" t="s">
        <v>979</v>
      </c>
      <c r="C199">
        <v>1</v>
      </c>
      <c r="D199" s="34">
        <v>0.54648685516771078</v>
      </c>
    </row>
    <row r="200" spans="1:4" x14ac:dyDescent="0.3">
      <c r="A200" t="s">
        <v>1145</v>
      </c>
      <c r="B200" t="s">
        <v>979</v>
      </c>
      <c r="C200">
        <v>1</v>
      </c>
      <c r="D200" s="34">
        <v>0.54648685516771078</v>
      </c>
    </row>
    <row r="201" spans="1:4" x14ac:dyDescent="0.3">
      <c r="A201" t="s">
        <v>1301</v>
      </c>
      <c r="B201" t="s">
        <v>979</v>
      </c>
      <c r="C201">
        <v>0</v>
      </c>
      <c r="D201" s="34">
        <v>0.49855966739454721</v>
      </c>
    </row>
    <row r="202" spans="1:4" x14ac:dyDescent="0.3">
      <c r="A202" t="s">
        <v>1478</v>
      </c>
      <c r="B202" t="s">
        <v>1327</v>
      </c>
      <c r="C202">
        <v>1</v>
      </c>
      <c r="D202" s="34">
        <v>0.54633691611459334</v>
      </c>
    </row>
    <row r="203" spans="1:4" x14ac:dyDescent="0.3">
      <c r="A203" t="s">
        <v>1151</v>
      </c>
      <c r="B203" t="s">
        <v>979</v>
      </c>
      <c r="C203">
        <v>1</v>
      </c>
      <c r="D203" s="34">
        <v>0.5095699146955267</v>
      </c>
    </row>
    <row r="204" spans="1:4" x14ac:dyDescent="0.3">
      <c r="A204" t="s">
        <v>1251</v>
      </c>
      <c r="B204" t="s">
        <v>979</v>
      </c>
      <c r="C204">
        <v>1</v>
      </c>
      <c r="D204" s="34">
        <v>0.5095699146955267</v>
      </c>
    </row>
    <row r="205" spans="1:4" x14ac:dyDescent="0.3">
      <c r="A205" t="s">
        <v>1314</v>
      </c>
      <c r="B205" t="s">
        <v>979</v>
      </c>
      <c r="C205">
        <v>1</v>
      </c>
      <c r="D205" s="34">
        <v>0.5095699146955267</v>
      </c>
    </row>
    <row r="206" spans="1:4" x14ac:dyDescent="0.3">
      <c r="A206" t="s">
        <v>1257</v>
      </c>
      <c r="B206" t="s">
        <v>979</v>
      </c>
      <c r="C206">
        <v>1</v>
      </c>
      <c r="D206" s="34">
        <v>0.5095699146955267</v>
      </c>
    </row>
    <row r="207" spans="1:4" x14ac:dyDescent="0.3">
      <c r="A207" t="s">
        <v>1424</v>
      </c>
      <c r="B207" t="s">
        <v>1327</v>
      </c>
      <c r="C207">
        <v>1</v>
      </c>
      <c r="D207" s="34">
        <v>0.54633691611459334</v>
      </c>
    </row>
    <row r="208" spans="1:4" x14ac:dyDescent="0.3">
      <c r="A208" t="s">
        <v>1289</v>
      </c>
      <c r="B208" t="s">
        <v>979</v>
      </c>
      <c r="C208">
        <v>0</v>
      </c>
      <c r="D208" s="34">
        <v>0.49827919455870778</v>
      </c>
    </row>
    <row r="209" spans="1:4" x14ac:dyDescent="0.3">
      <c r="A209" t="s">
        <v>1368</v>
      </c>
      <c r="B209" t="s">
        <v>1327</v>
      </c>
      <c r="C209">
        <v>0</v>
      </c>
      <c r="D209" s="34">
        <v>0.49827919455870778</v>
      </c>
    </row>
    <row r="210" spans="1:4" x14ac:dyDescent="0.3">
      <c r="A210" t="s">
        <v>1347</v>
      </c>
      <c r="B210" t="s">
        <v>1327</v>
      </c>
      <c r="C210">
        <v>0</v>
      </c>
      <c r="D210" s="34">
        <v>0.49827919455870778</v>
      </c>
    </row>
    <row r="211" spans="1:4" x14ac:dyDescent="0.3">
      <c r="A211" t="s">
        <v>1146</v>
      </c>
      <c r="B211" t="s">
        <v>979</v>
      </c>
      <c r="C211">
        <v>1</v>
      </c>
      <c r="D211" s="34">
        <v>0.51491023212910847</v>
      </c>
    </row>
    <row r="212" spans="1:4" x14ac:dyDescent="0.3">
      <c r="A212" t="s">
        <v>1505</v>
      </c>
      <c r="B212" t="s">
        <v>1327</v>
      </c>
      <c r="C212">
        <v>1</v>
      </c>
      <c r="D212" s="34">
        <v>0.51491023212910847</v>
      </c>
    </row>
    <row r="213" spans="1:4" x14ac:dyDescent="0.3">
      <c r="A213" t="s">
        <v>1462</v>
      </c>
      <c r="B213" t="s">
        <v>1327</v>
      </c>
      <c r="C213">
        <v>1</v>
      </c>
      <c r="D213" s="34">
        <v>0.54648685516771078</v>
      </c>
    </row>
    <row r="214" spans="1:4" x14ac:dyDescent="0.3">
      <c r="A214" t="s">
        <v>1228</v>
      </c>
      <c r="B214" t="s">
        <v>979</v>
      </c>
      <c r="C214">
        <v>1</v>
      </c>
      <c r="D214" s="34">
        <v>0.54648685516771078</v>
      </c>
    </row>
    <row r="215" spans="1:4" x14ac:dyDescent="0.3">
      <c r="A215" t="s">
        <v>1069</v>
      </c>
      <c r="B215" t="s">
        <v>979</v>
      </c>
      <c r="C215">
        <v>1</v>
      </c>
      <c r="D215" s="34">
        <v>0.54648685516771078</v>
      </c>
    </row>
    <row r="216" spans="1:4" x14ac:dyDescent="0.3">
      <c r="A216" t="s">
        <v>989</v>
      </c>
      <c r="B216" t="s">
        <v>979</v>
      </c>
      <c r="C216">
        <v>1</v>
      </c>
      <c r="D216" s="34">
        <v>0.54648685516771078</v>
      </c>
    </row>
    <row r="217" spans="1:4" x14ac:dyDescent="0.3">
      <c r="A217" t="s">
        <v>1433</v>
      </c>
      <c r="B217" t="s">
        <v>1327</v>
      </c>
      <c r="C217">
        <v>1</v>
      </c>
      <c r="D217" s="34">
        <v>0.54648685516771078</v>
      </c>
    </row>
    <row r="218" spans="1:4" x14ac:dyDescent="0.3">
      <c r="A218" t="s">
        <v>1215</v>
      </c>
      <c r="B218" t="s">
        <v>979</v>
      </c>
      <c r="C218">
        <v>1</v>
      </c>
      <c r="D218" s="34">
        <v>0.54241347639918036</v>
      </c>
    </row>
    <row r="219" spans="1:4" x14ac:dyDescent="0.3">
      <c r="A219" t="s">
        <v>1098</v>
      </c>
      <c r="B219" t="s">
        <v>979</v>
      </c>
      <c r="C219">
        <v>1</v>
      </c>
      <c r="D219" s="34">
        <v>0.54241347639918036</v>
      </c>
    </row>
    <row r="220" spans="1:4" x14ac:dyDescent="0.3">
      <c r="A220" t="s">
        <v>1126</v>
      </c>
      <c r="B220" t="s">
        <v>979</v>
      </c>
      <c r="C220">
        <v>1</v>
      </c>
      <c r="D220" s="34">
        <v>0.53447676871371375</v>
      </c>
    </row>
    <row r="221" spans="1:4" x14ac:dyDescent="0.3">
      <c r="A221" t="s">
        <v>1737</v>
      </c>
      <c r="B221" t="s">
        <v>1327</v>
      </c>
      <c r="C221">
        <v>0</v>
      </c>
      <c r="D221" s="34">
        <v>0.41722129995117158</v>
      </c>
    </row>
    <row r="222" spans="1:4" x14ac:dyDescent="0.3">
      <c r="A222" t="s">
        <v>1648</v>
      </c>
      <c r="B222" t="s">
        <v>1327</v>
      </c>
      <c r="C222">
        <v>1</v>
      </c>
      <c r="D222" s="34">
        <v>0.53447676871371375</v>
      </c>
    </row>
    <row r="223" spans="1:4" x14ac:dyDescent="0.3">
      <c r="A223" t="s">
        <v>1554</v>
      </c>
      <c r="B223" t="s">
        <v>1327</v>
      </c>
      <c r="C223">
        <v>0</v>
      </c>
      <c r="D223" s="34">
        <v>0.49855966739454721</v>
      </c>
    </row>
    <row r="224" spans="1:4" x14ac:dyDescent="0.3">
      <c r="A224" t="s">
        <v>1302</v>
      </c>
      <c r="B224" t="s">
        <v>979</v>
      </c>
      <c r="C224">
        <v>1</v>
      </c>
      <c r="D224" s="34">
        <v>0.50264515084814121</v>
      </c>
    </row>
    <row r="225" spans="1:4" x14ac:dyDescent="0.3">
      <c r="A225" t="s">
        <v>1621</v>
      </c>
      <c r="B225" t="s">
        <v>1327</v>
      </c>
      <c r="C225">
        <v>1</v>
      </c>
      <c r="D225" s="34">
        <v>0.50264515084814121</v>
      </c>
    </row>
    <row r="226" spans="1:4" x14ac:dyDescent="0.3">
      <c r="A226" t="s">
        <v>1303</v>
      </c>
      <c r="B226" t="s">
        <v>979</v>
      </c>
      <c r="C226">
        <v>1</v>
      </c>
      <c r="D226" s="34">
        <v>0.50264515084814121</v>
      </c>
    </row>
    <row r="227" spans="1:4" x14ac:dyDescent="0.3">
      <c r="A227" t="s">
        <v>1607</v>
      </c>
      <c r="B227" t="s">
        <v>1327</v>
      </c>
      <c r="C227">
        <v>0</v>
      </c>
      <c r="D227" s="34">
        <v>0.49855966739454721</v>
      </c>
    </row>
    <row r="228" spans="1:4" x14ac:dyDescent="0.3">
      <c r="A228" t="s">
        <v>1121</v>
      </c>
      <c r="B228" t="s">
        <v>979</v>
      </c>
      <c r="C228">
        <v>1</v>
      </c>
      <c r="D228" s="34">
        <v>0.50264515084814121</v>
      </c>
    </row>
    <row r="229" spans="1:4" x14ac:dyDescent="0.3">
      <c r="A229" t="s">
        <v>1575</v>
      </c>
      <c r="B229" t="s">
        <v>1327</v>
      </c>
      <c r="C229">
        <v>0</v>
      </c>
      <c r="D229" s="34">
        <v>0.49855966739454721</v>
      </c>
    </row>
    <row r="230" spans="1:4" x14ac:dyDescent="0.3">
      <c r="A230" t="s">
        <v>1089</v>
      </c>
      <c r="B230" t="s">
        <v>979</v>
      </c>
      <c r="C230">
        <v>1</v>
      </c>
      <c r="D230" s="34">
        <v>0.50264515084814121</v>
      </c>
    </row>
    <row r="231" spans="1:4" x14ac:dyDescent="0.3">
      <c r="A231" t="s">
        <v>1506</v>
      </c>
      <c r="B231" t="s">
        <v>1327</v>
      </c>
      <c r="C231">
        <v>1</v>
      </c>
      <c r="D231" s="34">
        <v>0.53709928920434491</v>
      </c>
    </row>
    <row r="232" spans="1:4" x14ac:dyDescent="0.3">
      <c r="A232" t="s">
        <v>1163</v>
      </c>
      <c r="B232" t="s">
        <v>979</v>
      </c>
      <c r="C232">
        <v>1</v>
      </c>
      <c r="D232" s="34">
        <v>0.51491023212910847</v>
      </c>
    </row>
    <row r="233" spans="1:4" x14ac:dyDescent="0.3">
      <c r="A233" t="s">
        <v>1138</v>
      </c>
      <c r="B233" t="s">
        <v>979</v>
      </c>
      <c r="C233">
        <v>1</v>
      </c>
      <c r="D233" s="34">
        <v>0.51491023212910847</v>
      </c>
    </row>
    <row r="234" spans="1:4" x14ac:dyDescent="0.3">
      <c r="A234" t="s">
        <v>1576</v>
      </c>
      <c r="B234" t="s">
        <v>1327</v>
      </c>
      <c r="C234">
        <v>1</v>
      </c>
      <c r="D234" s="34">
        <v>0.51491023212910847</v>
      </c>
    </row>
    <row r="235" spans="1:4" x14ac:dyDescent="0.3">
      <c r="A235" t="s">
        <v>1593</v>
      </c>
      <c r="B235" t="s">
        <v>1327</v>
      </c>
      <c r="C235">
        <v>1</v>
      </c>
      <c r="D235" s="34">
        <v>0.51491023212910847</v>
      </c>
    </row>
    <row r="236" spans="1:4" x14ac:dyDescent="0.3">
      <c r="A236" t="s">
        <v>1030</v>
      </c>
      <c r="B236" t="s">
        <v>979</v>
      </c>
      <c r="C236">
        <v>0</v>
      </c>
      <c r="D236" s="34">
        <v>0.49420581579017753</v>
      </c>
    </row>
    <row r="237" spans="1:4" x14ac:dyDescent="0.3">
      <c r="A237" t="s">
        <v>1263</v>
      </c>
      <c r="B237" t="s">
        <v>979</v>
      </c>
      <c r="C237">
        <v>0</v>
      </c>
      <c r="D237" s="34">
        <v>0.49420581579017753</v>
      </c>
    </row>
    <row r="238" spans="1:4" x14ac:dyDescent="0.3">
      <c r="A238" t="s">
        <v>1543</v>
      </c>
      <c r="B238" t="s">
        <v>1327</v>
      </c>
      <c r="C238">
        <v>1</v>
      </c>
      <c r="D238" s="34">
        <v>0.52453737954024215</v>
      </c>
    </row>
    <row r="239" spans="1:4" x14ac:dyDescent="0.3">
      <c r="A239" t="s">
        <v>1152</v>
      </c>
      <c r="B239" t="s">
        <v>979</v>
      </c>
      <c r="C239">
        <v>0</v>
      </c>
      <c r="D239" s="34">
        <v>0.49827919455870778</v>
      </c>
    </row>
    <row r="240" spans="1:4" x14ac:dyDescent="0.3">
      <c r="A240" t="s">
        <v>998</v>
      </c>
      <c r="B240" t="s">
        <v>979</v>
      </c>
      <c r="C240">
        <v>0</v>
      </c>
      <c r="D240" s="34">
        <v>0.49827919455870778</v>
      </c>
    </row>
    <row r="241" spans="1:4" x14ac:dyDescent="0.3">
      <c r="A241" t="s">
        <v>1293</v>
      </c>
      <c r="B241" t="s">
        <v>979</v>
      </c>
      <c r="C241">
        <v>0</v>
      </c>
      <c r="D241" s="34">
        <v>0.49827919455870778</v>
      </c>
    </row>
    <row r="242" spans="1:4" x14ac:dyDescent="0.3">
      <c r="A242" t="s">
        <v>1118</v>
      </c>
      <c r="B242" t="s">
        <v>979</v>
      </c>
      <c r="C242">
        <v>1</v>
      </c>
      <c r="D242" s="34">
        <v>0.51491023212910847</v>
      </c>
    </row>
    <row r="243" spans="1:4" x14ac:dyDescent="0.3">
      <c r="A243" t="s">
        <v>1463</v>
      </c>
      <c r="B243" t="s">
        <v>1327</v>
      </c>
      <c r="C243">
        <v>1</v>
      </c>
      <c r="D243" s="34">
        <v>0.51491023212910847</v>
      </c>
    </row>
    <row r="244" spans="1:4" x14ac:dyDescent="0.3">
      <c r="A244" t="s">
        <v>1577</v>
      </c>
      <c r="B244" t="s">
        <v>1327</v>
      </c>
      <c r="C244">
        <v>1</v>
      </c>
      <c r="D244" s="34">
        <v>0.54648685516771078</v>
      </c>
    </row>
    <row r="245" spans="1:4" x14ac:dyDescent="0.3">
      <c r="A245" t="s">
        <v>1403</v>
      </c>
      <c r="B245" t="s">
        <v>1327</v>
      </c>
      <c r="C245">
        <v>1</v>
      </c>
      <c r="D245" s="34">
        <v>0.54648685516771078</v>
      </c>
    </row>
    <row r="246" spans="1:4" x14ac:dyDescent="0.3">
      <c r="A246" t="s">
        <v>1608</v>
      </c>
      <c r="B246" t="s">
        <v>1327</v>
      </c>
      <c r="C246">
        <v>1</v>
      </c>
      <c r="D246" s="34">
        <v>0.51491023212910847</v>
      </c>
    </row>
    <row r="247" spans="1:4" x14ac:dyDescent="0.3">
      <c r="A247" t="s">
        <v>1688</v>
      </c>
      <c r="B247" t="s">
        <v>1327</v>
      </c>
      <c r="C247">
        <v>1</v>
      </c>
      <c r="D247" s="34">
        <v>0.51491023212910847</v>
      </c>
    </row>
    <row r="248" spans="1:4" x14ac:dyDescent="0.3">
      <c r="A248" t="s">
        <v>1079</v>
      </c>
      <c r="B248" t="s">
        <v>979</v>
      </c>
      <c r="C248">
        <v>1</v>
      </c>
      <c r="D248" s="34">
        <v>0.51491023212910847</v>
      </c>
    </row>
    <row r="249" spans="1:4" x14ac:dyDescent="0.3">
      <c r="A249" t="s">
        <v>1555</v>
      </c>
      <c r="B249" t="s">
        <v>1327</v>
      </c>
      <c r="C249">
        <v>1</v>
      </c>
      <c r="D249" s="34">
        <v>0.54648685516771078</v>
      </c>
    </row>
    <row r="250" spans="1:4" x14ac:dyDescent="0.3">
      <c r="A250" t="s">
        <v>983</v>
      </c>
      <c r="B250" t="s">
        <v>979</v>
      </c>
      <c r="C250">
        <v>1</v>
      </c>
      <c r="D250" s="34">
        <v>0.54648685516771078</v>
      </c>
    </row>
    <row r="251" spans="1:4" x14ac:dyDescent="0.3">
      <c r="A251" t="s">
        <v>1479</v>
      </c>
      <c r="B251" t="s">
        <v>1327</v>
      </c>
      <c r="C251">
        <v>1</v>
      </c>
      <c r="D251" s="34">
        <v>0.54648685516771078</v>
      </c>
    </row>
    <row r="252" spans="1:4" x14ac:dyDescent="0.3">
      <c r="A252" t="s">
        <v>976</v>
      </c>
      <c r="B252" t="s">
        <v>979</v>
      </c>
      <c r="C252">
        <v>1</v>
      </c>
      <c r="D252" s="34">
        <v>0.54648685516771078</v>
      </c>
    </row>
    <row r="253" spans="1:4" x14ac:dyDescent="0.3">
      <c r="A253" t="s">
        <v>1556</v>
      </c>
      <c r="B253" t="s">
        <v>1327</v>
      </c>
      <c r="C253">
        <v>1</v>
      </c>
      <c r="D253" s="34">
        <v>0.51491023212910847</v>
      </c>
    </row>
    <row r="254" spans="1:4" x14ac:dyDescent="0.3">
      <c r="A254" t="s">
        <v>1507</v>
      </c>
      <c r="B254" t="s">
        <v>1327</v>
      </c>
      <c r="C254">
        <v>1</v>
      </c>
      <c r="D254" s="34">
        <v>0.54648685516771078</v>
      </c>
    </row>
    <row r="255" spans="1:4" x14ac:dyDescent="0.3">
      <c r="A255" t="s">
        <v>1544</v>
      </c>
      <c r="B255" t="s">
        <v>1327</v>
      </c>
      <c r="C255">
        <v>0</v>
      </c>
      <c r="D255" s="34">
        <v>0.49827919455870778</v>
      </c>
    </row>
    <row r="256" spans="1:4" x14ac:dyDescent="0.3">
      <c r="A256" t="s">
        <v>1434</v>
      </c>
      <c r="B256" t="s">
        <v>1327</v>
      </c>
      <c r="C256">
        <v>1</v>
      </c>
      <c r="D256" s="34">
        <v>0.52861075830877258</v>
      </c>
    </row>
    <row r="257" spans="1:4" x14ac:dyDescent="0.3">
      <c r="A257" t="s">
        <v>1132</v>
      </c>
      <c r="B257" t="s">
        <v>979</v>
      </c>
      <c r="C257">
        <v>1</v>
      </c>
      <c r="D257" s="34">
        <v>0.51491023212910847</v>
      </c>
    </row>
    <row r="258" spans="1:4" x14ac:dyDescent="0.3">
      <c r="A258" t="s">
        <v>1379</v>
      </c>
      <c r="B258" t="s">
        <v>1327</v>
      </c>
      <c r="C258">
        <v>1</v>
      </c>
      <c r="D258" s="34">
        <v>0.54648685516771078</v>
      </c>
    </row>
    <row r="259" spans="1:4" x14ac:dyDescent="0.3">
      <c r="A259" t="s">
        <v>1706</v>
      </c>
      <c r="B259" t="s">
        <v>1327</v>
      </c>
      <c r="C259">
        <v>0</v>
      </c>
      <c r="D259" s="34">
        <v>0.49827919455870778</v>
      </c>
    </row>
    <row r="260" spans="1:4" x14ac:dyDescent="0.3">
      <c r="A260" t="s">
        <v>1053</v>
      </c>
      <c r="B260" t="s">
        <v>979</v>
      </c>
      <c r="C260">
        <v>0</v>
      </c>
      <c r="D260" s="34">
        <v>0.49827919455870778</v>
      </c>
    </row>
    <row r="261" spans="1:4" x14ac:dyDescent="0.3">
      <c r="A261" t="s">
        <v>1049</v>
      </c>
      <c r="B261" t="s">
        <v>979</v>
      </c>
      <c r="C261">
        <v>0</v>
      </c>
      <c r="D261" s="34">
        <v>0.49827919455870778</v>
      </c>
    </row>
    <row r="262" spans="1:4" x14ac:dyDescent="0.3">
      <c r="A262" t="s">
        <v>1055</v>
      </c>
      <c r="B262" t="s">
        <v>979</v>
      </c>
      <c r="C262">
        <v>0</v>
      </c>
      <c r="D262" s="34">
        <v>0.49827919455870778</v>
      </c>
    </row>
    <row r="263" spans="1:4" x14ac:dyDescent="0.3">
      <c r="A263" t="s">
        <v>1435</v>
      </c>
      <c r="B263" t="s">
        <v>1327</v>
      </c>
      <c r="C263">
        <v>0</v>
      </c>
      <c r="D263" s="34">
        <v>0.49827919455870778</v>
      </c>
    </row>
    <row r="264" spans="1:4" x14ac:dyDescent="0.3">
      <c r="A264" t="s">
        <v>1707</v>
      </c>
      <c r="B264" t="s">
        <v>1327</v>
      </c>
      <c r="C264">
        <v>1</v>
      </c>
      <c r="D264" s="34">
        <v>0.53573663503210001</v>
      </c>
    </row>
    <row r="265" spans="1:4" x14ac:dyDescent="0.3">
      <c r="A265" t="s">
        <v>1006</v>
      </c>
      <c r="B265" t="s">
        <v>979</v>
      </c>
      <c r="C265">
        <v>1</v>
      </c>
      <c r="D265" s="34">
        <v>0.52861075830877258</v>
      </c>
    </row>
    <row r="266" spans="1:4" x14ac:dyDescent="0.3">
      <c r="A266" t="s">
        <v>1177</v>
      </c>
      <c r="B266" t="s">
        <v>979</v>
      </c>
      <c r="C266">
        <v>0</v>
      </c>
      <c r="D266" s="34">
        <v>0.49420581579017753</v>
      </c>
    </row>
    <row r="267" spans="1:4" x14ac:dyDescent="0.3">
      <c r="A267" t="s">
        <v>1024</v>
      </c>
      <c r="B267" t="s">
        <v>979</v>
      </c>
      <c r="C267">
        <v>1</v>
      </c>
      <c r="D267" s="34">
        <v>0.52861075830877258</v>
      </c>
    </row>
    <row r="268" spans="1:4" x14ac:dyDescent="0.3">
      <c r="A268" t="s">
        <v>1464</v>
      </c>
      <c r="B268" t="s">
        <v>1327</v>
      </c>
      <c r="C268">
        <v>0</v>
      </c>
      <c r="D268" s="34">
        <v>0.49855966739454721</v>
      </c>
    </row>
    <row r="269" spans="1:4" x14ac:dyDescent="0.3">
      <c r="A269" t="s">
        <v>1649</v>
      </c>
      <c r="B269" t="s">
        <v>1327</v>
      </c>
      <c r="C269">
        <v>0</v>
      </c>
      <c r="D269" s="34">
        <v>0.49855966739454721</v>
      </c>
    </row>
    <row r="270" spans="1:4" x14ac:dyDescent="0.3">
      <c r="A270" t="s">
        <v>1195</v>
      </c>
      <c r="B270" t="s">
        <v>979</v>
      </c>
      <c r="C270">
        <v>0</v>
      </c>
      <c r="D270" s="34">
        <v>0.49855966739454721</v>
      </c>
    </row>
    <row r="271" spans="1:4" x14ac:dyDescent="0.3">
      <c r="A271" t="s">
        <v>1380</v>
      </c>
      <c r="B271" t="s">
        <v>1327</v>
      </c>
      <c r="C271">
        <v>0</v>
      </c>
      <c r="D271" s="34">
        <v>0.49855966739454721</v>
      </c>
    </row>
    <row r="272" spans="1:4" x14ac:dyDescent="0.3">
      <c r="A272" t="s">
        <v>1508</v>
      </c>
      <c r="B272" t="s">
        <v>1327</v>
      </c>
      <c r="C272">
        <v>1</v>
      </c>
      <c r="D272" s="34">
        <v>0.5095699146955267</v>
      </c>
    </row>
    <row r="273" spans="1:4" x14ac:dyDescent="0.3">
      <c r="A273" t="s">
        <v>1133</v>
      </c>
      <c r="B273" t="s">
        <v>979</v>
      </c>
      <c r="C273">
        <v>1</v>
      </c>
      <c r="D273" s="34">
        <v>0.54633691611459334</v>
      </c>
    </row>
    <row r="274" spans="1:4" x14ac:dyDescent="0.3">
      <c r="A274" t="s">
        <v>1622</v>
      </c>
      <c r="B274" t="s">
        <v>1327</v>
      </c>
      <c r="C274">
        <v>1</v>
      </c>
      <c r="D274" s="34">
        <v>0.5095699146955267</v>
      </c>
    </row>
    <row r="275" spans="1:4" x14ac:dyDescent="0.3">
      <c r="A275" t="s">
        <v>1329</v>
      </c>
      <c r="B275" t="s">
        <v>1327</v>
      </c>
      <c r="C275">
        <v>1</v>
      </c>
      <c r="D275" s="34">
        <v>0.5095699146955267</v>
      </c>
    </row>
    <row r="276" spans="1:4" x14ac:dyDescent="0.3">
      <c r="A276" t="s">
        <v>1348</v>
      </c>
      <c r="B276" t="s">
        <v>1327</v>
      </c>
      <c r="C276">
        <v>1</v>
      </c>
      <c r="D276" s="34">
        <v>0.5095699146955267</v>
      </c>
    </row>
    <row r="277" spans="1:4" x14ac:dyDescent="0.3">
      <c r="A277" t="s">
        <v>1242</v>
      </c>
      <c r="B277" t="s">
        <v>979</v>
      </c>
      <c r="C277">
        <v>1</v>
      </c>
      <c r="D277" s="34">
        <v>0.54633691611459334</v>
      </c>
    </row>
    <row r="278" spans="1:4" x14ac:dyDescent="0.3">
      <c r="A278" t="s">
        <v>1524</v>
      </c>
      <c r="B278" t="s">
        <v>1327</v>
      </c>
      <c r="C278">
        <v>1</v>
      </c>
      <c r="D278" s="34">
        <v>0.5095699146955267</v>
      </c>
    </row>
    <row r="279" spans="1:4" x14ac:dyDescent="0.3">
      <c r="A279" t="s">
        <v>1491</v>
      </c>
      <c r="B279" t="s">
        <v>1327</v>
      </c>
      <c r="C279">
        <v>1</v>
      </c>
      <c r="D279" s="34">
        <v>0.5095699146955267</v>
      </c>
    </row>
    <row r="280" spans="1:4" x14ac:dyDescent="0.3">
      <c r="A280" t="s">
        <v>1315</v>
      </c>
      <c r="B280" t="s">
        <v>979</v>
      </c>
      <c r="C280">
        <v>0</v>
      </c>
      <c r="D280" s="34">
        <v>0.49855966739454721</v>
      </c>
    </row>
    <row r="281" spans="1:4" x14ac:dyDescent="0.3">
      <c r="A281" t="s">
        <v>1236</v>
      </c>
      <c r="B281" t="s">
        <v>979</v>
      </c>
      <c r="C281">
        <v>0</v>
      </c>
      <c r="D281" s="34">
        <v>0.49855966739454721</v>
      </c>
    </row>
    <row r="282" spans="1:4" x14ac:dyDescent="0.3">
      <c r="A282" t="s">
        <v>1480</v>
      </c>
      <c r="B282" t="s">
        <v>1327</v>
      </c>
      <c r="C282">
        <v>1</v>
      </c>
      <c r="D282" s="34">
        <v>0.53447676871371375</v>
      </c>
    </row>
    <row r="283" spans="1:4" x14ac:dyDescent="0.3">
      <c r="A283" t="s">
        <v>1186</v>
      </c>
      <c r="B283" t="s">
        <v>979</v>
      </c>
      <c r="C283">
        <v>0</v>
      </c>
      <c r="D283" s="34">
        <v>0.49420581579017753</v>
      </c>
    </row>
    <row r="284" spans="1:4" x14ac:dyDescent="0.3">
      <c r="A284" t="s">
        <v>1063</v>
      </c>
      <c r="B284" t="s">
        <v>979</v>
      </c>
      <c r="C284">
        <v>0</v>
      </c>
      <c r="D284" s="34">
        <v>0.49420581579017753</v>
      </c>
    </row>
    <row r="285" spans="1:4" x14ac:dyDescent="0.3">
      <c r="A285" t="s">
        <v>1481</v>
      </c>
      <c r="B285" t="s">
        <v>1327</v>
      </c>
      <c r="C285">
        <v>1</v>
      </c>
      <c r="D285" s="34">
        <v>0.52453737954024215</v>
      </c>
    </row>
    <row r="286" spans="1:4" x14ac:dyDescent="0.3">
      <c r="A286" t="s">
        <v>1738</v>
      </c>
      <c r="B286" t="s">
        <v>1327</v>
      </c>
      <c r="C286">
        <v>0</v>
      </c>
      <c r="D286" s="34">
        <v>0.41286744834680211</v>
      </c>
    </row>
    <row r="287" spans="1:4" x14ac:dyDescent="0.3">
      <c r="A287" t="s">
        <v>1290</v>
      </c>
      <c r="B287" t="s">
        <v>979</v>
      </c>
      <c r="C287">
        <v>1</v>
      </c>
      <c r="D287" s="34">
        <v>0.52453737954024215</v>
      </c>
    </row>
    <row r="288" spans="1:4" x14ac:dyDescent="0.3">
      <c r="A288" t="s">
        <v>1623</v>
      </c>
      <c r="B288" t="s">
        <v>1327</v>
      </c>
      <c r="C288">
        <v>1</v>
      </c>
      <c r="D288" s="34">
        <v>0.54241347639918036</v>
      </c>
    </row>
    <row r="289" spans="1:4" x14ac:dyDescent="0.3">
      <c r="A289" t="s">
        <v>1284</v>
      </c>
      <c r="B289" t="s">
        <v>979</v>
      </c>
      <c r="C289">
        <v>1</v>
      </c>
      <c r="D289" s="34">
        <v>0.51491023212910847</v>
      </c>
    </row>
    <row r="290" spans="1:4" x14ac:dyDescent="0.3">
      <c r="A290" t="s">
        <v>1219</v>
      </c>
      <c r="B290" t="s">
        <v>979</v>
      </c>
      <c r="C290">
        <v>1</v>
      </c>
      <c r="D290" s="34">
        <v>0.51491023212910847</v>
      </c>
    </row>
    <row r="291" spans="1:4" x14ac:dyDescent="0.3">
      <c r="A291" t="s">
        <v>1708</v>
      </c>
      <c r="B291" t="s">
        <v>1327</v>
      </c>
      <c r="C291">
        <v>1</v>
      </c>
      <c r="D291" s="34">
        <v>0.51491023212910847</v>
      </c>
    </row>
    <row r="292" spans="1:4" x14ac:dyDescent="0.3">
      <c r="A292" t="s">
        <v>1689</v>
      </c>
      <c r="B292" t="s">
        <v>1327</v>
      </c>
      <c r="C292">
        <v>0</v>
      </c>
      <c r="D292" s="34">
        <v>0.49827919455870778</v>
      </c>
    </row>
    <row r="293" spans="1:4" x14ac:dyDescent="0.3">
      <c r="A293" t="s">
        <v>1594</v>
      </c>
      <c r="B293" t="s">
        <v>1327</v>
      </c>
      <c r="C293">
        <v>0</v>
      </c>
      <c r="D293" s="34">
        <v>0.49827919455870778</v>
      </c>
    </row>
    <row r="294" spans="1:4" x14ac:dyDescent="0.3">
      <c r="A294" t="s">
        <v>1155</v>
      </c>
      <c r="B294" t="s">
        <v>979</v>
      </c>
      <c r="C294">
        <v>0</v>
      </c>
      <c r="D294" s="34">
        <v>0.49827919455870778</v>
      </c>
    </row>
    <row r="295" spans="1:4" x14ac:dyDescent="0.3">
      <c r="A295" t="s">
        <v>1075</v>
      </c>
      <c r="B295" t="s">
        <v>979</v>
      </c>
      <c r="C295">
        <v>0</v>
      </c>
      <c r="D295" s="34">
        <v>0.49827919455870778</v>
      </c>
    </row>
    <row r="296" spans="1:4" x14ac:dyDescent="0.3">
      <c r="A296" t="s">
        <v>1525</v>
      </c>
      <c r="B296" t="s">
        <v>1327</v>
      </c>
      <c r="C296">
        <v>0</v>
      </c>
      <c r="D296" s="34">
        <v>0.49827919455870778</v>
      </c>
    </row>
    <row r="297" spans="1:4" x14ac:dyDescent="0.3">
      <c r="A297" t="s">
        <v>1557</v>
      </c>
      <c r="B297" t="s">
        <v>1327</v>
      </c>
      <c r="C297">
        <v>0</v>
      </c>
      <c r="D297" s="34">
        <v>0.49420581579017753</v>
      </c>
    </row>
    <row r="298" spans="1:4" x14ac:dyDescent="0.3">
      <c r="A298" t="s">
        <v>1258</v>
      </c>
      <c r="B298" t="s">
        <v>979</v>
      </c>
      <c r="C298">
        <v>0</v>
      </c>
      <c r="D298" s="34">
        <v>0.49335327153360847</v>
      </c>
    </row>
    <row r="299" spans="1:4" x14ac:dyDescent="0.3">
      <c r="A299" t="s">
        <v>1017</v>
      </c>
      <c r="B299" t="s">
        <v>979</v>
      </c>
      <c r="C299">
        <v>1</v>
      </c>
      <c r="D299" s="34">
        <v>0.52453737954024215</v>
      </c>
    </row>
    <row r="300" spans="1:4" x14ac:dyDescent="0.3">
      <c r="A300" t="s">
        <v>1127</v>
      </c>
      <c r="B300" t="s">
        <v>979</v>
      </c>
      <c r="C300">
        <v>1</v>
      </c>
      <c r="D300" s="34">
        <v>0.54241347639918036</v>
      </c>
    </row>
    <row r="301" spans="1:4" x14ac:dyDescent="0.3">
      <c r="A301" t="s">
        <v>1285</v>
      </c>
      <c r="B301" t="s">
        <v>979</v>
      </c>
      <c r="C301">
        <v>1</v>
      </c>
      <c r="D301" s="34">
        <v>0.54156093214261136</v>
      </c>
    </row>
    <row r="302" spans="1:4" x14ac:dyDescent="0.3">
      <c r="A302" t="s">
        <v>1391</v>
      </c>
      <c r="B302" t="s">
        <v>1327</v>
      </c>
      <c r="C302">
        <v>1</v>
      </c>
      <c r="D302" s="34">
        <v>0.51083685336057816</v>
      </c>
    </row>
    <row r="303" spans="1:4" x14ac:dyDescent="0.3">
      <c r="A303" t="s">
        <v>1595</v>
      </c>
      <c r="B303" t="s">
        <v>1327</v>
      </c>
      <c r="C303">
        <v>1</v>
      </c>
      <c r="D303" s="34">
        <v>0.54241347639918036</v>
      </c>
    </row>
    <row r="304" spans="1:4" x14ac:dyDescent="0.3">
      <c r="A304" t="s">
        <v>1650</v>
      </c>
      <c r="B304" t="s">
        <v>1327</v>
      </c>
      <c r="C304">
        <v>1</v>
      </c>
      <c r="D304" s="34">
        <v>0.51491023212910847</v>
      </c>
    </row>
    <row r="305" spans="1:4" x14ac:dyDescent="0.3">
      <c r="A305" t="s">
        <v>1039</v>
      </c>
      <c r="B305" t="s">
        <v>979</v>
      </c>
      <c r="C305">
        <v>1</v>
      </c>
      <c r="D305" s="34">
        <v>0.51491023212910847</v>
      </c>
    </row>
    <row r="306" spans="1:4" x14ac:dyDescent="0.3">
      <c r="A306" t="s">
        <v>1609</v>
      </c>
      <c r="B306" t="s">
        <v>1327</v>
      </c>
      <c r="C306">
        <v>1</v>
      </c>
      <c r="D306" s="34">
        <v>0.51491023212910847</v>
      </c>
    </row>
    <row r="307" spans="1:4" x14ac:dyDescent="0.3">
      <c r="A307" t="s">
        <v>1153</v>
      </c>
      <c r="B307" t="s">
        <v>979</v>
      </c>
      <c r="C307">
        <v>0</v>
      </c>
      <c r="D307" s="34">
        <v>0.49827919455870778</v>
      </c>
    </row>
    <row r="308" spans="1:4" x14ac:dyDescent="0.3">
      <c r="A308" t="s">
        <v>996</v>
      </c>
      <c r="B308" t="s">
        <v>979</v>
      </c>
      <c r="C308">
        <v>0</v>
      </c>
      <c r="D308" s="34">
        <v>0.49827919455870778</v>
      </c>
    </row>
    <row r="309" spans="1:4" x14ac:dyDescent="0.3">
      <c r="A309" t="s">
        <v>1578</v>
      </c>
      <c r="B309" t="s">
        <v>1327</v>
      </c>
      <c r="C309">
        <v>0</v>
      </c>
      <c r="D309" s="34">
        <v>0.49827919455870778</v>
      </c>
    </row>
    <row r="310" spans="1:4" x14ac:dyDescent="0.3">
      <c r="A310" t="s">
        <v>1651</v>
      </c>
      <c r="B310" t="s">
        <v>1327</v>
      </c>
      <c r="C310">
        <v>0</v>
      </c>
      <c r="D310" s="34">
        <v>0.49827919455870778</v>
      </c>
    </row>
    <row r="311" spans="1:4" x14ac:dyDescent="0.3">
      <c r="A311" t="s">
        <v>999</v>
      </c>
      <c r="B311" t="s">
        <v>979</v>
      </c>
      <c r="C311">
        <v>1</v>
      </c>
      <c r="D311" s="34">
        <v>0.52861075830877258</v>
      </c>
    </row>
    <row r="312" spans="1:4" x14ac:dyDescent="0.3">
      <c r="A312" t="s">
        <v>1237</v>
      </c>
      <c r="B312" t="s">
        <v>979</v>
      </c>
      <c r="C312">
        <v>0</v>
      </c>
      <c r="D312" s="34">
        <v>0.49827919455870778</v>
      </c>
    </row>
    <row r="313" spans="1:4" x14ac:dyDescent="0.3">
      <c r="A313" t="s">
        <v>1040</v>
      </c>
      <c r="B313" t="s">
        <v>979</v>
      </c>
      <c r="C313">
        <v>0</v>
      </c>
      <c r="D313" s="34">
        <v>0.49827919455870778</v>
      </c>
    </row>
    <row r="314" spans="1:4" x14ac:dyDescent="0.3">
      <c r="A314" t="s">
        <v>1084</v>
      </c>
      <c r="B314" t="s">
        <v>979</v>
      </c>
      <c r="C314">
        <v>0</v>
      </c>
      <c r="D314" s="34">
        <v>0.49827919455870778</v>
      </c>
    </row>
    <row r="315" spans="1:4" x14ac:dyDescent="0.3">
      <c r="A315" t="s">
        <v>1204</v>
      </c>
      <c r="B315" t="s">
        <v>979</v>
      </c>
      <c r="C315">
        <v>0</v>
      </c>
      <c r="D315" s="34">
        <v>0.49827919455870778</v>
      </c>
    </row>
    <row r="316" spans="1:4" x14ac:dyDescent="0.3">
      <c r="A316" t="s">
        <v>1392</v>
      </c>
      <c r="B316" t="s">
        <v>1327</v>
      </c>
      <c r="C316">
        <v>1</v>
      </c>
      <c r="D316" s="34">
        <v>0.52861075830877258</v>
      </c>
    </row>
    <row r="317" spans="1:4" x14ac:dyDescent="0.3">
      <c r="A317" t="s">
        <v>1690</v>
      </c>
      <c r="B317" t="s">
        <v>1327</v>
      </c>
      <c r="C317">
        <v>0</v>
      </c>
      <c r="D317" s="34">
        <v>0.49827919455870778</v>
      </c>
    </row>
    <row r="318" spans="1:4" x14ac:dyDescent="0.3">
      <c r="A318" t="s">
        <v>1465</v>
      </c>
      <c r="B318" t="s">
        <v>1327</v>
      </c>
      <c r="C318">
        <v>0</v>
      </c>
      <c r="D318" s="34">
        <v>0.49827919455870778</v>
      </c>
    </row>
    <row r="319" spans="1:4" x14ac:dyDescent="0.3">
      <c r="A319" t="s">
        <v>1014</v>
      </c>
      <c r="B319" t="s">
        <v>979</v>
      </c>
      <c r="C319">
        <v>0</v>
      </c>
      <c r="D319" s="34">
        <v>0.49827919455870778</v>
      </c>
    </row>
    <row r="320" spans="1:4" x14ac:dyDescent="0.3">
      <c r="A320" t="s">
        <v>1059</v>
      </c>
      <c r="B320" t="s">
        <v>979</v>
      </c>
      <c r="C320">
        <v>1</v>
      </c>
      <c r="D320" s="34">
        <v>0.51491023212910847</v>
      </c>
    </row>
    <row r="321" spans="1:4" x14ac:dyDescent="0.3">
      <c r="A321" t="s">
        <v>1624</v>
      </c>
      <c r="B321" t="s">
        <v>1327</v>
      </c>
      <c r="C321">
        <v>1</v>
      </c>
      <c r="D321" s="34">
        <v>0.51491023212910847</v>
      </c>
    </row>
    <row r="322" spans="1:4" x14ac:dyDescent="0.3">
      <c r="A322" t="s">
        <v>1316</v>
      </c>
      <c r="B322" t="s">
        <v>979</v>
      </c>
      <c r="C322">
        <v>1</v>
      </c>
      <c r="D322" s="34">
        <v>0.54648685516771078</v>
      </c>
    </row>
    <row r="323" spans="1:4" x14ac:dyDescent="0.3">
      <c r="A323" t="s">
        <v>1739</v>
      </c>
      <c r="B323" t="s">
        <v>1327</v>
      </c>
      <c r="C323">
        <v>0</v>
      </c>
      <c r="D323" s="34">
        <v>0.45680870724815431</v>
      </c>
    </row>
    <row r="324" spans="1:4" x14ac:dyDescent="0.3">
      <c r="A324" t="s">
        <v>1062</v>
      </c>
      <c r="B324" t="s">
        <v>979</v>
      </c>
      <c r="C324">
        <v>1</v>
      </c>
      <c r="D324" s="34">
        <v>0.54648685516771078</v>
      </c>
    </row>
    <row r="325" spans="1:4" x14ac:dyDescent="0.3">
      <c r="A325" t="s">
        <v>1492</v>
      </c>
      <c r="B325" t="s">
        <v>1327</v>
      </c>
      <c r="C325">
        <v>0</v>
      </c>
      <c r="D325" s="34">
        <v>0.49855966739454721</v>
      </c>
    </row>
    <row r="326" spans="1:4" x14ac:dyDescent="0.3">
      <c r="A326" t="s">
        <v>1610</v>
      </c>
      <c r="B326" t="s">
        <v>1327</v>
      </c>
      <c r="C326">
        <v>1</v>
      </c>
      <c r="D326" s="34">
        <v>0.53447676871371375</v>
      </c>
    </row>
    <row r="327" spans="1:4" x14ac:dyDescent="0.3">
      <c r="A327" t="s">
        <v>1740</v>
      </c>
      <c r="B327" t="s">
        <v>1327</v>
      </c>
      <c r="C327">
        <v>0</v>
      </c>
      <c r="D327" s="34">
        <v>0.41722129995117158</v>
      </c>
    </row>
    <row r="328" spans="1:4" x14ac:dyDescent="0.3">
      <c r="A328" t="s">
        <v>1294</v>
      </c>
      <c r="B328" t="s">
        <v>979</v>
      </c>
      <c r="C328">
        <v>0</v>
      </c>
      <c r="D328" s="34">
        <v>0.49855966739454721</v>
      </c>
    </row>
    <row r="329" spans="1:4" x14ac:dyDescent="0.3">
      <c r="A329" t="s">
        <v>1526</v>
      </c>
      <c r="B329" t="s">
        <v>1327</v>
      </c>
      <c r="C329">
        <v>0</v>
      </c>
      <c r="D329" s="34">
        <v>0.49855966739454721</v>
      </c>
    </row>
    <row r="330" spans="1:4" x14ac:dyDescent="0.3">
      <c r="A330" t="s">
        <v>1381</v>
      </c>
      <c r="B330" t="s">
        <v>1327</v>
      </c>
      <c r="C330">
        <v>1</v>
      </c>
      <c r="D330" s="34">
        <v>0.53447676871371375</v>
      </c>
    </row>
    <row r="331" spans="1:4" x14ac:dyDescent="0.3">
      <c r="A331" t="s">
        <v>1741</v>
      </c>
      <c r="B331" t="s">
        <v>1327</v>
      </c>
      <c r="C331">
        <v>0</v>
      </c>
      <c r="D331" s="34">
        <v>0.41722129995117158</v>
      </c>
    </row>
    <row r="332" spans="1:4" x14ac:dyDescent="0.3">
      <c r="A332" t="s">
        <v>1187</v>
      </c>
      <c r="B332" t="s">
        <v>979</v>
      </c>
      <c r="C332">
        <v>1</v>
      </c>
      <c r="D332" s="34">
        <v>0.5095699146955267</v>
      </c>
    </row>
    <row r="333" spans="1:4" x14ac:dyDescent="0.3">
      <c r="A333" t="s">
        <v>1691</v>
      </c>
      <c r="B333" t="s">
        <v>1327</v>
      </c>
      <c r="C333">
        <v>1</v>
      </c>
      <c r="D333" s="34">
        <v>0.54633691611459334</v>
      </c>
    </row>
    <row r="334" spans="1:4" x14ac:dyDescent="0.3">
      <c r="A334" t="s">
        <v>1742</v>
      </c>
      <c r="B334" t="s">
        <v>1327</v>
      </c>
      <c r="C334">
        <v>0</v>
      </c>
      <c r="D334" s="34">
        <v>0.41980148999502098</v>
      </c>
    </row>
    <row r="335" spans="1:4" x14ac:dyDescent="0.3">
      <c r="A335" t="s">
        <v>1066</v>
      </c>
      <c r="B335" t="s">
        <v>979</v>
      </c>
      <c r="C335">
        <v>1</v>
      </c>
      <c r="D335" s="34">
        <v>0.5095699146955267</v>
      </c>
    </row>
    <row r="336" spans="1:4" x14ac:dyDescent="0.3">
      <c r="A336" t="s">
        <v>1436</v>
      </c>
      <c r="B336" t="s">
        <v>1327</v>
      </c>
      <c r="C336">
        <v>1</v>
      </c>
      <c r="D336" s="34">
        <v>0.5095699146955267</v>
      </c>
    </row>
    <row r="337" spans="1:4" x14ac:dyDescent="0.3">
      <c r="A337" t="s">
        <v>1527</v>
      </c>
      <c r="B337" t="s">
        <v>1327</v>
      </c>
      <c r="C337">
        <v>1</v>
      </c>
      <c r="D337" s="34">
        <v>0.5095699146955267</v>
      </c>
    </row>
    <row r="338" spans="1:4" x14ac:dyDescent="0.3">
      <c r="A338" t="s">
        <v>1466</v>
      </c>
      <c r="B338" t="s">
        <v>1327</v>
      </c>
      <c r="C338">
        <v>1</v>
      </c>
      <c r="D338" s="34">
        <v>0.54633691611459334</v>
      </c>
    </row>
    <row r="339" spans="1:4" x14ac:dyDescent="0.3">
      <c r="A339" t="s">
        <v>1188</v>
      </c>
      <c r="B339" t="s">
        <v>979</v>
      </c>
      <c r="C339">
        <v>1</v>
      </c>
      <c r="D339" s="34">
        <v>0.51491023212910847</v>
      </c>
    </row>
    <row r="340" spans="1:4" x14ac:dyDescent="0.3">
      <c r="A340" t="s">
        <v>1073</v>
      </c>
      <c r="B340" t="s">
        <v>979</v>
      </c>
      <c r="C340">
        <v>1</v>
      </c>
      <c r="D340" s="34">
        <v>0.51491023212910847</v>
      </c>
    </row>
    <row r="341" spans="1:4" x14ac:dyDescent="0.3">
      <c r="A341" t="s">
        <v>1528</v>
      </c>
      <c r="B341" t="s">
        <v>1327</v>
      </c>
      <c r="C341">
        <v>1</v>
      </c>
      <c r="D341" s="34">
        <v>0.51491023212910847</v>
      </c>
    </row>
    <row r="342" spans="1:4" x14ac:dyDescent="0.3">
      <c r="A342" t="s">
        <v>1450</v>
      </c>
      <c r="B342" t="s">
        <v>1327</v>
      </c>
      <c r="C342">
        <v>1</v>
      </c>
      <c r="D342" s="34">
        <v>0.54648685516771078</v>
      </c>
    </row>
    <row r="343" spans="1:4" x14ac:dyDescent="0.3">
      <c r="A343" t="s">
        <v>1743</v>
      </c>
      <c r="B343" t="s">
        <v>1327</v>
      </c>
      <c r="C343">
        <v>0</v>
      </c>
      <c r="D343" s="34">
        <v>0.49146433087362451</v>
      </c>
    </row>
    <row r="344" spans="1:4" x14ac:dyDescent="0.3">
      <c r="A344" t="s">
        <v>1529</v>
      </c>
      <c r="B344" t="s">
        <v>1327</v>
      </c>
      <c r="C344">
        <v>1</v>
      </c>
      <c r="D344" s="34">
        <v>0.54648685516771078</v>
      </c>
    </row>
    <row r="345" spans="1:4" x14ac:dyDescent="0.3">
      <c r="A345" t="s">
        <v>1744</v>
      </c>
      <c r="B345" t="s">
        <v>1327</v>
      </c>
      <c r="C345">
        <v>0</v>
      </c>
      <c r="D345" s="34">
        <v>0.45680870724815431</v>
      </c>
    </row>
    <row r="346" spans="1:4" x14ac:dyDescent="0.3">
      <c r="A346" t="s">
        <v>1404</v>
      </c>
      <c r="B346" t="s">
        <v>1327</v>
      </c>
      <c r="C346">
        <v>1</v>
      </c>
      <c r="D346" s="34">
        <v>0.51491023212910847</v>
      </c>
    </row>
    <row r="347" spans="1:4" x14ac:dyDescent="0.3">
      <c r="A347" t="s">
        <v>1467</v>
      </c>
      <c r="B347" t="s">
        <v>1327</v>
      </c>
      <c r="C347">
        <v>0</v>
      </c>
      <c r="D347" s="34">
        <v>0.49827919455870778</v>
      </c>
    </row>
    <row r="348" spans="1:4" x14ac:dyDescent="0.3">
      <c r="A348" t="s">
        <v>1033</v>
      </c>
      <c r="B348" t="s">
        <v>979</v>
      </c>
      <c r="C348">
        <v>0</v>
      </c>
      <c r="D348" s="34">
        <v>0.49827919455870778</v>
      </c>
    </row>
    <row r="349" spans="1:4" x14ac:dyDescent="0.3">
      <c r="A349" t="s">
        <v>1625</v>
      </c>
      <c r="B349" t="s">
        <v>1327</v>
      </c>
      <c r="C349">
        <v>1</v>
      </c>
      <c r="D349" s="34">
        <v>0.52861075830877258</v>
      </c>
    </row>
    <row r="350" spans="1:4" x14ac:dyDescent="0.3">
      <c r="A350" t="s">
        <v>1745</v>
      </c>
      <c r="B350" t="s">
        <v>1327</v>
      </c>
      <c r="C350">
        <v>0</v>
      </c>
      <c r="D350" s="34">
        <v>0.41694082711533242</v>
      </c>
    </row>
    <row r="351" spans="1:4" x14ac:dyDescent="0.3">
      <c r="A351" t="s">
        <v>1468</v>
      </c>
      <c r="B351" t="s">
        <v>1327</v>
      </c>
      <c r="C351">
        <v>0</v>
      </c>
      <c r="D351" s="34">
        <v>0.49827919455870778</v>
      </c>
    </row>
    <row r="352" spans="1:4" x14ac:dyDescent="0.3">
      <c r="A352" t="s">
        <v>1414</v>
      </c>
      <c r="B352" t="s">
        <v>1327</v>
      </c>
      <c r="C352">
        <v>1</v>
      </c>
      <c r="D352" s="34">
        <v>0.52861075830877258</v>
      </c>
    </row>
    <row r="353" spans="1:4" x14ac:dyDescent="0.3">
      <c r="A353" t="s">
        <v>1178</v>
      </c>
      <c r="B353" t="s">
        <v>979</v>
      </c>
      <c r="C353">
        <v>1</v>
      </c>
      <c r="D353" s="34">
        <v>0.54648685516771078</v>
      </c>
    </row>
    <row r="354" spans="1:4" x14ac:dyDescent="0.3">
      <c r="A354" t="s">
        <v>1405</v>
      </c>
      <c r="B354" t="s">
        <v>1327</v>
      </c>
      <c r="C354">
        <v>1</v>
      </c>
      <c r="D354" s="34">
        <v>0.54648685516771078</v>
      </c>
    </row>
    <row r="355" spans="1:4" x14ac:dyDescent="0.3">
      <c r="A355" t="s">
        <v>1354</v>
      </c>
      <c r="B355" t="s">
        <v>1327</v>
      </c>
      <c r="C355">
        <v>1</v>
      </c>
      <c r="D355" s="34">
        <v>0.51491023212910847</v>
      </c>
    </row>
    <row r="356" spans="1:4" x14ac:dyDescent="0.3">
      <c r="A356" t="s">
        <v>1032</v>
      </c>
      <c r="B356" t="s">
        <v>979</v>
      </c>
      <c r="C356">
        <v>1</v>
      </c>
      <c r="D356" s="34">
        <v>0.51491023212910847</v>
      </c>
    </row>
    <row r="357" spans="1:4" x14ac:dyDescent="0.3">
      <c r="A357" t="s">
        <v>1451</v>
      </c>
      <c r="B357" t="s">
        <v>1327</v>
      </c>
      <c r="C357">
        <v>1</v>
      </c>
      <c r="D357" s="34">
        <v>0.51491023212910847</v>
      </c>
    </row>
    <row r="358" spans="1:4" x14ac:dyDescent="0.3">
      <c r="A358" t="s">
        <v>1596</v>
      </c>
      <c r="B358" t="s">
        <v>1327</v>
      </c>
      <c r="C358">
        <v>0</v>
      </c>
      <c r="D358" s="34">
        <v>0.49827919455870778</v>
      </c>
    </row>
    <row r="359" spans="1:4" x14ac:dyDescent="0.3">
      <c r="A359" t="s">
        <v>986</v>
      </c>
      <c r="B359" t="s">
        <v>979</v>
      </c>
      <c r="C359">
        <v>0</v>
      </c>
      <c r="D359" s="34">
        <v>0.49827919455870778</v>
      </c>
    </row>
    <row r="360" spans="1:4" x14ac:dyDescent="0.3">
      <c r="A360" t="s">
        <v>1692</v>
      </c>
      <c r="B360" t="s">
        <v>1327</v>
      </c>
      <c r="C360">
        <v>1</v>
      </c>
      <c r="D360" s="34">
        <v>0.52861075830877258</v>
      </c>
    </row>
    <row r="361" spans="1:4" x14ac:dyDescent="0.3">
      <c r="A361" t="s">
        <v>1034</v>
      </c>
      <c r="B361" t="s">
        <v>979</v>
      </c>
      <c r="C361">
        <v>1</v>
      </c>
      <c r="D361" s="34">
        <v>0.54648685516771078</v>
      </c>
    </row>
    <row r="362" spans="1:4" x14ac:dyDescent="0.3">
      <c r="A362" t="s">
        <v>1056</v>
      </c>
      <c r="B362" t="s">
        <v>979</v>
      </c>
      <c r="C362">
        <v>1</v>
      </c>
      <c r="D362" s="34">
        <v>0.54648685516771078</v>
      </c>
    </row>
    <row r="363" spans="1:4" x14ac:dyDescent="0.3">
      <c r="A363" t="s">
        <v>1579</v>
      </c>
      <c r="B363" t="s">
        <v>1327</v>
      </c>
      <c r="C363">
        <v>1</v>
      </c>
      <c r="D363" s="34">
        <v>0.51491023212910847</v>
      </c>
    </row>
    <row r="364" spans="1:4" x14ac:dyDescent="0.3">
      <c r="A364" t="s">
        <v>1626</v>
      </c>
      <c r="B364" t="s">
        <v>1327</v>
      </c>
      <c r="C364">
        <v>1</v>
      </c>
      <c r="D364" s="34">
        <v>0.51491023212910847</v>
      </c>
    </row>
    <row r="365" spans="1:4" x14ac:dyDescent="0.3">
      <c r="A365" t="s">
        <v>1090</v>
      </c>
      <c r="B365" t="s">
        <v>979</v>
      </c>
      <c r="C365">
        <v>1</v>
      </c>
      <c r="D365" s="34">
        <v>0.51491023212910847</v>
      </c>
    </row>
    <row r="366" spans="1:4" x14ac:dyDescent="0.3">
      <c r="A366" t="s">
        <v>1004</v>
      </c>
      <c r="B366" t="s">
        <v>979</v>
      </c>
      <c r="C366">
        <v>0</v>
      </c>
      <c r="D366" s="34">
        <v>0.49827919455870778</v>
      </c>
    </row>
    <row r="367" spans="1:4" x14ac:dyDescent="0.3">
      <c r="A367" t="s">
        <v>1597</v>
      </c>
      <c r="B367" t="s">
        <v>1327</v>
      </c>
      <c r="C367">
        <v>0</v>
      </c>
      <c r="D367" s="34">
        <v>0.49827919455870778</v>
      </c>
    </row>
    <row r="368" spans="1:4" x14ac:dyDescent="0.3">
      <c r="A368" t="s">
        <v>1415</v>
      </c>
      <c r="B368" t="s">
        <v>1327</v>
      </c>
      <c r="C368">
        <v>1</v>
      </c>
      <c r="D368" s="34">
        <v>0.52861075830877258</v>
      </c>
    </row>
    <row r="369" spans="1:4" x14ac:dyDescent="0.3">
      <c r="A369" t="s">
        <v>1580</v>
      </c>
      <c r="B369" t="s">
        <v>1327</v>
      </c>
      <c r="C369">
        <v>1</v>
      </c>
      <c r="D369" s="34">
        <v>0.51083685336057816</v>
      </c>
    </row>
    <row r="370" spans="1:4" x14ac:dyDescent="0.3">
      <c r="A370" t="s">
        <v>1530</v>
      </c>
      <c r="B370" t="s">
        <v>1327</v>
      </c>
      <c r="C370">
        <v>1</v>
      </c>
      <c r="D370" s="34">
        <v>0.54241347639918036</v>
      </c>
    </row>
    <row r="371" spans="1:4" x14ac:dyDescent="0.3">
      <c r="A371" t="s">
        <v>1019</v>
      </c>
      <c r="B371" t="s">
        <v>979</v>
      </c>
      <c r="C371">
        <v>0</v>
      </c>
      <c r="D371" s="34">
        <v>0.49420581579017753</v>
      </c>
    </row>
    <row r="372" spans="1:4" x14ac:dyDescent="0.3">
      <c r="A372" t="s">
        <v>1139</v>
      </c>
      <c r="B372" t="s">
        <v>979</v>
      </c>
      <c r="C372">
        <v>0</v>
      </c>
      <c r="D372" s="34">
        <v>0.49420581579017753</v>
      </c>
    </row>
    <row r="373" spans="1:4" x14ac:dyDescent="0.3">
      <c r="A373" t="s">
        <v>1119</v>
      </c>
      <c r="B373" t="s">
        <v>979</v>
      </c>
      <c r="C373">
        <v>0</v>
      </c>
      <c r="D373" s="34">
        <v>0.49420581579017753</v>
      </c>
    </row>
    <row r="374" spans="1:4" x14ac:dyDescent="0.3">
      <c r="A374" t="s">
        <v>1598</v>
      </c>
      <c r="B374" t="s">
        <v>1327</v>
      </c>
      <c r="C374">
        <v>0</v>
      </c>
      <c r="D374" s="34">
        <v>0.49420581579017753</v>
      </c>
    </row>
    <row r="375" spans="1:4" x14ac:dyDescent="0.3">
      <c r="A375" t="s">
        <v>1349</v>
      </c>
      <c r="B375" t="s">
        <v>1327</v>
      </c>
      <c r="C375">
        <v>1</v>
      </c>
      <c r="D375" s="34">
        <v>0.52453737954024215</v>
      </c>
    </row>
    <row r="376" spans="1:4" x14ac:dyDescent="0.3">
      <c r="A376" t="s">
        <v>1558</v>
      </c>
      <c r="B376" t="s">
        <v>1327</v>
      </c>
      <c r="C376">
        <v>1</v>
      </c>
      <c r="D376" s="34">
        <v>0.51491023212910847</v>
      </c>
    </row>
    <row r="377" spans="1:4" x14ac:dyDescent="0.3">
      <c r="A377" t="s">
        <v>1454</v>
      </c>
      <c r="B377" t="s">
        <v>1327</v>
      </c>
      <c r="C377">
        <v>0</v>
      </c>
      <c r="D377" s="34">
        <v>0.49827919455870778</v>
      </c>
    </row>
    <row r="378" spans="1:4" x14ac:dyDescent="0.3">
      <c r="A378" t="s">
        <v>1050</v>
      </c>
      <c r="B378" t="s">
        <v>979</v>
      </c>
      <c r="C378">
        <v>0</v>
      </c>
      <c r="D378" s="34">
        <v>0.49827919455870778</v>
      </c>
    </row>
    <row r="379" spans="1:4" x14ac:dyDescent="0.3">
      <c r="A379" t="s">
        <v>1020</v>
      </c>
      <c r="B379" t="s">
        <v>979</v>
      </c>
      <c r="C379">
        <v>0</v>
      </c>
      <c r="D379" s="34">
        <v>0.49827919455870778</v>
      </c>
    </row>
    <row r="380" spans="1:4" x14ac:dyDescent="0.3">
      <c r="A380" t="s">
        <v>1198</v>
      </c>
      <c r="B380" t="s">
        <v>979</v>
      </c>
      <c r="C380">
        <v>0</v>
      </c>
      <c r="D380" s="34">
        <v>0.49827919455870778</v>
      </c>
    </row>
    <row r="381" spans="1:4" x14ac:dyDescent="0.3">
      <c r="A381" t="s">
        <v>1652</v>
      </c>
      <c r="B381" t="s">
        <v>1327</v>
      </c>
      <c r="C381">
        <v>1</v>
      </c>
      <c r="D381" s="34">
        <v>0.52861075830877258</v>
      </c>
    </row>
    <row r="382" spans="1:4" x14ac:dyDescent="0.3">
      <c r="A382" t="s">
        <v>1746</v>
      </c>
      <c r="B382" t="s">
        <v>1327</v>
      </c>
      <c r="C382">
        <v>0</v>
      </c>
      <c r="D382" s="34">
        <v>0.41694082711533242</v>
      </c>
    </row>
    <row r="383" spans="1:4" x14ac:dyDescent="0.3">
      <c r="A383" t="s">
        <v>1023</v>
      </c>
      <c r="B383" t="s">
        <v>979</v>
      </c>
      <c r="C383">
        <v>0</v>
      </c>
      <c r="D383" s="34">
        <v>0.49827919455870778</v>
      </c>
    </row>
    <row r="384" spans="1:4" x14ac:dyDescent="0.3">
      <c r="A384" t="s">
        <v>1509</v>
      </c>
      <c r="B384" t="s">
        <v>1327</v>
      </c>
      <c r="C384">
        <v>0</v>
      </c>
      <c r="D384" s="34">
        <v>0.49827919455870778</v>
      </c>
    </row>
    <row r="385" spans="1:4" x14ac:dyDescent="0.3">
      <c r="A385" t="s">
        <v>1099</v>
      </c>
      <c r="B385" t="s">
        <v>979</v>
      </c>
      <c r="C385">
        <v>0</v>
      </c>
      <c r="D385" s="34">
        <v>0.49827919455870778</v>
      </c>
    </row>
    <row r="386" spans="1:4" x14ac:dyDescent="0.3">
      <c r="A386" t="s">
        <v>1070</v>
      </c>
      <c r="B386" t="s">
        <v>979</v>
      </c>
      <c r="C386">
        <v>1</v>
      </c>
      <c r="D386" s="34">
        <v>0.52861075830877258</v>
      </c>
    </row>
    <row r="387" spans="1:4" x14ac:dyDescent="0.3">
      <c r="A387" t="s">
        <v>1382</v>
      </c>
      <c r="B387" t="s">
        <v>1327</v>
      </c>
      <c r="C387">
        <v>0</v>
      </c>
      <c r="D387" s="34">
        <v>0.49855966739454721</v>
      </c>
    </row>
    <row r="388" spans="1:4" x14ac:dyDescent="0.3">
      <c r="A388" t="s">
        <v>1364</v>
      </c>
      <c r="B388" t="s">
        <v>1327</v>
      </c>
      <c r="C388">
        <v>0</v>
      </c>
      <c r="D388" s="34">
        <v>0.49855966739454721</v>
      </c>
    </row>
    <row r="389" spans="1:4" x14ac:dyDescent="0.3">
      <c r="A389" t="s">
        <v>1709</v>
      </c>
      <c r="B389" t="s">
        <v>1327</v>
      </c>
      <c r="C389">
        <v>0</v>
      </c>
      <c r="D389" s="34">
        <v>0.49855966739454721</v>
      </c>
    </row>
    <row r="390" spans="1:4" x14ac:dyDescent="0.3">
      <c r="A390" t="s">
        <v>1355</v>
      </c>
      <c r="B390" t="s">
        <v>1327</v>
      </c>
      <c r="C390">
        <v>0</v>
      </c>
      <c r="D390" s="34">
        <v>0.49855966739454721</v>
      </c>
    </row>
    <row r="391" spans="1:4" x14ac:dyDescent="0.3">
      <c r="A391" t="s">
        <v>1627</v>
      </c>
      <c r="B391" t="s">
        <v>1327</v>
      </c>
      <c r="C391">
        <v>0</v>
      </c>
      <c r="D391" s="34">
        <v>0.49855966739454721</v>
      </c>
    </row>
    <row r="392" spans="1:4" x14ac:dyDescent="0.3">
      <c r="A392" t="s">
        <v>1134</v>
      </c>
      <c r="B392" t="s">
        <v>979</v>
      </c>
      <c r="C392">
        <v>0</v>
      </c>
      <c r="D392" s="34">
        <v>0.49855966739454721</v>
      </c>
    </row>
    <row r="393" spans="1:4" x14ac:dyDescent="0.3">
      <c r="A393" t="s">
        <v>1545</v>
      </c>
      <c r="B393" t="s">
        <v>1327</v>
      </c>
      <c r="C393">
        <v>0</v>
      </c>
      <c r="D393" s="34">
        <v>0.49855966739454721</v>
      </c>
    </row>
    <row r="394" spans="1:4" x14ac:dyDescent="0.3">
      <c r="A394" t="s">
        <v>1189</v>
      </c>
      <c r="B394" t="s">
        <v>979</v>
      </c>
      <c r="C394">
        <v>0</v>
      </c>
      <c r="D394" s="34">
        <v>0.49855966739454721</v>
      </c>
    </row>
    <row r="395" spans="1:4" x14ac:dyDescent="0.3">
      <c r="A395" t="s">
        <v>1628</v>
      </c>
      <c r="B395" t="s">
        <v>1327</v>
      </c>
      <c r="C395">
        <v>1</v>
      </c>
      <c r="D395" s="34">
        <v>0.52354558368363269</v>
      </c>
    </row>
    <row r="396" spans="1:4" x14ac:dyDescent="0.3">
      <c r="A396" t="s">
        <v>1170</v>
      </c>
      <c r="B396" t="s">
        <v>979</v>
      </c>
      <c r="C396">
        <v>1</v>
      </c>
      <c r="D396" s="34">
        <v>0.5095699146955267</v>
      </c>
    </row>
    <row r="397" spans="1:4" x14ac:dyDescent="0.3">
      <c r="A397" t="s">
        <v>1629</v>
      </c>
      <c r="B397" t="s">
        <v>1327</v>
      </c>
      <c r="C397">
        <v>1</v>
      </c>
      <c r="D397" s="34">
        <v>0.54633691611459334</v>
      </c>
    </row>
    <row r="398" spans="1:4" x14ac:dyDescent="0.3">
      <c r="A398" t="s">
        <v>1274</v>
      </c>
      <c r="B398" t="s">
        <v>979</v>
      </c>
      <c r="C398">
        <v>1</v>
      </c>
      <c r="D398" s="34">
        <v>0.52354558368363269</v>
      </c>
    </row>
    <row r="399" spans="1:4" x14ac:dyDescent="0.3">
      <c r="A399" t="s">
        <v>1747</v>
      </c>
      <c r="B399" t="s">
        <v>1327</v>
      </c>
      <c r="C399">
        <v>0</v>
      </c>
      <c r="D399" s="34">
        <v>0.41980148999502098</v>
      </c>
    </row>
    <row r="400" spans="1:4" x14ac:dyDescent="0.3">
      <c r="A400" t="s">
        <v>1653</v>
      </c>
      <c r="B400" t="s">
        <v>1327</v>
      </c>
      <c r="C400">
        <v>1</v>
      </c>
      <c r="D400" s="34">
        <v>0.5095699146955267</v>
      </c>
    </row>
    <row r="401" spans="1:4" x14ac:dyDescent="0.3">
      <c r="A401" t="s">
        <v>1693</v>
      </c>
      <c r="B401" t="s">
        <v>1327</v>
      </c>
      <c r="C401">
        <v>1</v>
      </c>
      <c r="D401" s="34">
        <v>0.5095699146955267</v>
      </c>
    </row>
    <row r="402" spans="1:4" x14ac:dyDescent="0.3">
      <c r="A402" t="s">
        <v>1672</v>
      </c>
      <c r="B402" t="s">
        <v>1327</v>
      </c>
      <c r="C402">
        <v>1</v>
      </c>
      <c r="D402" s="34">
        <v>0.54633691611459334</v>
      </c>
    </row>
    <row r="403" spans="1:4" x14ac:dyDescent="0.3">
      <c r="A403" t="s">
        <v>1122</v>
      </c>
      <c r="B403" t="s">
        <v>979</v>
      </c>
      <c r="C403">
        <v>0</v>
      </c>
      <c r="D403" s="34">
        <v>0.49827919455870778</v>
      </c>
    </row>
    <row r="404" spans="1:4" x14ac:dyDescent="0.3">
      <c r="A404" t="s">
        <v>1531</v>
      </c>
      <c r="B404" t="s">
        <v>1327</v>
      </c>
      <c r="C404">
        <v>0</v>
      </c>
      <c r="D404" s="34">
        <v>0.49827919455870778</v>
      </c>
    </row>
    <row r="405" spans="1:4" x14ac:dyDescent="0.3">
      <c r="A405" t="s">
        <v>1493</v>
      </c>
      <c r="B405" t="s">
        <v>1327</v>
      </c>
      <c r="C405">
        <v>0</v>
      </c>
      <c r="D405" s="34">
        <v>0.49827919455870778</v>
      </c>
    </row>
    <row r="406" spans="1:4" x14ac:dyDescent="0.3">
      <c r="A406" t="s">
        <v>1469</v>
      </c>
      <c r="B406" t="s">
        <v>1327</v>
      </c>
      <c r="C406">
        <v>0</v>
      </c>
      <c r="D406" s="34">
        <v>0.49827919455870778</v>
      </c>
    </row>
    <row r="407" spans="1:4" x14ac:dyDescent="0.3">
      <c r="A407" t="s">
        <v>1482</v>
      </c>
      <c r="B407" t="s">
        <v>1327</v>
      </c>
      <c r="C407">
        <v>1</v>
      </c>
      <c r="D407" s="34">
        <v>0.52861075830877258</v>
      </c>
    </row>
    <row r="408" spans="1:4" x14ac:dyDescent="0.3">
      <c r="A408" t="s">
        <v>1216</v>
      </c>
      <c r="B408" t="s">
        <v>979</v>
      </c>
      <c r="C408">
        <v>1</v>
      </c>
      <c r="D408" s="34">
        <v>0.54648685516771078</v>
      </c>
    </row>
    <row r="409" spans="1:4" x14ac:dyDescent="0.3">
      <c r="A409" t="s">
        <v>1081</v>
      </c>
      <c r="B409" t="s">
        <v>979</v>
      </c>
      <c r="C409">
        <v>1</v>
      </c>
      <c r="D409" s="34">
        <v>0.54648685516771078</v>
      </c>
    </row>
    <row r="410" spans="1:4" x14ac:dyDescent="0.3">
      <c r="A410" t="s">
        <v>1054</v>
      </c>
      <c r="B410" t="s">
        <v>979</v>
      </c>
      <c r="C410">
        <v>1</v>
      </c>
      <c r="D410" s="34">
        <v>0.54648685516771078</v>
      </c>
    </row>
    <row r="411" spans="1:4" x14ac:dyDescent="0.3">
      <c r="A411" t="s">
        <v>1546</v>
      </c>
      <c r="B411" t="s">
        <v>1327</v>
      </c>
      <c r="C411">
        <v>1</v>
      </c>
      <c r="D411" s="34">
        <v>0.51491023212910847</v>
      </c>
    </row>
    <row r="412" spans="1:4" x14ac:dyDescent="0.3">
      <c r="A412" t="s">
        <v>1156</v>
      </c>
      <c r="B412" t="s">
        <v>979</v>
      </c>
      <c r="C412">
        <v>1</v>
      </c>
      <c r="D412" s="34">
        <v>0.54648685516771078</v>
      </c>
    </row>
    <row r="413" spans="1:4" x14ac:dyDescent="0.3">
      <c r="A413" t="s">
        <v>1220</v>
      </c>
      <c r="B413" t="s">
        <v>979</v>
      </c>
      <c r="C413">
        <v>1</v>
      </c>
      <c r="D413" s="34">
        <v>0.54648685516771078</v>
      </c>
    </row>
    <row r="414" spans="1:4" x14ac:dyDescent="0.3">
      <c r="A414" t="s">
        <v>1330</v>
      </c>
      <c r="B414" t="s">
        <v>1327</v>
      </c>
      <c r="C414">
        <v>1</v>
      </c>
      <c r="D414" s="34">
        <v>0.54648685516771078</v>
      </c>
    </row>
    <row r="415" spans="1:4" x14ac:dyDescent="0.3">
      <c r="A415" t="s">
        <v>1323</v>
      </c>
      <c r="B415" t="s">
        <v>979</v>
      </c>
      <c r="C415">
        <v>0</v>
      </c>
      <c r="D415" s="34">
        <v>0.49855966739454721</v>
      </c>
    </row>
    <row r="416" spans="1:4" x14ac:dyDescent="0.3">
      <c r="A416" t="s">
        <v>1470</v>
      </c>
      <c r="B416" t="s">
        <v>1327</v>
      </c>
      <c r="C416">
        <v>0</v>
      </c>
      <c r="D416" s="34">
        <v>0.49855966739454721</v>
      </c>
    </row>
    <row r="417" spans="1:4" x14ac:dyDescent="0.3">
      <c r="A417" t="s">
        <v>1369</v>
      </c>
      <c r="B417" t="s">
        <v>1327</v>
      </c>
      <c r="C417">
        <v>0</v>
      </c>
      <c r="D417" s="34">
        <v>0.49855966739454721</v>
      </c>
    </row>
    <row r="418" spans="1:4" x14ac:dyDescent="0.3">
      <c r="A418" t="s">
        <v>1630</v>
      </c>
      <c r="B418" t="s">
        <v>1327</v>
      </c>
      <c r="C418">
        <v>1</v>
      </c>
      <c r="D418" s="34">
        <v>0.53447676871371375</v>
      </c>
    </row>
    <row r="419" spans="1:4" x14ac:dyDescent="0.3">
      <c r="A419" t="s">
        <v>1080</v>
      </c>
      <c r="B419" t="s">
        <v>979</v>
      </c>
      <c r="C419">
        <v>0</v>
      </c>
      <c r="D419" s="34">
        <v>0.49855966739454721</v>
      </c>
    </row>
    <row r="420" spans="1:4" x14ac:dyDescent="0.3">
      <c r="A420" t="s">
        <v>1128</v>
      </c>
      <c r="B420" t="s">
        <v>979</v>
      </c>
      <c r="C420">
        <v>1</v>
      </c>
      <c r="D420" s="34">
        <v>0.5095699146955267</v>
      </c>
    </row>
    <row r="421" spans="1:4" x14ac:dyDescent="0.3">
      <c r="A421" t="s">
        <v>1748</v>
      </c>
      <c r="B421" t="s">
        <v>1327</v>
      </c>
      <c r="C421">
        <v>0</v>
      </c>
      <c r="D421" s="34">
        <v>0.41980148999502098</v>
      </c>
    </row>
    <row r="422" spans="1:4" x14ac:dyDescent="0.3">
      <c r="A422" t="s">
        <v>1140</v>
      </c>
      <c r="B422" t="s">
        <v>979</v>
      </c>
      <c r="C422">
        <v>1</v>
      </c>
      <c r="D422" s="34">
        <v>0.5095699146955267</v>
      </c>
    </row>
    <row r="423" spans="1:4" x14ac:dyDescent="0.3">
      <c r="A423" t="s">
        <v>1157</v>
      </c>
      <c r="B423" t="s">
        <v>979</v>
      </c>
      <c r="C423">
        <v>1</v>
      </c>
      <c r="D423" s="34">
        <v>0.5095699146955267</v>
      </c>
    </row>
    <row r="424" spans="1:4" x14ac:dyDescent="0.3">
      <c r="A424" t="s">
        <v>1631</v>
      </c>
      <c r="B424" t="s">
        <v>1327</v>
      </c>
      <c r="C424">
        <v>1</v>
      </c>
      <c r="D424" s="34">
        <v>0.5095699146955267</v>
      </c>
    </row>
    <row r="425" spans="1:4" x14ac:dyDescent="0.3">
      <c r="A425" t="s">
        <v>1599</v>
      </c>
      <c r="B425" t="s">
        <v>1327</v>
      </c>
      <c r="C425">
        <v>1</v>
      </c>
      <c r="D425" s="34">
        <v>0.52354558368363269</v>
      </c>
    </row>
    <row r="426" spans="1:4" x14ac:dyDescent="0.3">
      <c r="A426" t="s">
        <v>1082</v>
      </c>
      <c r="B426" t="s">
        <v>979</v>
      </c>
      <c r="C426">
        <v>1</v>
      </c>
      <c r="D426" s="34">
        <v>0.5095699146955267</v>
      </c>
    </row>
    <row r="427" spans="1:4" x14ac:dyDescent="0.3">
      <c r="A427" t="s">
        <v>1600</v>
      </c>
      <c r="B427" t="s">
        <v>1327</v>
      </c>
      <c r="C427">
        <v>1</v>
      </c>
      <c r="D427" s="34">
        <v>0.54633691611459334</v>
      </c>
    </row>
    <row r="428" spans="1:4" x14ac:dyDescent="0.3">
      <c r="A428" t="s">
        <v>1259</v>
      </c>
      <c r="B428" t="s">
        <v>979</v>
      </c>
      <c r="C428">
        <v>1</v>
      </c>
      <c r="D428" s="34">
        <v>0.51491023212910847</v>
      </c>
    </row>
    <row r="429" spans="1:4" x14ac:dyDescent="0.3">
      <c r="A429" t="s">
        <v>1510</v>
      </c>
      <c r="B429" t="s">
        <v>1327</v>
      </c>
      <c r="C429">
        <v>1</v>
      </c>
      <c r="D429" s="34">
        <v>0.51083685336057816</v>
      </c>
    </row>
    <row r="430" spans="1:4" x14ac:dyDescent="0.3">
      <c r="A430" t="s">
        <v>1437</v>
      </c>
      <c r="B430" t="s">
        <v>1327</v>
      </c>
      <c r="C430">
        <v>1</v>
      </c>
      <c r="D430" s="34">
        <v>0.51491023212910847</v>
      </c>
    </row>
    <row r="431" spans="1:4" x14ac:dyDescent="0.3">
      <c r="A431" t="s">
        <v>1547</v>
      </c>
      <c r="B431" t="s">
        <v>1327</v>
      </c>
      <c r="C431">
        <v>1</v>
      </c>
      <c r="D431" s="34">
        <v>0.51491023212910847</v>
      </c>
    </row>
    <row r="432" spans="1:4" x14ac:dyDescent="0.3">
      <c r="A432" t="s">
        <v>1632</v>
      </c>
      <c r="B432" t="s">
        <v>1327</v>
      </c>
      <c r="C432">
        <v>1</v>
      </c>
      <c r="D432" s="34">
        <v>0.54648685516771078</v>
      </c>
    </row>
    <row r="433" spans="1:4" x14ac:dyDescent="0.3">
      <c r="A433" t="s">
        <v>1710</v>
      </c>
      <c r="B433" t="s">
        <v>1327</v>
      </c>
      <c r="C433">
        <v>1</v>
      </c>
      <c r="D433" s="34">
        <v>0.51491023212910847</v>
      </c>
    </row>
    <row r="434" spans="1:4" x14ac:dyDescent="0.3">
      <c r="A434" t="s">
        <v>1277</v>
      </c>
      <c r="B434" t="s">
        <v>979</v>
      </c>
      <c r="C434">
        <v>1</v>
      </c>
      <c r="D434" s="34">
        <v>0.51491023212910847</v>
      </c>
    </row>
    <row r="435" spans="1:4" x14ac:dyDescent="0.3">
      <c r="A435" t="s">
        <v>1471</v>
      </c>
      <c r="B435" t="s">
        <v>1327</v>
      </c>
      <c r="C435">
        <v>1</v>
      </c>
      <c r="D435" s="34">
        <v>0.54648685516771078</v>
      </c>
    </row>
    <row r="436" spans="1:4" x14ac:dyDescent="0.3">
      <c r="A436" t="s">
        <v>1749</v>
      </c>
      <c r="B436" t="s">
        <v>1327</v>
      </c>
      <c r="C436">
        <v>0</v>
      </c>
      <c r="D436" s="34">
        <v>0.45680870724815431</v>
      </c>
    </row>
    <row r="437" spans="1:4" x14ac:dyDescent="0.3">
      <c r="A437" t="s">
        <v>1085</v>
      </c>
      <c r="B437" t="s">
        <v>979</v>
      </c>
      <c r="C437">
        <v>1</v>
      </c>
      <c r="D437" s="34">
        <v>0.54648685516771078</v>
      </c>
    </row>
    <row r="438" spans="1:4" x14ac:dyDescent="0.3">
      <c r="A438" t="s">
        <v>1494</v>
      </c>
      <c r="B438" t="s">
        <v>1327</v>
      </c>
      <c r="C438">
        <v>1</v>
      </c>
      <c r="D438" s="34">
        <v>0.51491023212910847</v>
      </c>
    </row>
    <row r="439" spans="1:4" x14ac:dyDescent="0.3">
      <c r="A439" t="s">
        <v>1260</v>
      </c>
      <c r="B439" t="s">
        <v>979</v>
      </c>
      <c r="C439">
        <v>1</v>
      </c>
      <c r="D439" s="34">
        <v>0.54648685516771078</v>
      </c>
    </row>
    <row r="440" spans="1:4" x14ac:dyDescent="0.3">
      <c r="A440" t="s">
        <v>1750</v>
      </c>
      <c r="B440" t="s">
        <v>1327</v>
      </c>
      <c r="C440">
        <v>0</v>
      </c>
      <c r="D440" s="34">
        <v>0.49146433087362451</v>
      </c>
    </row>
    <row r="441" spans="1:4" x14ac:dyDescent="0.3">
      <c r="A441" t="s">
        <v>1205</v>
      </c>
      <c r="B441" t="s">
        <v>979</v>
      </c>
      <c r="C441">
        <v>1</v>
      </c>
      <c r="D441" s="34">
        <v>0.51083685336057816</v>
      </c>
    </row>
    <row r="442" spans="1:4" x14ac:dyDescent="0.3">
      <c r="A442" t="s">
        <v>1164</v>
      </c>
      <c r="B442" t="s">
        <v>979</v>
      </c>
      <c r="C442">
        <v>1</v>
      </c>
      <c r="D442" s="34">
        <v>0.51083685336057816</v>
      </c>
    </row>
    <row r="443" spans="1:4" x14ac:dyDescent="0.3">
      <c r="A443" t="s">
        <v>1324</v>
      </c>
      <c r="B443" t="s">
        <v>979</v>
      </c>
      <c r="C443">
        <v>1</v>
      </c>
      <c r="D443" s="34">
        <v>0.50998430910400916</v>
      </c>
    </row>
    <row r="444" spans="1:4" x14ac:dyDescent="0.3">
      <c r="A444" t="s">
        <v>1060</v>
      </c>
      <c r="B444" t="s">
        <v>979</v>
      </c>
      <c r="C444">
        <v>0</v>
      </c>
      <c r="D444" s="34">
        <v>0.49420581579017753</v>
      </c>
    </row>
    <row r="445" spans="1:4" x14ac:dyDescent="0.3">
      <c r="A445" t="s">
        <v>1270</v>
      </c>
      <c r="B445" t="s">
        <v>979</v>
      </c>
      <c r="C445">
        <v>0</v>
      </c>
      <c r="D445" s="34">
        <v>0.49420581579017753</v>
      </c>
    </row>
    <row r="446" spans="1:4" x14ac:dyDescent="0.3">
      <c r="A446" t="s">
        <v>1611</v>
      </c>
      <c r="B446" t="s">
        <v>1327</v>
      </c>
      <c r="C446">
        <v>0</v>
      </c>
      <c r="D446" s="34">
        <v>0.49420581579017753</v>
      </c>
    </row>
    <row r="447" spans="1:4" x14ac:dyDescent="0.3">
      <c r="A447" t="s">
        <v>1022</v>
      </c>
      <c r="B447" t="s">
        <v>979</v>
      </c>
      <c r="C447">
        <v>0</v>
      </c>
      <c r="D447" s="34">
        <v>0.49420581579017753</v>
      </c>
    </row>
    <row r="448" spans="1:4" x14ac:dyDescent="0.3">
      <c r="A448" t="s">
        <v>993</v>
      </c>
      <c r="B448" t="s">
        <v>979</v>
      </c>
      <c r="C448">
        <v>1</v>
      </c>
      <c r="D448" s="34">
        <v>0.52453737954024215</v>
      </c>
    </row>
    <row r="449" spans="1:4" x14ac:dyDescent="0.3">
      <c r="A449" t="s">
        <v>1711</v>
      </c>
      <c r="B449" t="s">
        <v>1327</v>
      </c>
      <c r="C449">
        <v>1</v>
      </c>
      <c r="D449" s="34">
        <v>0.54648685516771078</v>
      </c>
    </row>
    <row r="450" spans="1:4" x14ac:dyDescent="0.3">
      <c r="A450" t="s">
        <v>1370</v>
      </c>
      <c r="B450" t="s">
        <v>1327</v>
      </c>
      <c r="C450">
        <v>1</v>
      </c>
      <c r="D450" s="34">
        <v>0.54648685516771078</v>
      </c>
    </row>
    <row r="451" spans="1:4" x14ac:dyDescent="0.3">
      <c r="A451" t="s">
        <v>1455</v>
      </c>
      <c r="B451" t="s">
        <v>1327</v>
      </c>
      <c r="C451">
        <v>0</v>
      </c>
      <c r="D451" s="34">
        <v>0.49827919455870778</v>
      </c>
    </row>
    <row r="452" spans="1:4" x14ac:dyDescent="0.3">
      <c r="A452" t="s">
        <v>1406</v>
      </c>
      <c r="B452" t="s">
        <v>1327</v>
      </c>
      <c r="C452">
        <v>0</v>
      </c>
      <c r="D452" s="34">
        <v>0.49827919455870778</v>
      </c>
    </row>
    <row r="453" spans="1:4" x14ac:dyDescent="0.3">
      <c r="A453" t="s">
        <v>1141</v>
      </c>
      <c r="B453" t="s">
        <v>979</v>
      </c>
      <c r="C453">
        <v>0</v>
      </c>
      <c r="D453" s="34">
        <v>0.49827919455870778</v>
      </c>
    </row>
    <row r="454" spans="1:4" x14ac:dyDescent="0.3">
      <c r="A454" t="s">
        <v>1673</v>
      </c>
      <c r="B454" t="s">
        <v>1327</v>
      </c>
      <c r="C454">
        <v>0</v>
      </c>
      <c r="D454" s="34">
        <v>0.49827919455870778</v>
      </c>
    </row>
    <row r="455" spans="1:4" x14ac:dyDescent="0.3">
      <c r="A455" t="s">
        <v>1002</v>
      </c>
      <c r="B455" t="s">
        <v>979</v>
      </c>
      <c r="C455">
        <v>1</v>
      </c>
      <c r="D455" s="34">
        <v>0.52861075830877258</v>
      </c>
    </row>
    <row r="456" spans="1:4" x14ac:dyDescent="0.3">
      <c r="A456" t="s">
        <v>1396</v>
      </c>
      <c r="B456" t="s">
        <v>1327</v>
      </c>
      <c r="C456">
        <v>1</v>
      </c>
      <c r="D456" s="34">
        <v>0.51491023212910847</v>
      </c>
    </row>
    <row r="457" spans="1:4" x14ac:dyDescent="0.3">
      <c r="A457" t="s">
        <v>1045</v>
      </c>
      <c r="B457" t="s">
        <v>979</v>
      </c>
      <c r="C457">
        <v>1</v>
      </c>
      <c r="D457" s="34">
        <v>0.54648685516771078</v>
      </c>
    </row>
    <row r="458" spans="1:4" x14ac:dyDescent="0.3">
      <c r="A458" t="s">
        <v>1104</v>
      </c>
      <c r="B458" t="s">
        <v>979</v>
      </c>
      <c r="C458">
        <v>1</v>
      </c>
      <c r="D458" s="34">
        <v>0.54648685516771078</v>
      </c>
    </row>
    <row r="459" spans="1:4" x14ac:dyDescent="0.3">
      <c r="A459" t="s">
        <v>1038</v>
      </c>
      <c r="B459" t="s">
        <v>979</v>
      </c>
      <c r="C459">
        <v>1</v>
      </c>
      <c r="D459" s="34">
        <v>0.54648685516771078</v>
      </c>
    </row>
    <row r="460" spans="1:4" x14ac:dyDescent="0.3">
      <c r="A460" t="s">
        <v>1495</v>
      </c>
      <c r="B460" t="s">
        <v>1327</v>
      </c>
      <c r="C460">
        <v>1</v>
      </c>
      <c r="D460" s="34">
        <v>0.54648685516771078</v>
      </c>
    </row>
    <row r="461" spans="1:4" x14ac:dyDescent="0.3">
      <c r="A461" t="s">
        <v>1338</v>
      </c>
      <c r="B461" t="s">
        <v>1327</v>
      </c>
      <c r="C461">
        <v>1</v>
      </c>
      <c r="D461" s="34">
        <v>0.52861075830877258</v>
      </c>
    </row>
    <row r="462" spans="1:4" x14ac:dyDescent="0.3">
      <c r="A462" t="s">
        <v>1751</v>
      </c>
      <c r="B462" t="s">
        <v>1327</v>
      </c>
      <c r="C462">
        <v>0</v>
      </c>
      <c r="D462" s="34">
        <v>0.41694082711533242</v>
      </c>
    </row>
    <row r="463" spans="1:4" x14ac:dyDescent="0.3">
      <c r="A463" t="s">
        <v>1154</v>
      </c>
      <c r="B463" t="s">
        <v>979</v>
      </c>
      <c r="C463">
        <v>1</v>
      </c>
      <c r="D463" s="34">
        <v>0.52861075830877258</v>
      </c>
    </row>
    <row r="464" spans="1:4" x14ac:dyDescent="0.3">
      <c r="A464" t="s">
        <v>1612</v>
      </c>
      <c r="B464" t="s">
        <v>1327</v>
      </c>
      <c r="C464">
        <v>1</v>
      </c>
      <c r="D464" s="34">
        <v>0.54648685516771078</v>
      </c>
    </row>
    <row r="465" spans="1:4" x14ac:dyDescent="0.3">
      <c r="A465" t="s">
        <v>1221</v>
      </c>
      <c r="B465" t="s">
        <v>979</v>
      </c>
      <c r="C465">
        <v>0</v>
      </c>
      <c r="D465" s="34">
        <v>0.49855966739454721</v>
      </c>
    </row>
    <row r="466" spans="1:4" x14ac:dyDescent="0.3">
      <c r="A466" t="s">
        <v>1425</v>
      </c>
      <c r="B466" t="s">
        <v>1327</v>
      </c>
      <c r="C466">
        <v>0</v>
      </c>
      <c r="D466" s="34">
        <v>0.49855966739454721</v>
      </c>
    </row>
    <row r="467" spans="1:4" x14ac:dyDescent="0.3">
      <c r="A467" t="s">
        <v>1601</v>
      </c>
      <c r="B467" t="s">
        <v>1327</v>
      </c>
      <c r="C467">
        <v>0</v>
      </c>
      <c r="D467" s="34">
        <v>0.49855966739454721</v>
      </c>
    </row>
    <row r="468" spans="1:4" x14ac:dyDescent="0.3">
      <c r="A468" t="s">
        <v>1331</v>
      </c>
      <c r="B468" t="s">
        <v>1327</v>
      </c>
      <c r="C468">
        <v>0</v>
      </c>
      <c r="D468" s="34">
        <v>0.49855966739454721</v>
      </c>
    </row>
    <row r="469" spans="1:4" x14ac:dyDescent="0.3">
      <c r="A469" t="s">
        <v>1472</v>
      </c>
      <c r="B469" t="s">
        <v>1327</v>
      </c>
      <c r="C469">
        <v>0</v>
      </c>
      <c r="D469" s="34">
        <v>0.49855966739454721</v>
      </c>
    </row>
    <row r="470" spans="1:4" x14ac:dyDescent="0.3">
      <c r="A470" t="s">
        <v>1438</v>
      </c>
      <c r="B470" t="s">
        <v>1327</v>
      </c>
      <c r="C470">
        <v>0</v>
      </c>
      <c r="D470" s="34">
        <v>0.49855966739454721</v>
      </c>
    </row>
    <row r="471" spans="1:4" x14ac:dyDescent="0.3">
      <c r="A471" t="s">
        <v>1245</v>
      </c>
      <c r="B471" t="s">
        <v>979</v>
      </c>
      <c r="C471">
        <v>0</v>
      </c>
      <c r="D471" s="34">
        <v>0.49855966739454721</v>
      </c>
    </row>
    <row r="472" spans="1:4" x14ac:dyDescent="0.3">
      <c r="A472" t="s">
        <v>1365</v>
      </c>
      <c r="B472" t="s">
        <v>1327</v>
      </c>
      <c r="C472">
        <v>0</v>
      </c>
      <c r="D472" s="34">
        <v>0.49855966739454721</v>
      </c>
    </row>
    <row r="473" spans="1:4" x14ac:dyDescent="0.3">
      <c r="A473" t="s">
        <v>1356</v>
      </c>
      <c r="B473" t="s">
        <v>1327</v>
      </c>
      <c r="C473">
        <v>1</v>
      </c>
      <c r="D473" s="34">
        <v>0.53447676871371375</v>
      </c>
    </row>
    <row r="474" spans="1:4" x14ac:dyDescent="0.3">
      <c r="A474" t="s">
        <v>1383</v>
      </c>
      <c r="B474" t="s">
        <v>1327</v>
      </c>
      <c r="C474">
        <v>1</v>
      </c>
      <c r="D474" s="34">
        <v>0.5095699146955267</v>
      </c>
    </row>
    <row r="475" spans="1:4" x14ac:dyDescent="0.3">
      <c r="A475" t="s">
        <v>1332</v>
      </c>
      <c r="B475" t="s">
        <v>1327</v>
      </c>
      <c r="C475">
        <v>1</v>
      </c>
      <c r="D475" s="34">
        <v>0.5095699146955267</v>
      </c>
    </row>
    <row r="476" spans="1:4" x14ac:dyDescent="0.3">
      <c r="A476" t="s">
        <v>1264</v>
      </c>
      <c r="B476" t="s">
        <v>979</v>
      </c>
      <c r="C476">
        <v>1</v>
      </c>
      <c r="D476" s="34">
        <v>0.5095699146955267</v>
      </c>
    </row>
    <row r="477" spans="1:4" x14ac:dyDescent="0.3">
      <c r="A477" t="s">
        <v>1222</v>
      </c>
      <c r="B477" t="s">
        <v>979</v>
      </c>
      <c r="C477">
        <v>1</v>
      </c>
      <c r="D477" s="34">
        <v>0.54633691611459334</v>
      </c>
    </row>
    <row r="478" spans="1:4" x14ac:dyDescent="0.3">
      <c r="A478" t="s">
        <v>1752</v>
      </c>
      <c r="B478" t="s">
        <v>1327</v>
      </c>
      <c r="C478">
        <v>0</v>
      </c>
      <c r="D478" s="34">
        <v>0.46537476472822847</v>
      </c>
    </row>
    <row r="479" spans="1:4" x14ac:dyDescent="0.3">
      <c r="A479" t="s">
        <v>1753</v>
      </c>
      <c r="B479" t="s">
        <v>1327</v>
      </c>
      <c r="C479">
        <v>0</v>
      </c>
      <c r="D479" s="34">
        <v>0.41980148999502098</v>
      </c>
    </row>
    <row r="480" spans="1:4" x14ac:dyDescent="0.3">
      <c r="A480" t="s">
        <v>1061</v>
      </c>
      <c r="B480" t="s">
        <v>979</v>
      </c>
      <c r="C480">
        <v>1</v>
      </c>
      <c r="D480" s="34">
        <v>0.54633691611459334</v>
      </c>
    </row>
    <row r="481" spans="1:4" x14ac:dyDescent="0.3">
      <c r="A481" t="s">
        <v>1306</v>
      </c>
      <c r="B481" t="s">
        <v>979</v>
      </c>
      <c r="C481">
        <v>1</v>
      </c>
      <c r="D481" s="34">
        <v>0.52453737954024215</v>
      </c>
    </row>
    <row r="482" spans="1:4" x14ac:dyDescent="0.3">
      <c r="A482" t="s">
        <v>1015</v>
      </c>
      <c r="B482" t="s">
        <v>979</v>
      </c>
      <c r="C482">
        <v>0</v>
      </c>
      <c r="D482" s="34">
        <v>0.49827919455870778</v>
      </c>
    </row>
    <row r="483" spans="1:4" x14ac:dyDescent="0.3">
      <c r="A483" t="s">
        <v>1456</v>
      </c>
      <c r="B483" t="s">
        <v>1327</v>
      </c>
      <c r="C483">
        <v>0</v>
      </c>
      <c r="D483" s="34">
        <v>0.49827919455870778</v>
      </c>
    </row>
    <row r="484" spans="1:4" x14ac:dyDescent="0.3">
      <c r="A484" t="s">
        <v>1147</v>
      </c>
      <c r="B484" t="s">
        <v>979</v>
      </c>
      <c r="C484">
        <v>0</v>
      </c>
      <c r="D484" s="34">
        <v>0.49827919455870778</v>
      </c>
    </row>
    <row r="485" spans="1:4" x14ac:dyDescent="0.3">
      <c r="A485" t="s">
        <v>1602</v>
      </c>
      <c r="B485" t="s">
        <v>1327</v>
      </c>
      <c r="C485">
        <v>1</v>
      </c>
      <c r="D485" s="34">
        <v>0.52861075830877258</v>
      </c>
    </row>
    <row r="486" spans="1:4" x14ac:dyDescent="0.3">
      <c r="A486" t="s">
        <v>1179</v>
      </c>
      <c r="B486" t="s">
        <v>979</v>
      </c>
      <c r="C486">
        <v>1</v>
      </c>
      <c r="D486" s="34">
        <v>0.52861075830877258</v>
      </c>
    </row>
    <row r="487" spans="1:4" x14ac:dyDescent="0.3">
      <c r="A487" t="s">
        <v>1754</v>
      </c>
      <c r="B487" t="s">
        <v>1327</v>
      </c>
      <c r="C487">
        <v>0</v>
      </c>
      <c r="D487" s="34">
        <v>0.45607866417953802</v>
      </c>
    </row>
    <row r="488" spans="1:4" x14ac:dyDescent="0.3">
      <c r="A488" t="s">
        <v>1473</v>
      </c>
      <c r="B488" t="s">
        <v>1327</v>
      </c>
      <c r="C488">
        <v>1</v>
      </c>
      <c r="D488" s="34">
        <v>0.52775821405220358</v>
      </c>
    </row>
    <row r="489" spans="1:4" x14ac:dyDescent="0.3">
      <c r="A489" t="s">
        <v>1010</v>
      </c>
      <c r="B489" t="s">
        <v>979</v>
      </c>
      <c r="C489">
        <v>1</v>
      </c>
      <c r="D489" s="34">
        <v>0.52453737954024215</v>
      </c>
    </row>
    <row r="490" spans="1:4" x14ac:dyDescent="0.3">
      <c r="A490" t="s">
        <v>1068</v>
      </c>
      <c r="B490" t="s">
        <v>979</v>
      </c>
      <c r="C490">
        <v>1</v>
      </c>
      <c r="D490" s="34">
        <v>0.54241347639918036</v>
      </c>
    </row>
    <row r="491" spans="1:4" x14ac:dyDescent="0.3">
      <c r="A491" t="s">
        <v>1317</v>
      </c>
      <c r="B491" t="s">
        <v>979</v>
      </c>
      <c r="C491">
        <v>1</v>
      </c>
      <c r="D491" s="34">
        <v>0.54241347639918036</v>
      </c>
    </row>
    <row r="492" spans="1:4" x14ac:dyDescent="0.3">
      <c r="A492" t="s">
        <v>1229</v>
      </c>
      <c r="B492" t="s">
        <v>979</v>
      </c>
      <c r="C492">
        <v>1</v>
      </c>
      <c r="D492" s="34">
        <v>0.54156093214261136</v>
      </c>
    </row>
    <row r="493" spans="1:4" x14ac:dyDescent="0.3">
      <c r="A493" t="s">
        <v>1559</v>
      </c>
      <c r="B493" t="s">
        <v>1327</v>
      </c>
      <c r="C493">
        <v>0</v>
      </c>
      <c r="D493" s="34">
        <v>0.49827919455870778</v>
      </c>
    </row>
    <row r="494" spans="1:4" x14ac:dyDescent="0.3">
      <c r="A494" t="s">
        <v>980</v>
      </c>
      <c r="B494" t="s">
        <v>979</v>
      </c>
      <c r="C494">
        <v>1</v>
      </c>
      <c r="D494" s="34">
        <v>0.52861075830877258</v>
      </c>
    </row>
    <row r="495" spans="1:4" x14ac:dyDescent="0.3">
      <c r="A495" t="s">
        <v>1206</v>
      </c>
      <c r="B495" t="s">
        <v>979</v>
      </c>
      <c r="C495">
        <v>1</v>
      </c>
      <c r="D495" s="34">
        <v>0.52861075830877258</v>
      </c>
    </row>
    <row r="496" spans="1:4" x14ac:dyDescent="0.3">
      <c r="A496" t="s">
        <v>1307</v>
      </c>
      <c r="B496" t="s">
        <v>979</v>
      </c>
      <c r="C496">
        <v>1</v>
      </c>
      <c r="D496" s="34">
        <v>0.54648685516771078</v>
      </c>
    </row>
    <row r="497" spans="1:4" x14ac:dyDescent="0.3">
      <c r="A497" t="s">
        <v>1416</v>
      </c>
      <c r="B497" t="s">
        <v>1327</v>
      </c>
      <c r="C497">
        <v>0</v>
      </c>
      <c r="D497" s="34">
        <v>0.49855966739454721</v>
      </c>
    </row>
    <row r="498" spans="1:4" x14ac:dyDescent="0.3">
      <c r="A498" t="s">
        <v>1457</v>
      </c>
      <c r="B498" t="s">
        <v>1327</v>
      </c>
      <c r="C498">
        <v>0</v>
      </c>
      <c r="D498" s="34">
        <v>0.49855966739454721</v>
      </c>
    </row>
    <row r="499" spans="1:4" x14ac:dyDescent="0.3">
      <c r="A499" t="s">
        <v>1333</v>
      </c>
      <c r="B499" t="s">
        <v>1327</v>
      </c>
      <c r="C499">
        <v>0</v>
      </c>
      <c r="D499" s="34">
        <v>0.49855966739454721</v>
      </c>
    </row>
    <row r="500" spans="1:4" x14ac:dyDescent="0.3">
      <c r="A500" t="s">
        <v>1439</v>
      </c>
      <c r="B500" t="s">
        <v>1327</v>
      </c>
      <c r="C500">
        <v>0</v>
      </c>
      <c r="D500" s="34">
        <v>0.49855966739454721</v>
      </c>
    </row>
    <row r="501" spans="1:4" x14ac:dyDescent="0.3">
      <c r="A501" t="s">
        <v>1275</v>
      </c>
      <c r="B501" t="s">
        <v>979</v>
      </c>
      <c r="C501">
        <v>0</v>
      </c>
      <c r="D501" s="34">
        <v>0.49855966739454721</v>
      </c>
    </row>
    <row r="502" spans="1:4" x14ac:dyDescent="0.3">
      <c r="A502" t="s">
        <v>1217</v>
      </c>
      <c r="B502" t="s">
        <v>979</v>
      </c>
      <c r="C502">
        <v>0</v>
      </c>
      <c r="D502" s="34">
        <v>0.49855966739454721</v>
      </c>
    </row>
    <row r="503" spans="1:4" x14ac:dyDescent="0.3">
      <c r="A503" t="s">
        <v>1483</v>
      </c>
      <c r="B503" t="s">
        <v>1327</v>
      </c>
      <c r="C503">
        <v>0</v>
      </c>
      <c r="D503" s="34">
        <v>0.49855966739454721</v>
      </c>
    </row>
    <row r="504" spans="1:4" x14ac:dyDescent="0.3">
      <c r="A504" t="s">
        <v>1426</v>
      </c>
      <c r="B504" t="s">
        <v>1327</v>
      </c>
      <c r="C504">
        <v>0</v>
      </c>
      <c r="D504" s="34">
        <v>0.49855966739454721</v>
      </c>
    </row>
    <row r="505" spans="1:4" x14ac:dyDescent="0.3">
      <c r="A505" t="s">
        <v>1167</v>
      </c>
      <c r="B505" t="s">
        <v>979</v>
      </c>
      <c r="C505">
        <v>0</v>
      </c>
      <c r="D505" s="34">
        <v>0.49855966739454721</v>
      </c>
    </row>
    <row r="506" spans="1:4" x14ac:dyDescent="0.3">
      <c r="A506" t="s">
        <v>1278</v>
      </c>
      <c r="B506" t="s">
        <v>979</v>
      </c>
      <c r="C506">
        <v>0</v>
      </c>
      <c r="D506" s="34">
        <v>0.49855966739454721</v>
      </c>
    </row>
    <row r="507" spans="1:4" x14ac:dyDescent="0.3">
      <c r="A507" t="s">
        <v>1712</v>
      </c>
      <c r="B507" t="s">
        <v>1327</v>
      </c>
      <c r="C507">
        <v>1</v>
      </c>
      <c r="D507" s="34">
        <v>0.5095699146955267</v>
      </c>
    </row>
    <row r="508" spans="1:4" x14ac:dyDescent="0.3">
      <c r="A508" t="s">
        <v>1654</v>
      </c>
      <c r="B508" t="s">
        <v>1327</v>
      </c>
      <c r="C508">
        <v>1</v>
      </c>
      <c r="D508" s="34">
        <v>0.5095699146955267</v>
      </c>
    </row>
    <row r="509" spans="1:4" x14ac:dyDescent="0.3">
      <c r="A509" t="s">
        <v>1223</v>
      </c>
      <c r="B509" t="s">
        <v>979</v>
      </c>
      <c r="C509">
        <v>1</v>
      </c>
      <c r="D509" s="34">
        <v>0.54633691611459334</v>
      </c>
    </row>
    <row r="510" spans="1:4" x14ac:dyDescent="0.3">
      <c r="A510" t="s">
        <v>1694</v>
      </c>
      <c r="B510" t="s">
        <v>1327</v>
      </c>
      <c r="C510">
        <v>1</v>
      </c>
      <c r="D510" s="34">
        <v>0.5095699146955267</v>
      </c>
    </row>
    <row r="511" spans="1:4" x14ac:dyDescent="0.3">
      <c r="A511" t="s">
        <v>1357</v>
      </c>
      <c r="B511" t="s">
        <v>1327</v>
      </c>
      <c r="C511">
        <v>1</v>
      </c>
      <c r="D511" s="34">
        <v>0.54987964252543042</v>
      </c>
    </row>
    <row r="512" spans="1:4" x14ac:dyDescent="0.3">
      <c r="A512" t="s">
        <v>1339</v>
      </c>
      <c r="B512" t="s">
        <v>1327</v>
      </c>
      <c r="C512">
        <v>1</v>
      </c>
      <c r="D512" s="34">
        <v>0.52354558368363269</v>
      </c>
    </row>
    <row r="513" spans="1:4" x14ac:dyDescent="0.3">
      <c r="A513" t="s">
        <v>1384</v>
      </c>
      <c r="B513" t="s">
        <v>1327</v>
      </c>
      <c r="C513">
        <v>1</v>
      </c>
      <c r="D513" s="34">
        <v>0.52354558368363269</v>
      </c>
    </row>
    <row r="514" spans="1:4" x14ac:dyDescent="0.3">
      <c r="A514" t="s">
        <v>1633</v>
      </c>
      <c r="B514" t="s">
        <v>1327</v>
      </c>
      <c r="C514">
        <v>1</v>
      </c>
      <c r="D514" s="34">
        <v>0.51083685336057816</v>
      </c>
    </row>
    <row r="515" spans="1:4" x14ac:dyDescent="0.3">
      <c r="A515" t="s">
        <v>1190</v>
      </c>
      <c r="B515" t="s">
        <v>979</v>
      </c>
      <c r="C515">
        <v>1</v>
      </c>
      <c r="D515" s="34">
        <v>0.51491023212910847</v>
      </c>
    </row>
    <row r="516" spans="1:4" x14ac:dyDescent="0.3">
      <c r="A516" t="s">
        <v>1158</v>
      </c>
      <c r="B516" t="s">
        <v>979</v>
      </c>
      <c r="C516">
        <v>1</v>
      </c>
      <c r="D516" s="34">
        <v>0.51491023212910847</v>
      </c>
    </row>
    <row r="517" spans="1:4" x14ac:dyDescent="0.3">
      <c r="A517" t="s">
        <v>1385</v>
      </c>
      <c r="B517" t="s">
        <v>1327</v>
      </c>
      <c r="C517">
        <v>1</v>
      </c>
      <c r="D517" s="34">
        <v>0.54648685516771078</v>
      </c>
    </row>
    <row r="518" spans="1:4" x14ac:dyDescent="0.3">
      <c r="A518" t="s">
        <v>1440</v>
      </c>
      <c r="B518" t="s">
        <v>1327</v>
      </c>
      <c r="C518">
        <v>1</v>
      </c>
      <c r="D518" s="34">
        <v>0.51099330657615294</v>
      </c>
    </row>
    <row r="519" spans="1:4" x14ac:dyDescent="0.3">
      <c r="A519" t="s">
        <v>1191</v>
      </c>
      <c r="B519" t="s">
        <v>979</v>
      </c>
      <c r="C519">
        <v>0</v>
      </c>
      <c r="D519" s="34">
        <v>0.49827919455870778</v>
      </c>
    </row>
    <row r="520" spans="1:4" x14ac:dyDescent="0.3">
      <c r="A520" t="s">
        <v>1496</v>
      </c>
      <c r="B520" t="s">
        <v>1327</v>
      </c>
      <c r="C520">
        <v>0</v>
      </c>
      <c r="D520" s="34">
        <v>0.49827919455870778</v>
      </c>
    </row>
    <row r="521" spans="1:4" x14ac:dyDescent="0.3">
      <c r="A521" t="s">
        <v>1407</v>
      </c>
      <c r="B521" t="s">
        <v>1327</v>
      </c>
      <c r="C521">
        <v>1</v>
      </c>
      <c r="D521" s="34">
        <v>0.52861075830877258</v>
      </c>
    </row>
    <row r="522" spans="1:4" x14ac:dyDescent="0.3">
      <c r="A522" t="s">
        <v>1325</v>
      </c>
      <c r="B522" t="s">
        <v>979</v>
      </c>
      <c r="C522">
        <v>1</v>
      </c>
      <c r="D522" s="34">
        <v>0.54648685516771078</v>
      </c>
    </row>
    <row r="523" spans="1:4" x14ac:dyDescent="0.3">
      <c r="A523" t="s">
        <v>1071</v>
      </c>
      <c r="B523" t="s">
        <v>979</v>
      </c>
      <c r="C523">
        <v>1</v>
      </c>
      <c r="D523" s="34">
        <v>0.54648685516771078</v>
      </c>
    </row>
    <row r="524" spans="1:4" x14ac:dyDescent="0.3">
      <c r="A524" t="s">
        <v>1655</v>
      </c>
      <c r="B524" t="s">
        <v>1327</v>
      </c>
      <c r="C524">
        <v>0</v>
      </c>
      <c r="D524" s="34">
        <v>0.49827919455870778</v>
      </c>
    </row>
    <row r="525" spans="1:4" x14ac:dyDescent="0.3">
      <c r="A525" t="s">
        <v>1091</v>
      </c>
      <c r="B525" t="s">
        <v>979</v>
      </c>
      <c r="C525">
        <v>0</v>
      </c>
      <c r="D525" s="34">
        <v>0.49827919455870778</v>
      </c>
    </row>
    <row r="526" spans="1:4" x14ac:dyDescent="0.3">
      <c r="A526" t="s">
        <v>1279</v>
      </c>
      <c r="B526" t="s">
        <v>979</v>
      </c>
      <c r="C526">
        <v>0</v>
      </c>
      <c r="D526" s="34">
        <v>0.49827919455870778</v>
      </c>
    </row>
    <row r="527" spans="1:4" x14ac:dyDescent="0.3">
      <c r="A527" t="s">
        <v>1417</v>
      </c>
      <c r="B527" t="s">
        <v>1327</v>
      </c>
      <c r="C527">
        <v>0</v>
      </c>
      <c r="D527" s="34">
        <v>0.49827919455870778</v>
      </c>
    </row>
    <row r="528" spans="1:4" x14ac:dyDescent="0.3">
      <c r="A528" t="s">
        <v>1674</v>
      </c>
      <c r="B528" t="s">
        <v>1327</v>
      </c>
      <c r="C528">
        <v>1</v>
      </c>
      <c r="D528" s="34">
        <v>0.52861075830877258</v>
      </c>
    </row>
    <row r="529" spans="1:4" x14ac:dyDescent="0.3">
      <c r="A529" t="s">
        <v>1371</v>
      </c>
      <c r="B529" t="s">
        <v>1327</v>
      </c>
      <c r="C529">
        <v>1</v>
      </c>
      <c r="D529" s="34">
        <v>0.54648685516771078</v>
      </c>
    </row>
    <row r="530" spans="1:4" x14ac:dyDescent="0.3">
      <c r="A530" t="s">
        <v>1418</v>
      </c>
      <c r="B530" t="s">
        <v>1327</v>
      </c>
      <c r="C530">
        <v>1</v>
      </c>
      <c r="D530" s="34">
        <v>0.54648685516771078</v>
      </c>
    </row>
    <row r="531" spans="1:4" x14ac:dyDescent="0.3">
      <c r="A531" t="s">
        <v>1427</v>
      </c>
      <c r="B531" t="s">
        <v>1327</v>
      </c>
      <c r="C531">
        <v>0</v>
      </c>
      <c r="D531" s="34">
        <v>0.49827919455870778</v>
      </c>
    </row>
    <row r="532" spans="1:4" x14ac:dyDescent="0.3">
      <c r="A532" t="s">
        <v>1441</v>
      </c>
      <c r="B532" t="s">
        <v>1327</v>
      </c>
      <c r="C532">
        <v>1</v>
      </c>
      <c r="D532" s="34">
        <v>0.52861075830877258</v>
      </c>
    </row>
    <row r="533" spans="1:4" x14ac:dyDescent="0.3">
      <c r="A533" t="s">
        <v>1656</v>
      </c>
      <c r="B533" t="s">
        <v>1327</v>
      </c>
      <c r="C533">
        <v>0</v>
      </c>
      <c r="D533" s="34">
        <v>0.49827919455870778</v>
      </c>
    </row>
    <row r="534" spans="1:4" x14ac:dyDescent="0.3">
      <c r="A534" t="s">
        <v>1511</v>
      </c>
      <c r="B534" t="s">
        <v>1327</v>
      </c>
      <c r="C534">
        <v>0</v>
      </c>
      <c r="D534" s="34">
        <v>0.49827919455870778</v>
      </c>
    </row>
    <row r="535" spans="1:4" x14ac:dyDescent="0.3">
      <c r="A535" t="s">
        <v>1116</v>
      </c>
      <c r="B535" t="s">
        <v>979</v>
      </c>
      <c r="C535">
        <v>1</v>
      </c>
      <c r="D535" s="34">
        <v>0.52861075830877258</v>
      </c>
    </row>
    <row r="536" spans="1:4" x14ac:dyDescent="0.3">
      <c r="A536" t="s">
        <v>1041</v>
      </c>
      <c r="B536" t="s">
        <v>979</v>
      </c>
      <c r="C536">
        <v>1</v>
      </c>
      <c r="D536" s="34">
        <v>0.54648685516771078</v>
      </c>
    </row>
    <row r="537" spans="1:4" x14ac:dyDescent="0.3">
      <c r="A537" t="s">
        <v>992</v>
      </c>
      <c r="B537" t="s">
        <v>979</v>
      </c>
      <c r="C537">
        <v>1</v>
      </c>
      <c r="D537" s="34">
        <v>0.51491023212910847</v>
      </c>
    </row>
    <row r="538" spans="1:4" x14ac:dyDescent="0.3">
      <c r="A538" t="s">
        <v>984</v>
      </c>
      <c r="B538" t="s">
        <v>979</v>
      </c>
      <c r="C538">
        <v>0</v>
      </c>
      <c r="D538" s="34">
        <v>0.49420581579017753</v>
      </c>
    </row>
    <row r="539" spans="1:4" x14ac:dyDescent="0.3">
      <c r="A539" t="s">
        <v>1092</v>
      </c>
      <c r="B539" t="s">
        <v>979</v>
      </c>
      <c r="C539">
        <v>1</v>
      </c>
      <c r="D539" s="34">
        <v>0.52453737954024215</v>
      </c>
    </row>
    <row r="540" spans="1:4" x14ac:dyDescent="0.3">
      <c r="A540" t="s">
        <v>1560</v>
      </c>
      <c r="B540" t="s">
        <v>1327</v>
      </c>
      <c r="C540">
        <v>0</v>
      </c>
      <c r="D540" s="34">
        <v>0.49420581579017753</v>
      </c>
    </row>
    <row r="541" spans="1:4" x14ac:dyDescent="0.3">
      <c r="A541" t="s">
        <v>1532</v>
      </c>
      <c r="B541" t="s">
        <v>1327</v>
      </c>
      <c r="C541">
        <v>0</v>
      </c>
      <c r="D541" s="34">
        <v>0.49420581579017753</v>
      </c>
    </row>
    <row r="542" spans="1:4" x14ac:dyDescent="0.3">
      <c r="A542" t="s">
        <v>1005</v>
      </c>
      <c r="B542" t="s">
        <v>979</v>
      </c>
      <c r="C542">
        <v>0</v>
      </c>
      <c r="D542" s="34">
        <v>0.49420581579017753</v>
      </c>
    </row>
    <row r="543" spans="1:4" x14ac:dyDescent="0.3">
      <c r="A543" t="s">
        <v>1265</v>
      </c>
      <c r="B543" t="s">
        <v>979</v>
      </c>
      <c r="C543">
        <v>0</v>
      </c>
      <c r="D543" s="34">
        <v>0.49420581579017753</v>
      </c>
    </row>
    <row r="544" spans="1:4" x14ac:dyDescent="0.3">
      <c r="A544" t="s">
        <v>1581</v>
      </c>
      <c r="B544" t="s">
        <v>1327</v>
      </c>
      <c r="C544">
        <v>1</v>
      </c>
      <c r="D544" s="34">
        <v>0.54241347639918036</v>
      </c>
    </row>
    <row r="545" spans="1:4" x14ac:dyDescent="0.3">
      <c r="A545" t="s">
        <v>1148</v>
      </c>
      <c r="B545" t="s">
        <v>979</v>
      </c>
      <c r="C545">
        <v>0</v>
      </c>
      <c r="D545" s="34">
        <v>0.49827919455870778</v>
      </c>
    </row>
    <row r="546" spans="1:4" x14ac:dyDescent="0.3">
      <c r="A546" t="s">
        <v>1484</v>
      </c>
      <c r="B546" t="s">
        <v>1327</v>
      </c>
      <c r="C546">
        <v>0</v>
      </c>
      <c r="D546" s="34">
        <v>0.49827919455870778</v>
      </c>
    </row>
    <row r="547" spans="1:4" x14ac:dyDescent="0.3">
      <c r="A547" t="s">
        <v>1713</v>
      </c>
      <c r="B547" t="s">
        <v>1327</v>
      </c>
      <c r="C547">
        <v>0</v>
      </c>
      <c r="D547" s="34">
        <v>0.49827919455870778</v>
      </c>
    </row>
    <row r="548" spans="1:4" x14ac:dyDescent="0.3">
      <c r="A548" t="s">
        <v>1419</v>
      </c>
      <c r="B548" t="s">
        <v>1327</v>
      </c>
      <c r="C548">
        <v>1</v>
      </c>
      <c r="D548" s="34">
        <v>0.52861075830877258</v>
      </c>
    </row>
    <row r="549" spans="1:4" x14ac:dyDescent="0.3">
      <c r="A549" t="s">
        <v>1171</v>
      </c>
      <c r="B549" t="s">
        <v>979</v>
      </c>
      <c r="C549">
        <v>0</v>
      </c>
      <c r="D549" s="34">
        <v>0.49827919455870778</v>
      </c>
    </row>
    <row r="550" spans="1:4" x14ac:dyDescent="0.3">
      <c r="A550" t="s">
        <v>1238</v>
      </c>
      <c r="B550" t="s">
        <v>979</v>
      </c>
      <c r="C550">
        <v>0</v>
      </c>
      <c r="D550" s="34">
        <v>0.49827919455870778</v>
      </c>
    </row>
    <row r="551" spans="1:4" x14ac:dyDescent="0.3">
      <c r="A551" t="s">
        <v>1246</v>
      </c>
      <c r="B551" t="s">
        <v>979</v>
      </c>
      <c r="C551">
        <v>0</v>
      </c>
      <c r="D551" s="34">
        <v>0.49827919455870778</v>
      </c>
    </row>
    <row r="552" spans="1:4" x14ac:dyDescent="0.3">
      <c r="A552" t="s">
        <v>1634</v>
      </c>
      <c r="B552" t="s">
        <v>1327</v>
      </c>
      <c r="C552">
        <v>0</v>
      </c>
      <c r="D552" s="34">
        <v>0.49827919455870778</v>
      </c>
    </row>
    <row r="553" spans="1:4" x14ac:dyDescent="0.3">
      <c r="A553" t="s">
        <v>1165</v>
      </c>
      <c r="B553" t="s">
        <v>979</v>
      </c>
      <c r="C553">
        <v>1</v>
      </c>
      <c r="D553" s="34">
        <v>0.52861075830877258</v>
      </c>
    </row>
    <row r="554" spans="1:4" x14ac:dyDescent="0.3">
      <c r="A554" t="s">
        <v>1561</v>
      </c>
      <c r="B554" t="s">
        <v>1327</v>
      </c>
      <c r="C554">
        <v>0</v>
      </c>
      <c r="D554" s="34">
        <v>0.49827919455870778</v>
      </c>
    </row>
    <row r="555" spans="1:4" x14ac:dyDescent="0.3">
      <c r="A555" t="s">
        <v>1311</v>
      </c>
      <c r="B555" t="s">
        <v>979</v>
      </c>
      <c r="C555">
        <v>0</v>
      </c>
      <c r="D555" s="34">
        <v>0.49827919455870778</v>
      </c>
    </row>
    <row r="556" spans="1:4" x14ac:dyDescent="0.3">
      <c r="A556" t="s">
        <v>1442</v>
      </c>
      <c r="B556" t="s">
        <v>1327</v>
      </c>
      <c r="C556">
        <v>0</v>
      </c>
      <c r="D556" s="34">
        <v>0.49827919455870778</v>
      </c>
    </row>
    <row r="557" spans="1:4" x14ac:dyDescent="0.3">
      <c r="A557" t="s">
        <v>1207</v>
      </c>
      <c r="B557" t="s">
        <v>979</v>
      </c>
      <c r="C557">
        <v>0</v>
      </c>
      <c r="D557" s="34">
        <v>0.49827919455870778</v>
      </c>
    </row>
    <row r="558" spans="1:4" x14ac:dyDescent="0.3">
      <c r="A558" t="s">
        <v>1142</v>
      </c>
      <c r="B558" t="s">
        <v>979</v>
      </c>
      <c r="C558">
        <v>1</v>
      </c>
      <c r="D558" s="34">
        <v>0.52861075830877258</v>
      </c>
    </row>
    <row r="559" spans="1:4" x14ac:dyDescent="0.3">
      <c r="A559" t="s">
        <v>1695</v>
      </c>
      <c r="B559" t="s">
        <v>1327</v>
      </c>
      <c r="C559">
        <v>0</v>
      </c>
      <c r="D559" s="34">
        <v>0.49855966739454721</v>
      </c>
    </row>
    <row r="560" spans="1:4" x14ac:dyDescent="0.3">
      <c r="A560" t="s">
        <v>1696</v>
      </c>
      <c r="B560" t="s">
        <v>1327</v>
      </c>
      <c r="C560">
        <v>0</v>
      </c>
      <c r="D560" s="34">
        <v>0.49855966739454721</v>
      </c>
    </row>
    <row r="561" spans="1:4" x14ac:dyDescent="0.3">
      <c r="A561" t="s">
        <v>1582</v>
      </c>
      <c r="B561" t="s">
        <v>1327</v>
      </c>
      <c r="C561">
        <v>0</v>
      </c>
      <c r="D561" s="34">
        <v>0.49855966739454721</v>
      </c>
    </row>
    <row r="562" spans="1:4" x14ac:dyDescent="0.3">
      <c r="A562" t="s">
        <v>1372</v>
      </c>
      <c r="B562" t="s">
        <v>1327</v>
      </c>
      <c r="C562">
        <v>0</v>
      </c>
      <c r="D562" s="34">
        <v>0.49855966739454721</v>
      </c>
    </row>
    <row r="563" spans="1:4" x14ac:dyDescent="0.3">
      <c r="A563" t="s">
        <v>1485</v>
      </c>
      <c r="B563" t="s">
        <v>1327</v>
      </c>
      <c r="C563">
        <v>0</v>
      </c>
      <c r="D563" s="34">
        <v>0.49855966739454721</v>
      </c>
    </row>
    <row r="564" spans="1:4" x14ac:dyDescent="0.3">
      <c r="A564" t="s">
        <v>1420</v>
      </c>
      <c r="B564" t="s">
        <v>1327</v>
      </c>
      <c r="C564">
        <v>0</v>
      </c>
      <c r="D564" s="34">
        <v>0.49855966739454721</v>
      </c>
    </row>
    <row r="565" spans="1:4" x14ac:dyDescent="0.3">
      <c r="A565" t="s">
        <v>1291</v>
      </c>
      <c r="B565" t="s">
        <v>979</v>
      </c>
      <c r="C565">
        <v>1</v>
      </c>
      <c r="D565" s="34">
        <v>0.51491023212910847</v>
      </c>
    </row>
    <row r="566" spans="1:4" x14ac:dyDescent="0.3">
      <c r="A566" t="s">
        <v>1458</v>
      </c>
      <c r="B566" t="s">
        <v>1327</v>
      </c>
      <c r="C566">
        <v>0</v>
      </c>
      <c r="D566" s="34">
        <v>0.49855966739454721</v>
      </c>
    </row>
    <row r="567" spans="1:4" x14ac:dyDescent="0.3">
      <c r="A567" t="s">
        <v>1280</v>
      </c>
      <c r="B567" t="s">
        <v>979</v>
      </c>
      <c r="C567">
        <v>0</v>
      </c>
      <c r="D567" s="34">
        <v>0.49855966739454721</v>
      </c>
    </row>
    <row r="568" spans="1:4" x14ac:dyDescent="0.3">
      <c r="A568" t="s">
        <v>1397</v>
      </c>
      <c r="B568" t="s">
        <v>1327</v>
      </c>
      <c r="C568">
        <v>0</v>
      </c>
      <c r="D568" s="34">
        <v>0.49855966739454721</v>
      </c>
    </row>
    <row r="569" spans="1:4" x14ac:dyDescent="0.3">
      <c r="A569" t="s">
        <v>1093</v>
      </c>
      <c r="B569" t="s">
        <v>979</v>
      </c>
      <c r="C569">
        <v>1</v>
      </c>
      <c r="D569" s="34">
        <v>0.5095699146955267</v>
      </c>
    </row>
    <row r="570" spans="1:4" x14ac:dyDescent="0.3">
      <c r="A570" t="s">
        <v>1548</v>
      </c>
      <c r="B570" t="s">
        <v>1327</v>
      </c>
      <c r="C570">
        <v>1</v>
      </c>
      <c r="D570" s="34">
        <v>0.5095699146955267</v>
      </c>
    </row>
    <row r="571" spans="1:4" x14ac:dyDescent="0.3">
      <c r="A571" t="s">
        <v>1308</v>
      </c>
      <c r="B571" t="s">
        <v>979</v>
      </c>
      <c r="C571">
        <v>1</v>
      </c>
      <c r="D571" s="34">
        <v>0.5095699146955267</v>
      </c>
    </row>
    <row r="572" spans="1:4" x14ac:dyDescent="0.3">
      <c r="A572" t="s">
        <v>1112</v>
      </c>
      <c r="B572" t="s">
        <v>979</v>
      </c>
      <c r="C572">
        <v>1</v>
      </c>
      <c r="D572" s="34">
        <v>0.5095699146955267</v>
      </c>
    </row>
    <row r="573" spans="1:4" x14ac:dyDescent="0.3">
      <c r="A573" t="s">
        <v>1697</v>
      </c>
      <c r="B573" t="s">
        <v>1327</v>
      </c>
      <c r="C573">
        <v>1</v>
      </c>
      <c r="D573" s="34">
        <v>0.5095699146955267</v>
      </c>
    </row>
    <row r="574" spans="1:4" x14ac:dyDescent="0.3">
      <c r="A574" t="s">
        <v>1159</v>
      </c>
      <c r="B574" t="s">
        <v>979</v>
      </c>
      <c r="C574">
        <v>1</v>
      </c>
      <c r="D574" s="34">
        <v>0.52354558368363269</v>
      </c>
    </row>
    <row r="575" spans="1:4" x14ac:dyDescent="0.3">
      <c r="A575" t="s">
        <v>1110</v>
      </c>
      <c r="B575" t="s">
        <v>979</v>
      </c>
      <c r="C575">
        <v>1</v>
      </c>
      <c r="D575" s="34">
        <v>0.5095699146955267</v>
      </c>
    </row>
    <row r="576" spans="1:4" x14ac:dyDescent="0.3">
      <c r="A576" t="s">
        <v>1583</v>
      </c>
      <c r="B576" t="s">
        <v>1327</v>
      </c>
      <c r="C576">
        <v>1</v>
      </c>
      <c r="D576" s="34">
        <v>0.5095699146955267</v>
      </c>
    </row>
    <row r="577" spans="1:4" x14ac:dyDescent="0.3">
      <c r="A577" t="s">
        <v>1533</v>
      </c>
      <c r="B577" t="s">
        <v>1327</v>
      </c>
      <c r="C577">
        <v>1</v>
      </c>
      <c r="D577" s="34">
        <v>0.54633691611459334</v>
      </c>
    </row>
    <row r="578" spans="1:4" x14ac:dyDescent="0.3">
      <c r="A578" t="s">
        <v>1657</v>
      </c>
      <c r="B578" t="s">
        <v>1327</v>
      </c>
      <c r="C578">
        <v>0</v>
      </c>
      <c r="D578" s="34">
        <v>0.49827919455870778</v>
      </c>
    </row>
    <row r="579" spans="1:4" x14ac:dyDescent="0.3">
      <c r="A579" t="s">
        <v>1086</v>
      </c>
      <c r="B579" t="s">
        <v>979</v>
      </c>
      <c r="C579">
        <v>1</v>
      </c>
      <c r="D579" s="34">
        <v>0.52861075830877258</v>
      </c>
    </row>
    <row r="580" spans="1:4" x14ac:dyDescent="0.3">
      <c r="A580" t="s">
        <v>1658</v>
      </c>
      <c r="B580" t="s">
        <v>1327</v>
      </c>
      <c r="C580">
        <v>0</v>
      </c>
      <c r="D580" s="34">
        <v>0.49827919455870778</v>
      </c>
    </row>
    <row r="581" spans="1:4" x14ac:dyDescent="0.3">
      <c r="A581" t="s">
        <v>1659</v>
      </c>
      <c r="B581" t="s">
        <v>1327</v>
      </c>
      <c r="C581">
        <v>1</v>
      </c>
      <c r="D581" s="34">
        <v>0.51491023212910847</v>
      </c>
    </row>
    <row r="582" spans="1:4" x14ac:dyDescent="0.3">
      <c r="A582" t="s">
        <v>1698</v>
      </c>
      <c r="B582" t="s">
        <v>1327</v>
      </c>
      <c r="C582">
        <v>1</v>
      </c>
      <c r="D582" s="34">
        <v>0.51491023212910847</v>
      </c>
    </row>
    <row r="583" spans="1:4" x14ac:dyDescent="0.3">
      <c r="A583" t="s">
        <v>1386</v>
      </c>
      <c r="B583" t="s">
        <v>1327</v>
      </c>
      <c r="C583">
        <v>1</v>
      </c>
      <c r="D583" s="34">
        <v>0.54648685516771078</v>
      </c>
    </row>
    <row r="584" spans="1:4" x14ac:dyDescent="0.3">
      <c r="A584" t="s">
        <v>1373</v>
      </c>
      <c r="B584" t="s">
        <v>1327</v>
      </c>
      <c r="C584">
        <v>1</v>
      </c>
      <c r="D584" s="34">
        <v>0.51491023212910847</v>
      </c>
    </row>
    <row r="585" spans="1:4" x14ac:dyDescent="0.3">
      <c r="A585" t="s">
        <v>1714</v>
      </c>
      <c r="B585" t="s">
        <v>1327</v>
      </c>
      <c r="C585">
        <v>1</v>
      </c>
      <c r="D585" s="34">
        <v>0.51083685336057816</v>
      </c>
    </row>
    <row r="586" spans="1:4" x14ac:dyDescent="0.3">
      <c r="A586" t="s">
        <v>1196</v>
      </c>
      <c r="B586" t="s">
        <v>979</v>
      </c>
      <c r="C586">
        <v>1</v>
      </c>
      <c r="D586" s="34">
        <v>0.51491023212910847</v>
      </c>
    </row>
    <row r="587" spans="1:4" x14ac:dyDescent="0.3">
      <c r="A587" t="s">
        <v>1715</v>
      </c>
      <c r="B587" t="s">
        <v>1327</v>
      </c>
      <c r="C587">
        <v>1</v>
      </c>
      <c r="D587" s="34">
        <v>0.55361273189103821</v>
      </c>
    </row>
    <row r="588" spans="1:4" x14ac:dyDescent="0.3">
      <c r="A588" t="s">
        <v>1660</v>
      </c>
      <c r="B588" t="s">
        <v>1327</v>
      </c>
      <c r="C588">
        <v>1</v>
      </c>
      <c r="D588" s="34">
        <v>0.54648685516771078</v>
      </c>
    </row>
    <row r="589" spans="1:4" x14ac:dyDescent="0.3">
      <c r="A589" t="s">
        <v>1661</v>
      </c>
      <c r="B589" t="s">
        <v>1327</v>
      </c>
      <c r="C589">
        <v>0</v>
      </c>
      <c r="D589" s="34">
        <v>0.49827919455870778</v>
      </c>
    </row>
    <row r="590" spans="1:4" x14ac:dyDescent="0.3">
      <c r="A590" t="s">
        <v>1662</v>
      </c>
      <c r="B590" t="s">
        <v>1327</v>
      </c>
      <c r="C590">
        <v>1</v>
      </c>
      <c r="D590" s="34">
        <v>0.52861075830877258</v>
      </c>
    </row>
    <row r="591" spans="1:4" x14ac:dyDescent="0.3">
      <c r="A591" t="s">
        <v>1755</v>
      </c>
      <c r="B591" t="s">
        <v>1327</v>
      </c>
      <c r="C591">
        <v>0</v>
      </c>
      <c r="D591" s="34">
        <v>0.45607866417953802</v>
      </c>
    </row>
    <row r="592" spans="1:4" x14ac:dyDescent="0.3">
      <c r="A592" t="s">
        <v>1756</v>
      </c>
      <c r="B592" t="s">
        <v>1327</v>
      </c>
      <c r="C592">
        <v>0</v>
      </c>
      <c r="D592" s="34">
        <v>0.41694082711533242</v>
      </c>
    </row>
    <row r="593" spans="1:4" x14ac:dyDescent="0.3">
      <c r="A593" t="s">
        <v>1635</v>
      </c>
      <c r="B593" t="s">
        <v>1327</v>
      </c>
      <c r="C593">
        <v>1</v>
      </c>
      <c r="D593" s="34">
        <v>0.52861075830877258</v>
      </c>
    </row>
    <row r="594" spans="1:4" x14ac:dyDescent="0.3">
      <c r="A594" t="s">
        <v>1486</v>
      </c>
      <c r="B594" t="s">
        <v>1327</v>
      </c>
      <c r="C594">
        <v>1</v>
      </c>
      <c r="D594" s="34">
        <v>0.53447676871371375</v>
      </c>
    </row>
    <row r="595" spans="1:4" x14ac:dyDescent="0.3">
      <c r="A595" t="s">
        <v>1512</v>
      </c>
      <c r="B595" t="s">
        <v>1327</v>
      </c>
      <c r="C595">
        <v>0</v>
      </c>
      <c r="D595" s="34">
        <v>0.49855966739454721</v>
      </c>
    </row>
    <row r="596" spans="1:4" x14ac:dyDescent="0.3">
      <c r="A596" t="s">
        <v>1636</v>
      </c>
      <c r="B596" t="s">
        <v>1327</v>
      </c>
      <c r="C596">
        <v>0</v>
      </c>
      <c r="D596" s="34">
        <v>0.49855966739454721</v>
      </c>
    </row>
    <row r="597" spans="1:4" x14ac:dyDescent="0.3">
      <c r="A597" t="s">
        <v>1042</v>
      </c>
      <c r="B597" t="s">
        <v>979</v>
      </c>
      <c r="C597">
        <v>1</v>
      </c>
      <c r="D597" s="34">
        <v>0.53447676871371375</v>
      </c>
    </row>
    <row r="598" spans="1:4" x14ac:dyDescent="0.3">
      <c r="A598" t="s">
        <v>1757</v>
      </c>
      <c r="B598" t="s">
        <v>1327</v>
      </c>
      <c r="C598">
        <v>0</v>
      </c>
      <c r="D598" s="34">
        <v>0.41722129995117158</v>
      </c>
    </row>
    <row r="599" spans="1:4" x14ac:dyDescent="0.3">
      <c r="A599" t="s">
        <v>1166</v>
      </c>
      <c r="B599" t="s">
        <v>979</v>
      </c>
      <c r="C599">
        <v>0</v>
      </c>
      <c r="D599" s="34">
        <v>0.49855966739454721</v>
      </c>
    </row>
    <row r="600" spans="1:4" x14ac:dyDescent="0.3">
      <c r="A600" t="s">
        <v>1675</v>
      </c>
      <c r="B600" t="s">
        <v>1327</v>
      </c>
      <c r="C600">
        <v>1</v>
      </c>
      <c r="D600" s="34">
        <v>0.51491023212910847</v>
      </c>
    </row>
    <row r="601" spans="1:4" x14ac:dyDescent="0.3">
      <c r="A601" t="s">
        <v>1266</v>
      </c>
      <c r="B601" t="s">
        <v>979</v>
      </c>
      <c r="C601">
        <v>1</v>
      </c>
      <c r="D601" s="34">
        <v>0.52354558368363269</v>
      </c>
    </row>
    <row r="602" spans="1:4" x14ac:dyDescent="0.3">
      <c r="A602" t="s">
        <v>1513</v>
      </c>
      <c r="B602" t="s">
        <v>1327</v>
      </c>
      <c r="C602">
        <v>1</v>
      </c>
      <c r="D602" s="34">
        <v>0.5095699146955267</v>
      </c>
    </row>
    <row r="603" spans="1:4" x14ac:dyDescent="0.3">
      <c r="A603" t="s">
        <v>1224</v>
      </c>
      <c r="B603" t="s">
        <v>979</v>
      </c>
      <c r="C603">
        <v>1</v>
      </c>
      <c r="D603" s="34">
        <v>0.5095699146955267</v>
      </c>
    </row>
    <row r="604" spans="1:4" x14ac:dyDescent="0.3">
      <c r="A604" t="s">
        <v>1699</v>
      </c>
      <c r="B604" t="s">
        <v>1327</v>
      </c>
      <c r="C604">
        <v>1</v>
      </c>
      <c r="D604" s="34">
        <v>0.54633691611459334</v>
      </c>
    </row>
    <row r="605" spans="1:4" x14ac:dyDescent="0.3">
      <c r="A605" t="s">
        <v>1340</v>
      </c>
      <c r="B605" t="s">
        <v>1327</v>
      </c>
      <c r="C605">
        <v>1</v>
      </c>
      <c r="D605" s="34">
        <v>0.5095699146955267</v>
      </c>
    </row>
    <row r="606" spans="1:4" x14ac:dyDescent="0.3">
      <c r="A606" t="s">
        <v>1408</v>
      </c>
      <c r="B606" t="s">
        <v>1327</v>
      </c>
      <c r="C606">
        <v>1</v>
      </c>
      <c r="D606" s="34">
        <v>0.5095699146955267</v>
      </c>
    </row>
    <row r="607" spans="1:4" x14ac:dyDescent="0.3">
      <c r="A607" t="s">
        <v>1113</v>
      </c>
      <c r="B607" t="s">
        <v>979</v>
      </c>
      <c r="C607">
        <v>1</v>
      </c>
      <c r="D607" s="34">
        <v>0.52354558368363269</v>
      </c>
    </row>
    <row r="608" spans="1:4" x14ac:dyDescent="0.3">
      <c r="A608" t="s">
        <v>1716</v>
      </c>
      <c r="B608" t="s">
        <v>1327</v>
      </c>
      <c r="C608">
        <v>1</v>
      </c>
      <c r="D608" s="34">
        <v>0.55787770122772951</v>
      </c>
    </row>
    <row r="609" spans="1:4" x14ac:dyDescent="0.3">
      <c r="A609" t="s">
        <v>1758</v>
      </c>
      <c r="B609" t="s">
        <v>1327</v>
      </c>
      <c r="C609">
        <v>0</v>
      </c>
      <c r="D609" s="34">
        <v>0.46537476472822847</v>
      </c>
    </row>
    <row r="610" spans="1:4" x14ac:dyDescent="0.3">
      <c r="A610" t="s">
        <v>1129</v>
      </c>
      <c r="B610" t="s">
        <v>979</v>
      </c>
      <c r="C610">
        <v>0</v>
      </c>
      <c r="D610" s="34">
        <v>0.49827919455870778</v>
      </c>
    </row>
    <row r="611" spans="1:4" x14ac:dyDescent="0.3">
      <c r="A611" t="s">
        <v>1663</v>
      </c>
      <c r="B611" t="s">
        <v>1327</v>
      </c>
      <c r="C611">
        <v>1</v>
      </c>
      <c r="D611" s="34">
        <v>0.52861075830877258</v>
      </c>
    </row>
    <row r="612" spans="1:4" x14ac:dyDescent="0.3">
      <c r="A612" t="s">
        <v>1759</v>
      </c>
      <c r="B612" t="s">
        <v>1327</v>
      </c>
      <c r="C612">
        <v>0</v>
      </c>
      <c r="D612" s="34">
        <v>0.41286744834680211</v>
      </c>
    </row>
    <row r="613" spans="1:4" x14ac:dyDescent="0.3">
      <c r="A613" t="s">
        <v>1474</v>
      </c>
      <c r="B613" t="s">
        <v>1327</v>
      </c>
      <c r="C613">
        <v>0</v>
      </c>
      <c r="D613" s="34">
        <v>0.49742665030213878</v>
      </c>
    </row>
    <row r="614" spans="1:4" x14ac:dyDescent="0.3">
      <c r="A614" t="s">
        <v>1312</v>
      </c>
      <c r="B614" t="s">
        <v>979</v>
      </c>
      <c r="C614">
        <v>0</v>
      </c>
      <c r="D614" s="34">
        <v>0.49335327153360847</v>
      </c>
    </row>
    <row r="615" spans="1:4" x14ac:dyDescent="0.3">
      <c r="A615" t="s">
        <v>1549</v>
      </c>
      <c r="B615" t="s">
        <v>1327</v>
      </c>
      <c r="C615">
        <v>0</v>
      </c>
      <c r="D615" s="34">
        <v>0.49827919455870778</v>
      </c>
    </row>
    <row r="616" spans="1:4" x14ac:dyDescent="0.3">
      <c r="A616" t="s">
        <v>1409</v>
      </c>
      <c r="B616" t="s">
        <v>1327</v>
      </c>
      <c r="C616">
        <v>1</v>
      </c>
      <c r="D616" s="34">
        <v>0.52453737954024215</v>
      </c>
    </row>
    <row r="617" spans="1:4" x14ac:dyDescent="0.3">
      <c r="A617" t="s">
        <v>1760</v>
      </c>
      <c r="B617" t="s">
        <v>1327</v>
      </c>
      <c r="C617">
        <v>1</v>
      </c>
      <c r="D617" s="34">
        <v>0.5220778187094951</v>
      </c>
    </row>
    <row r="618" spans="1:4" x14ac:dyDescent="0.3">
      <c r="A618" t="s">
        <v>1410</v>
      </c>
      <c r="B618" t="s">
        <v>1327</v>
      </c>
      <c r="C618">
        <v>0</v>
      </c>
      <c r="D618" s="34">
        <v>0.49827919455870778</v>
      </c>
    </row>
    <row r="619" spans="1:4" x14ac:dyDescent="0.3">
      <c r="A619" t="s">
        <v>1358</v>
      </c>
      <c r="B619" t="s">
        <v>1327</v>
      </c>
      <c r="C619">
        <v>0</v>
      </c>
      <c r="D619" s="34">
        <v>0.49827919455870778</v>
      </c>
    </row>
    <row r="620" spans="1:4" x14ac:dyDescent="0.3">
      <c r="A620" t="s">
        <v>1064</v>
      </c>
      <c r="B620" t="s">
        <v>979</v>
      </c>
      <c r="C620">
        <v>0</v>
      </c>
      <c r="D620" s="34">
        <v>0.49827919455870778</v>
      </c>
    </row>
    <row r="621" spans="1:4" x14ac:dyDescent="0.3">
      <c r="A621" t="s">
        <v>1072</v>
      </c>
      <c r="B621" t="s">
        <v>979</v>
      </c>
      <c r="C621">
        <v>0</v>
      </c>
      <c r="D621" s="34">
        <v>0.49827919455870778</v>
      </c>
    </row>
    <row r="622" spans="1:4" x14ac:dyDescent="0.3">
      <c r="A622" t="s">
        <v>1117</v>
      </c>
      <c r="B622" t="s">
        <v>979</v>
      </c>
      <c r="C622">
        <v>1</v>
      </c>
      <c r="D622" s="34">
        <v>0.52861075830877258</v>
      </c>
    </row>
    <row r="623" spans="1:4" x14ac:dyDescent="0.3">
      <c r="A623" t="s">
        <v>1761</v>
      </c>
      <c r="B623" t="s">
        <v>1327</v>
      </c>
      <c r="C623">
        <v>0</v>
      </c>
      <c r="D623" s="34">
        <v>0.45217214056249461</v>
      </c>
    </row>
    <row r="624" spans="1:4" x14ac:dyDescent="0.3">
      <c r="A624" t="s">
        <v>1717</v>
      </c>
      <c r="B624" t="s">
        <v>1327</v>
      </c>
      <c r="C624">
        <v>1</v>
      </c>
      <c r="D624" s="34">
        <v>0.54648685516771078</v>
      </c>
    </row>
    <row r="625" spans="1:4" x14ac:dyDescent="0.3">
      <c r="A625" t="s">
        <v>1180</v>
      </c>
      <c r="B625" t="s">
        <v>979</v>
      </c>
      <c r="C625">
        <v>0</v>
      </c>
      <c r="D625" s="34">
        <v>0.49827919455870778</v>
      </c>
    </row>
    <row r="626" spans="1:4" x14ac:dyDescent="0.3">
      <c r="A626" t="s">
        <v>1281</v>
      </c>
      <c r="B626" t="s">
        <v>979</v>
      </c>
      <c r="C626">
        <v>0</v>
      </c>
      <c r="D626" s="34">
        <v>0.49827919455870778</v>
      </c>
    </row>
    <row r="627" spans="1:4" x14ac:dyDescent="0.3">
      <c r="A627" t="s">
        <v>1078</v>
      </c>
      <c r="B627" t="s">
        <v>979</v>
      </c>
      <c r="C627">
        <v>0</v>
      </c>
      <c r="D627" s="34">
        <v>0.49827919455870778</v>
      </c>
    </row>
    <row r="628" spans="1:4" x14ac:dyDescent="0.3">
      <c r="A628" t="s">
        <v>1603</v>
      </c>
      <c r="B628" t="s">
        <v>1327</v>
      </c>
      <c r="C628">
        <v>0</v>
      </c>
      <c r="D628" s="34">
        <v>0.49827919455870778</v>
      </c>
    </row>
    <row r="629" spans="1:4" x14ac:dyDescent="0.3">
      <c r="A629" t="s">
        <v>1130</v>
      </c>
      <c r="B629" t="s">
        <v>979</v>
      </c>
      <c r="C629">
        <v>0</v>
      </c>
      <c r="D629" s="34">
        <v>0.49827919455870778</v>
      </c>
    </row>
    <row r="630" spans="1:4" x14ac:dyDescent="0.3">
      <c r="A630" t="s">
        <v>1366</v>
      </c>
      <c r="B630" t="s">
        <v>1327</v>
      </c>
      <c r="C630">
        <v>1</v>
      </c>
      <c r="D630" s="34">
        <v>0.54648685516771078</v>
      </c>
    </row>
    <row r="631" spans="1:4" x14ac:dyDescent="0.3">
      <c r="A631" t="s">
        <v>1497</v>
      </c>
      <c r="B631" t="s">
        <v>1327</v>
      </c>
      <c r="C631">
        <v>0</v>
      </c>
      <c r="D631" s="34">
        <v>0.49855966739454721</v>
      </c>
    </row>
    <row r="632" spans="1:4" x14ac:dyDescent="0.3">
      <c r="A632" t="s">
        <v>1550</v>
      </c>
      <c r="B632" t="s">
        <v>1327</v>
      </c>
      <c r="C632">
        <v>0</v>
      </c>
      <c r="D632" s="34">
        <v>0.49855966739454721</v>
      </c>
    </row>
    <row r="633" spans="1:4" x14ac:dyDescent="0.3">
      <c r="A633" t="s">
        <v>1172</v>
      </c>
      <c r="B633" t="s">
        <v>979</v>
      </c>
      <c r="C633">
        <v>1</v>
      </c>
      <c r="D633" s="34">
        <v>0.53447676871371375</v>
      </c>
    </row>
    <row r="634" spans="1:4" x14ac:dyDescent="0.3">
      <c r="A634" t="s">
        <v>1664</v>
      </c>
      <c r="B634" t="s">
        <v>1327</v>
      </c>
      <c r="C634">
        <v>1</v>
      </c>
      <c r="D634" s="34">
        <v>0.51491023212910847</v>
      </c>
    </row>
    <row r="635" spans="1:4" x14ac:dyDescent="0.3">
      <c r="A635" t="s">
        <v>1637</v>
      </c>
      <c r="B635" t="s">
        <v>1327</v>
      </c>
      <c r="C635">
        <v>0</v>
      </c>
      <c r="D635" s="34">
        <v>0.49855966739454721</v>
      </c>
    </row>
    <row r="636" spans="1:4" x14ac:dyDescent="0.3">
      <c r="A636" t="s">
        <v>1230</v>
      </c>
      <c r="B636" t="s">
        <v>979</v>
      </c>
      <c r="C636">
        <v>0</v>
      </c>
      <c r="D636" s="34">
        <v>0.49855966739454721</v>
      </c>
    </row>
    <row r="637" spans="1:4" x14ac:dyDescent="0.3">
      <c r="A637" t="s">
        <v>1514</v>
      </c>
      <c r="B637" t="s">
        <v>1327</v>
      </c>
      <c r="C637">
        <v>1</v>
      </c>
      <c r="D637" s="34">
        <v>0.51491023212910847</v>
      </c>
    </row>
    <row r="638" spans="1:4" x14ac:dyDescent="0.3">
      <c r="A638" t="s">
        <v>1443</v>
      </c>
      <c r="B638" t="s">
        <v>1327</v>
      </c>
      <c r="C638">
        <v>0</v>
      </c>
      <c r="D638" s="34">
        <v>0.49855966739454721</v>
      </c>
    </row>
    <row r="639" spans="1:4" x14ac:dyDescent="0.3">
      <c r="A639" t="s">
        <v>1498</v>
      </c>
      <c r="B639" t="s">
        <v>1327</v>
      </c>
      <c r="C639">
        <v>1</v>
      </c>
      <c r="D639" s="34">
        <v>0.5095699146955267</v>
      </c>
    </row>
    <row r="640" spans="1:4" x14ac:dyDescent="0.3">
      <c r="A640" t="s">
        <v>1192</v>
      </c>
      <c r="B640" t="s">
        <v>979</v>
      </c>
      <c r="C640">
        <v>1</v>
      </c>
      <c r="D640" s="34">
        <v>0.52354558368363269</v>
      </c>
    </row>
    <row r="641" spans="1:4" x14ac:dyDescent="0.3">
      <c r="A641" t="s">
        <v>1076</v>
      </c>
      <c r="B641" t="s">
        <v>979</v>
      </c>
      <c r="C641">
        <v>1</v>
      </c>
      <c r="D641" s="34">
        <v>0.5095699146955267</v>
      </c>
    </row>
    <row r="642" spans="1:4" x14ac:dyDescent="0.3">
      <c r="A642" t="s">
        <v>1421</v>
      </c>
      <c r="B642" t="s">
        <v>1327</v>
      </c>
      <c r="C642">
        <v>1</v>
      </c>
      <c r="D642" s="34">
        <v>0.55787770122772951</v>
      </c>
    </row>
    <row r="643" spans="1:4" x14ac:dyDescent="0.3">
      <c r="A643" t="s">
        <v>1359</v>
      </c>
      <c r="B643" t="s">
        <v>1327</v>
      </c>
      <c r="C643">
        <v>1</v>
      </c>
      <c r="D643" s="34">
        <v>0.54633691611459334</v>
      </c>
    </row>
    <row r="644" spans="1:4" x14ac:dyDescent="0.3">
      <c r="A644" t="s">
        <v>1638</v>
      </c>
      <c r="B644" t="s">
        <v>1327</v>
      </c>
      <c r="C644">
        <v>0</v>
      </c>
      <c r="D644" s="34">
        <v>0.49827919455870778</v>
      </c>
    </row>
    <row r="645" spans="1:4" x14ac:dyDescent="0.3">
      <c r="A645" t="s">
        <v>1718</v>
      </c>
      <c r="B645" t="s">
        <v>1327</v>
      </c>
      <c r="C645">
        <v>0</v>
      </c>
      <c r="D645" s="34">
        <v>0.49827919455870778</v>
      </c>
    </row>
    <row r="646" spans="1:4" x14ac:dyDescent="0.3">
      <c r="A646" t="s">
        <v>1393</v>
      </c>
      <c r="B646" t="s">
        <v>1327</v>
      </c>
      <c r="C646">
        <v>0</v>
      </c>
      <c r="D646" s="34">
        <v>0.49827919455870778</v>
      </c>
    </row>
    <row r="647" spans="1:4" x14ac:dyDescent="0.3">
      <c r="A647" t="s">
        <v>1562</v>
      </c>
      <c r="B647" t="s">
        <v>1327</v>
      </c>
      <c r="C647">
        <v>0</v>
      </c>
      <c r="D647" s="34">
        <v>0.49827919455870778</v>
      </c>
    </row>
    <row r="648" spans="1:4" x14ac:dyDescent="0.3">
      <c r="A648" t="s">
        <v>1534</v>
      </c>
      <c r="B648" t="s">
        <v>1327</v>
      </c>
      <c r="C648">
        <v>0</v>
      </c>
      <c r="D648" s="34">
        <v>0.49827919455870778</v>
      </c>
    </row>
    <row r="649" spans="1:4" x14ac:dyDescent="0.3">
      <c r="A649" t="s">
        <v>1202</v>
      </c>
      <c r="B649" t="s">
        <v>979</v>
      </c>
      <c r="C649">
        <v>1</v>
      </c>
      <c r="D649" s="34">
        <v>0.54648685516771078</v>
      </c>
    </row>
    <row r="650" spans="1:4" x14ac:dyDescent="0.3">
      <c r="A650" t="s">
        <v>1252</v>
      </c>
      <c r="B650" t="s">
        <v>979</v>
      </c>
      <c r="C650">
        <v>1</v>
      </c>
      <c r="D650" s="34">
        <v>0.52861075830877258</v>
      </c>
    </row>
    <row r="651" spans="1:4" x14ac:dyDescent="0.3">
      <c r="A651" t="s">
        <v>1639</v>
      </c>
      <c r="B651" t="s">
        <v>1327</v>
      </c>
      <c r="C651">
        <v>1</v>
      </c>
      <c r="D651" s="34">
        <v>0.52861075830877258</v>
      </c>
    </row>
    <row r="652" spans="1:4" x14ac:dyDescent="0.3">
      <c r="A652" t="s">
        <v>1535</v>
      </c>
      <c r="B652" t="s">
        <v>1327</v>
      </c>
      <c r="C652">
        <v>1</v>
      </c>
      <c r="D652" s="34">
        <v>0.52861075830877258</v>
      </c>
    </row>
    <row r="653" spans="1:4" x14ac:dyDescent="0.3">
      <c r="A653" t="s">
        <v>1762</v>
      </c>
      <c r="B653" t="s">
        <v>1327</v>
      </c>
      <c r="C653">
        <v>0</v>
      </c>
      <c r="D653" s="34">
        <v>0.45607866417953802</v>
      </c>
    </row>
    <row r="654" spans="1:4" x14ac:dyDescent="0.3">
      <c r="A654" t="s">
        <v>1665</v>
      </c>
      <c r="B654" t="s">
        <v>1327</v>
      </c>
      <c r="C654">
        <v>1</v>
      </c>
      <c r="D654" s="34">
        <v>0.52861075830877258</v>
      </c>
    </row>
    <row r="655" spans="1:4" x14ac:dyDescent="0.3">
      <c r="A655" t="s">
        <v>1271</v>
      </c>
      <c r="B655" t="s">
        <v>979</v>
      </c>
      <c r="C655">
        <v>0</v>
      </c>
      <c r="D655" s="34">
        <v>0.49827919455870778</v>
      </c>
    </row>
    <row r="656" spans="1:4" x14ac:dyDescent="0.3">
      <c r="A656" t="s">
        <v>1124</v>
      </c>
      <c r="B656" t="s">
        <v>979</v>
      </c>
      <c r="C656">
        <v>0</v>
      </c>
      <c r="D656" s="34">
        <v>0.49827919455870778</v>
      </c>
    </row>
    <row r="657" spans="1:4" x14ac:dyDescent="0.3">
      <c r="A657" t="s">
        <v>1398</v>
      </c>
      <c r="B657" t="s">
        <v>1327</v>
      </c>
      <c r="C657">
        <v>1</v>
      </c>
      <c r="D657" s="34">
        <v>0.52861075830877258</v>
      </c>
    </row>
    <row r="658" spans="1:4" x14ac:dyDescent="0.3">
      <c r="A658" t="s">
        <v>1763</v>
      </c>
      <c r="B658" t="s">
        <v>1327</v>
      </c>
      <c r="C658">
        <v>0</v>
      </c>
      <c r="D658" s="34">
        <v>0.41694082711533242</v>
      </c>
    </row>
    <row r="659" spans="1:4" x14ac:dyDescent="0.3">
      <c r="A659" t="s">
        <v>1551</v>
      </c>
      <c r="B659" t="s">
        <v>1327</v>
      </c>
      <c r="C659">
        <v>1</v>
      </c>
      <c r="D659" s="34">
        <v>0.54648685516771078</v>
      </c>
    </row>
    <row r="660" spans="1:4" x14ac:dyDescent="0.3">
      <c r="A660" t="s">
        <v>1318</v>
      </c>
      <c r="B660" t="s">
        <v>979</v>
      </c>
      <c r="C660">
        <v>0</v>
      </c>
      <c r="D660" s="34">
        <v>0.49827919455870778</v>
      </c>
    </row>
    <row r="661" spans="1:4" x14ac:dyDescent="0.3">
      <c r="A661" t="s">
        <v>1499</v>
      </c>
      <c r="B661" t="s">
        <v>1327</v>
      </c>
      <c r="C661">
        <v>0</v>
      </c>
      <c r="D661" s="34">
        <v>0.49827919455870778</v>
      </c>
    </row>
    <row r="662" spans="1:4" x14ac:dyDescent="0.3">
      <c r="A662" t="s">
        <v>1058</v>
      </c>
      <c r="B662" t="s">
        <v>979</v>
      </c>
      <c r="C662">
        <v>0</v>
      </c>
      <c r="D662" s="34">
        <v>0.49827919455870778</v>
      </c>
    </row>
    <row r="663" spans="1:4" x14ac:dyDescent="0.3">
      <c r="A663" t="s">
        <v>1035</v>
      </c>
      <c r="B663" t="s">
        <v>979</v>
      </c>
      <c r="C663">
        <v>1</v>
      </c>
      <c r="D663" s="34">
        <v>0.52861075830877258</v>
      </c>
    </row>
    <row r="664" spans="1:4" x14ac:dyDescent="0.3">
      <c r="A664" t="s">
        <v>1640</v>
      </c>
      <c r="B664" t="s">
        <v>1327</v>
      </c>
      <c r="C664">
        <v>1</v>
      </c>
      <c r="D664" s="34">
        <v>0.51491023212910847</v>
      </c>
    </row>
    <row r="665" spans="1:4" x14ac:dyDescent="0.3">
      <c r="A665" t="s">
        <v>1094</v>
      </c>
      <c r="B665" t="s">
        <v>979</v>
      </c>
      <c r="C665">
        <v>1</v>
      </c>
      <c r="D665" s="34">
        <v>0.54241347639918036</v>
      </c>
    </row>
    <row r="666" spans="1:4" x14ac:dyDescent="0.3">
      <c r="A666" t="s">
        <v>1764</v>
      </c>
      <c r="B666" t="s">
        <v>1327</v>
      </c>
      <c r="C666">
        <v>0</v>
      </c>
      <c r="D666" s="34">
        <v>0.41980148999502098</v>
      </c>
    </row>
    <row r="667" spans="1:4" x14ac:dyDescent="0.3">
      <c r="A667" t="s">
        <v>1700</v>
      </c>
      <c r="B667" t="s">
        <v>1327</v>
      </c>
      <c r="C667">
        <v>1</v>
      </c>
      <c r="D667" s="34">
        <v>0.5095699146955267</v>
      </c>
    </row>
    <row r="668" spans="1:4" x14ac:dyDescent="0.3">
      <c r="A668" t="s">
        <v>1536</v>
      </c>
      <c r="B668" t="s">
        <v>1327</v>
      </c>
      <c r="C668">
        <v>1</v>
      </c>
      <c r="D668" s="34">
        <v>0.5095699146955267</v>
      </c>
    </row>
    <row r="669" spans="1:4" x14ac:dyDescent="0.3">
      <c r="A669" t="s">
        <v>1131</v>
      </c>
      <c r="B669" t="s">
        <v>979</v>
      </c>
      <c r="C669">
        <v>1</v>
      </c>
      <c r="D669" s="34">
        <v>0.5095699146955267</v>
      </c>
    </row>
    <row r="670" spans="1:4" x14ac:dyDescent="0.3">
      <c r="A670" t="s">
        <v>1218</v>
      </c>
      <c r="B670" t="s">
        <v>979</v>
      </c>
      <c r="C670">
        <v>1</v>
      </c>
      <c r="D670" s="34">
        <v>0.5095699146955267</v>
      </c>
    </row>
    <row r="671" spans="1:4" x14ac:dyDescent="0.3">
      <c r="A671" t="s">
        <v>1584</v>
      </c>
      <c r="B671" t="s">
        <v>1327</v>
      </c>
      <c r="C671">
        <v>1</v>
      </c>
      <c r="D671" s="34">
        <v>0.5095699146955267</v>
      </c>
    </row>
    <row r="672" spans="1:4" x14ac:dyDescent="0.3">
      <c r="A672" t="s">
        <v>1613</v>
      </c>
      <c r="B672" t="s">
        <v>1327</v>
      </c>
      <c r="C672">
        <v>1</v>
      </c>
      <c r="D672" s="34">
        <v>0.5095699146955267</v>
      </c>
    </row>
    <row r="673" spans="1:4" x14ac:dyDescent="0.3">
      <c r="A673" t="s">
        <v>1114</v>
      </c>
      <c r="B673" t="s">
        <v>979</v>
      </c>
      <c r="C673">
        <v>1</v>
      </c>
      <c r="D673" s="34">
        <v>0.5095699146955267</v>
      </c>
    </row>
    <row r="674" spans="1:4" x14ac:dyDescent="0.3">
      <c r="A674" t="s">
        <v>1537</v>
      </c>
      <c r="B674" t="s">
        <v>1327</v>
      </c>
      <c r="C674">
        <v>1</v>
      </c>
      <c r="D674" s="34">
        <v>0.5095699146955267</v>
      </c>
    </row>
    <row r="675" spans="1:4" x14ac:dyDescent="0.3">
      <c r="A675" t="s">
        <v>1701</v>
      </c>
      <c r="B675" t="s">
        <v>1327</v>
      </c>
      <c r="C675">
        <v>1</v>
      </c>
      <c r="D675" s="34">
        <v>0.5095699146955267</v>
      </c>
    </row>
    <row r="676" spans="1:4" x14ac:dyDescent="0.3">
      <c r="A676" t="s">
        <v>1247</v>
      </c>
      <c r="B676" t="s">
        <v>979</v>
      </c>
      <c r="C676">
        <v>0</v>
      </c>
      <c r="D676" s="34">
        <v>0.49855966739454721</v>
      </c>
    </row>
    <row r="677" spans="1:4" x14ac:dyDescent="0.3">
      <c r="A677" t="s">
        <v>1231</v>
      </c>
      <c r="B677" t="s">
        <v>979</v>
      </c>
      <c r="C677">
        <v>0</v>
      </c>
      <c r="D677" s="34">
        <v>0.49855966739454721</v>
      </c>
    </row>
    <row r="678" spans="1:4" x14ac:dyDescent="0.3">
      <c r="A678" t="s">
        <v>1248</v>
      </c>
      <c r="B678" t="s">
        <v>979</v>
      </c>
      <c r="C678">
        <v>0</v>
      </c>
      <c r="D678" s="34">
        <v>0.49855966739454721</v>
      </c>
    </row>
    <row r="679" spans="1:4" x14ac:dyDescent="0.3">
      <c r="A679" t="s">
        <v>1719</v>
      </c>
      <c r="B679" t="s">
        <v>1327</v>
      </c>
      <c r="C679">
        <v>0</v>
      </c>
      <c r="D679" s="34">
        <v>0.49855966739454721</v>
      </c>
    </row>
    <row r="680" spans="1:4" x14ac:dyDescent="0.3">
      <c r="A680" t="s">
        <v>1428</v>
      </c>
      <c r="B680" t="s">
        <v>1327</v>
      </c>
      <c r="C680">
        <v>0</v>
      </c>
      <c r="D680" s="34">
        <v>0.49855966739454721</v>
      </c>
    </row>
    <row r="681" spans="1:4" x14ac:dyDescent="0.3">
      <c r="A681" t="s">
        <v>1500</v>
      </c>
      <c r="B681" t="s">
        <v>1327</v>
      </c>
      <c r="C681">
        <v>1</v>
      </c>
      <c r="D681" s="34">
        <v>0.53447676871371375</v>
      </c>
    </row>
    <row r="682" spans="1:4" x14ac:dyDescent="0.3">
      <c r="A682" t="s">
        <v>1239</v>
      </c>
      <c r="B682" t="s">
        <v>979</v>
      </c>
      <c r="C682">
        <v>1</v>
      </c>
      <c r="D682" s="34">
        <v>0.52861075830877258</v>
      </c>
    </row>
    <row r="683" spans="1:4" x14ac:dyDescent="0.3">
      <c r="A683" t="s">
        <v>1676</v>
      </c>
      <c r="B683" t="s">
        <v>1327</v>
      </c>
      <c r="C683">
        <v>1</v>
      </c>
      <c r="D683" s="34">
        <v>0.54648685516771078</v>
      </c>
    </row>
    <row r="684" spans="1:4" x14ac:dyDescent="0.3">
      <c r="A684" t="s">
        <v>1538</v>
      </c>
      <c r="B684" t="s">
        <v>1327</v>
      </c>
      <c r="C684">
        <v>1</v>
      </c>
      <c r="D684" s="34">
        <v>0.52861075830877258</v>
      </c>
    </row>
    <row r="685" spans="1:4" x14ac:dyDescent="0.3">
      <c r="A685" t="s">
        <v>1765</v>
      </c>
      <c r="B685" t="s">
        <v>1327</v>
      </c>
      <c r="C685">
        <v>0</v>
      </c>
      <c r="D685" s="34">
        <v>0.41694082711533242</v>
      </c>
    </row>
    <row r="686" spans="1:4" x14ac:dyDescent="0.3">
      <c r="A686" t="s">
        <v>1666</v>
      </c>
      <c r="B686" t="s">
        <v>1327</v>
      </c>
      <c r="C686">
        <v>1</v>
      </c>
      <c r="D686" s="34">
        <v>0.52861075830877258</v>
      </c>
    </row>
    <row r="687" spans="1:4" x14ac:dyDescent="0.3">
      <c r="A687" t="s">
        <v>1341</v>
      </c>
      <c r="B687" t="s">
        <v>1327</v>
      </c>
      <c r="C687">
        <v>1</v>
      </c>
      <c r="D687" s="34">
        <v>0.51491023212910847</v>
      </c>
    </row>
    <row r="688" spans="1:4" x14ac:dyDescent="0.3">
      <c r="A688" t="s">
        <v>1563</v>
      </c>
      <c r="B688" t="s">
        <v>1327</v>
      </c>
      <c r="C688">
        <v>1</v>
      </c>
      <c r="D688" s="34">
        <v>0.51491023212910847</v>
      </c>
    </row>
    <row r="689" spans="1:4" x14ac:dyDescent="0.3">
      <c r="A689" t="s">
        <v>1641</v>
      </c>
      <c r="B689" t="s">
        <v>1327</v>
      </c>
      <c r="C689">
        <v>1</v>
      </c>
      <c r="D689" s="34">
        <v>0.51491023212910847</v>
      </c>
    </row>
    <row r="690" spans="1:4" x14ac:dyDescent="0.3">
      <c r="A690" t="s">
        <v>1208</v>
      </c>
      <c r="B690" t="s">
        <v>979</v>
      </c>
      <c r="C690">
        <v>1</v>
      </c>
      <c r="D690" s="34">
        <v>0.51491023212910847</v>
      </c>
    </row>
    <row r="691" spans="1:4" x14ac:dyDescent="0.3">
      <c r="A691" t="s">
        <v>1295</v>
      </c>
      <c r="B691" t="s">
        <v>979</v>
      </c>
      <c r="C691">
        <v>1</v>
      </c>
      <c r="D691" s="34">
        <v>0.54648685516771078</v>
      </c>
    </row>
    <row r="692" spans="1:4" x14ac:dyDescent="0.3">
      <c r="A692" t="s">
        <v>1387</v>
      </c>
      <c r="B692" t="s">
        <v>1327</v>
      </c>
      <c r="C692">
        <v>0</v>
      </c>
      <c r="D692" s="34">
        <v>0.49855966739454721</v>
      </c>
    </row>
    <row r="693" spans="1:4" x14ac:dyDescent="0.3">
      <c r="A693" t="s">
        <v>1642</v>
      </c>
      <c r="B693" t="s">
        <v>1327</v>
      </c>
      <c r="C693">
        <v>0</v>
      </c>
      <c r="D693" s="34">
        <v>0.49855966739454721</v>
      </c>
    </row>
    <row r="694" spans="1:4" x14ac:dyDescent="0.3">
      <c r="A694" t="s">
        <v>1515</v>
      </c>
      <c r="B694" t="s">
        <v>1327</v>
      </c>
      <c r="C694">
        <v>0</v>
      </c>
      <c r="D694" s="34">
        <v>0.49855966739454721</v>
      </c>
    </row>
    <row r="695" spans="1:4" x14ac:dyDescent="0.3">
      <c r="A695" t="s">
        <v>1267</v>
      </c>
      <c r="B695" t="s">
        <v>979</v>
      </c>
      <c r="C695">
        <v>0</v>
      </c>
      <c r="D695" s="34">
        <v>0.49855966739454721</v>
      </c>
    </row>
    <row r="696" spans="1:4" x14ac:dyDescent="0.3">
      <c r="A696" t="s">
        <v>1319</v>
      </c>
      <c r="B696" t="s">
        <v>979</v>
      </c>
      <c r="C696">
        <v>0</v>
      </c>
      <c r="D696" s="34">
        <v>0.49855966739454721</v>
      </c>
    </row>
    <row r="697" spans="1:4" x14ac:dyDescent="0.3">
      <c r="A697" t="s">
        <v>1614</v>
      </c>
      <c r="B697" t="s">
        <v>1327</v>
      </c>
      <c r="C697">
        <v>0</v>
      </c>
      <c r="D697" s="34">
        <v>0.49855966739454721</v>
      </c>
    </row>
    <row r="698" spans="1:4" x14ac:dyDescent="0.3">
      <c r="A698" t="s">
        <v>1564</v>
      </c>
      <c r="B698" t="s">
        <v>1327</v>
      </c>
      <c r="C698">
        <v>0</v>
      </c>
      <c r="D698" s="34">
        <v>0.49855966739454721</v>
      </c>
    </row>
    <row r="699" spans="1:4" x14ac:dyDescent="0.3">
      <c r="A699" t="s">
        <v>1565</v>
      </c>
      <c r="B699" t="s">
        <v>1327</v>
      </c>
      <c r="C699">
        <v>0</v>
      </c>
      <c r="D699" s="34">
        <v>0.49855966739454721</v>
      </c>
    </row>
    <row r="700" spans="1:4" x14ac:dyDescent="0.3">
      <c r="A700" t="s">
        <v>1286</v>
      </c>
      <c r="B700" t="s">
        <v>979</v>
      </c>
      <c r="C700">
        <v>0</v>
      </c>
      <c r="D700" s="34">
        <v>0.49855966739454721</v>
      </c>
    </row>
    <row r="701" spans="1:4" x14ac:dyDescent="0.3">
      <c r="A701" t="s">
        <v>1411</v>
      </c>
      <c r="B701" t="s">
        <v>1327</v>
      </c>
      <c r="C701">
        <v>0</v>
      </c>
      <c r="D701" s="34">
        <v>0.49855966739454721</v>
      </c>
    </row>
    <row r="702" spans="1:4" x14ac:dyDescent="0.3">
      <c r="A702" t="s">
        <v>1287</v>
      </c>
      <c r="B702" t="s">
        <v>979</v>
      </c>
      <c r="C702">
        <v>0</v>
      </c>
      <c r="D702" s="34">
        <v>0.49855966739454721</v>
      </c>
    </row>
    <row r="703" spans="1:4" x14ac:dyDescent="0.3">
      <c r="A703" t="s">
        <v>1452</v>
      </c>
      <c r="B703" t="s">
        <v>1327</v>
      </c>
      <c r="C703">
        <v>1</v>
      </c>
      <c r="D703" s="34">
        <v>0.5095699146955267</v>
      </c>
    </row>
    <row r="704" spans="1:4" x14ac:dyDescent="0.3">
      <c r="A704" t="s">
        <v>1444</v>
      </c>
      <c r="B704" t="s">
        <v>1327</v>
      </c>
      <c r="C704">
        <v>1</v>
      </c>
      <c r="D704" s="34">
        <v>0.5095699146955267</v>
      </c>
    </row>
    <row r="705" spans="1:4" x14ac:dyDescent="0.3">
      <c r="A705" t="s">
        <v>1677</v>
      </c>
      <c r="B705" t="s">
        <v>1327</v>
      </c>
      <c r="C705">
        <v>1</v>
      </c>
      <c r="D705" s="34">
        <v>0.5095699146955267</v>
      </c>
    </row>
    <row r="706" spans="1:4" x14ac:dyDescent="0.3">
      <c r="A706" t="s">
        <v>1210</v>
      </c>
      <c r="B706" t="s">
        <v>979</v>
      </c>
      <c r="C706">
        <v>1</v>
      </c>
      <c r="D706" s="34">
        <v>0.5095699146955267</v>
      </c>
    </row>
    <row r="707" spans="1:4" x14ac:dyDescent="0.3">
      <c r="A707" t="s">
        <v>1296</v>
      </c>
      <c r="B707" t="s">
        <v>979</v>
      </c>
      <c r="C707">
        <v>1</v>
      </c>
      <c r="D707" s="34">
        <v>0.54633691611459334</v>
      </c>
    </row>
    <row r="708" spans="1:4" x14ac:dyDescent="0.3">
      <c r="A708" t="s">
        <v>1261</v>
      </c>
      <c r="B708" t="s">
        <v>979</v>
      </c>
      <c r="C708">
        <v>1</v>
      </c>
      <c r="D708" s="34">
        <v>0.52861075830877258</v>
      </c>
    </row>
    <row r="709" spans="1:4" x14ac:dyDescent="0.3">
      <c r="A709" t="s">
        <v>1604</v>
      </c>
      <c r="B709" t="s">
        <v>1327</v>
      </c>
      <c r="C709">
        <v>1</v>
      </c>
      <c r="D709" s="34">
        <v>0.54648685516771078</v>
      </c>
    </row>
    <row r="710" spans="1:4" x14ac:dyDescent="0.3">
      <c r="A710" t="s">
        <v>1667</v>
      </c>
      <c r="B710" t="s">
        <v>1327</v>
      </c>
      <c r="C710">
        <v>1</v>
      </c>
      <c r="D710" s="34">
        <v>0.51491023212910847</v>
      </c>
    </row>
    <row r="711" spans="1:4" x14ac:dyDescent="0.3">
      <c r="A711" t="s">
        <v>1475</v>
      </c>
      <c r="B711" t="s">
        <v>1327</v>
      </c>
      <c r="C711">
        <v>0</v>
      </c>
      <c r="D711" s="34">
        <v>0.49827919455870778</v>
      </c>
    </row>
    <row r="712" spans="1:4" x14ac:dyDescent="0.3">
      <c r="A712" t="s">
        <v>1668</v>
      </c>
      <c r="B712" t="s">
        <v>1327</v>
      </c>
      <c r="C712">
        <v>1</v>
      </c>
      <c r="D712" s="34">
        <v>0.52861075830877258</v>
      </c>
    </row>
    <row r="713" spans="1:4" x14ac:dyDescent="0.3">
      <c r="A713" t="s">
        <v>1374</v>
      </c>
      <c r="B713" t="s">
        <v>1327</v>
      </c>
      <c r="C713">
        <v>1</v>
      </c>
      <c r="D713" s="34">
        <v>0.52861075830877258</v>
      </c>
    </row>
    <row r="714" spans="1:4" x14ac:dyDescent="0.3">
      <c r="A714" t="s">
        <v>1585</v>
      </c>
      <c r="B714" t="s">
        <v>1327</v>
      </c>
      <c r="C714">
        <v>1</v>
      </c>
      <c r="D714" s="34">
        <v>0.52861075830877258</v>
      </c>
    </row>
    <row r="715" spans="1:4" x14ac:dyDescent="0.3">
      <c r="A715" t="s">
        <v>1350</v>
      </c>
      <c r="B715" t="s">
        <v>1327</v>
      </c>
      <c r="C715">
        <v>0</v>
      </c>
      <c r="D715" s="34">
        <v>0.49827919455870778</v>
      </c>
    </row>
    <row r="716" spans="1:4" x14ac:dyDescent="0.3">
      <c r="A716" t="s">
        <v>1678</v>
      </c>
      <c r="B716" t="s">
        <v>1327</v>
      </c>
      <c r="C716">
        <v>0</v>
      </c>
      <c r="D716" s="34">
        <v>0.49827919455870778</v>
      </c>
    </row>
    <row r="717" spans="1:4" x14ac:dyDescent="0.3">
      <c r="A717" t="s">
        <v>1539</v>
      </c>
      <c r="B717" t="s">
        <v>1327</v>
      </c>
      <c r="C717">
        <v>1</v>
      </c>
      <c r="D717" s="34">
        <v>0.52861075830877258</v>
      </c>
    </row>
    <row r="718" spans="1:4" x14ac:dyDescent="0.3">
      <c r="A718" t="s">
        <v>1679</v>
      </c>
      <c r="B718" t="s">
        <v>1327</v>
      </c>
      <c r="C718">
        <v>0</v>
      </c>
      <c r="D718" s="34">
        <v>0.49827919455870778</v>
      </c>
    </row>
    <row r="719" spans="1:4" x14ac:dyDescent="0.3">
      <c r="A719" t="s">
        <v>1445</v>
      </c>
      <c r="B719" t="s">
        <v>1327</v>
      </c>
      <c r="C719">
        <v>0</v>
      </c>
      <c r="D719" s="34">
        <v>0.49827919455870778</v>
      </c>
    </row>
    <row r="720" spans="1:4" x14ac:dyDescent="0.3">
      <c r="A720" t="s">
        <v>1320</v>
      </c>
      <c r="B720" t="s">
        <v>979</v>
      </c>
      <c r="C720">
        <v>1</v>
      </c>
      <c r="D720" s="34">
        <v>0.52861075830877258</v>
      </c>
    </row>
    <row r="721" spans="1:4" x14ac:dyDescent="0.3">
      <c r="A721" t="s">
        <v>1766</v>
      </c>
      <c r="B721" t="s">
        <v>1327</v>
      </c>
      <c r="C721">
        <v>0</v>
      </c>
      <c r="D721" s="34">
        <v>0.41694082711533242</v>
      </c>
    </row>
    <row r="722" spans="1:4" x14ac:dyDescent="0.3">
      <c r="A722" t="s">
        <v>1429</v>
      </c>
      <c r="B722" t="s">
        <v>1327</v>
      </c>
      <c r="C722">
        <v>1</v>
      </c>
      <c r="D722" s="34">
        <v>0.52861075830877258</v>
      </c>
    </row>
    <row r="723" spans="1:4" x14ac:dyDescent="0.3">
      <c r="A723" t="s">
        <v>1680</v>
      </c>
      <c r="B723" t="s">
        <v>1327</v>
      </c>
      <c r="C723">
        <v>0</v>
      </c>
      <c r="D723" s="34">
        <v>0.49827919455870778</v>
      </c>
    </row>
    <row r="724" spans="1:4" x14ac:dyDescent="0.3">
      <c r="A724" t="s">
        <v>1399</v>
      </c>
      <c r="B724" t="s">
        <v>1327</v>
      </c>
      <c r="C724">
        <v>0</v>
      </c>
      <c r="D724" s="34">
        <v>0.49827919455870778</v>
      </c>
    </row>
    <row r="725" spans="1:4" x14ac:dyDescent="0.3">
      <c r="A725" t="s">
        <v>1173</v>
      </c>
      <c r="B725" t="s">
        <v>979</v>
      </c>
      <c r="C725">
        <v>0</v>
      </c>
      <c r="D725" s="34">
        <v>0.49827919455870778</v>
      </c>
    </row>
    <row r="726" spans="1:4" x14ac:dyDescent="0.3">
      <c r="A726" t="s">
        <v>1400</v>
      </c>
      <c r="B726" t="s">
        <v>1327</v>
      </c>
      <c r="C726">
        <v>0</v>
      </c>
      <c r="D726" s="34">
        <v>0.49827919455870778</v>
      </c>
    </row>
    <row r="727" spans="1:4" x14ac:dyDescent="0.3">
      <c r="A727" t="s">
        <v>1767</v>
      </c>
      <c r="B727" t="s">
        <v>1327</v>
      </c>
      <c r="C727">
        <v>0</v>
      </c>
      <c r="D727" s="34">
        <v>0.41694082711533242</v>
      </c>
    </row>
    <row r="728" spans="1:4" x14ac:dyDescent="0.3">
      <c r="A728" t="s">
        <v>1540</v>
      </c>
      <c r="B728" t="s">
        <v>1327</v>
      </c>
      <c r="C728">
        <v>1</v>
      </c>
      <c r="D728" s="34">
        <v>0.52861075830877258</v>
      </c>
    </row>
    <row r="729" spans="1:4" x14ac:dyDescent="0.3">
      <c r="A729" t="s">
        <v>1388</v>
      </c>
      <c r="B729" t="s">
        <v>1327</v>
      </c>
      <c r="C729">
        <v>0</v>
      </c>
      <c r="D729" s="34">
        <v>0.49827919455870778</v>
      </c>
    </row>
    <row r="730" spans="1:4" x14ac:dyDescent="0.3">
      <c r="A730" t="s">
        <v>1367</v>
      </c>
      <c r="B730" t="s">
        <v>1327</v>
      </c>
      <c r="C730">
        <v>0</v>
      </c>
      <c r="D730" s="34">
        <v>0.49827919455870778</v>
      </c>
    </row>
    <row r="731" spans="1:4" x14ac:dyDescent="0.3">
      <c r="A731" t="s">
        <v>1566</v>
      </c>
      <c r="B731" t="s">
        <v>1327</v>
      </c>
      <c r="C731">
        <v>1</v>
      </c>
      <c r="D731" s="34">
        <v>0.52861075830877258</v>
      </c>
    </row>
    <row r="732" spans="1:4" x14ac:dyDescent="0.3">
      <c r="A732" t="s">
        <v>1453</v>
      </c>
      <c r="B732" t="s">
        <v>1327</v>
      </c>
      <c r="C732">
        <v>0</v>
      </c>
      <c r="D732" s="34">
        <v>0.49855966739454721</v>
      </c>
    </row>
    <row r="733" spans="1:4" x14ac:dyDescent="0.3">
      <c r="A733" t="s">
        <v>1225</v>
      </c>
      <c r="B733" t="s">
        <v>979</v>
      </c>
      <c r="C733">
        <v>0</v>
      </c>
      <c r="D733" s="34">
        <v>0.49855966739454721</v>
      </c>
    </row>
    <row r="734" spans="1:4" x14ac:dyDescent="0.3">
      <c r="A734" t="s">
        <v>1615</v>
      </c>
      <c r="B734" t="s">
        <v>1327</v>
      </c>
      <c r="C734">
        <v>0</v>
      </c>
      <c r="D734" s="34">
        <v>0.49855966739454721</v>
      </c>
    </row>
    <row r="735" spans="1:4" x14ac:dyDescent="0.3">
      <c r="A735" t="s">
        <v>1304</v>
      </c>
      <c r="B735" t="s">
        <v>979</v>
      </c>
      <c r="C735">
        <v>0</v>
      </c>
      <c r="D735" s="34">
        <v>0.49855966739454721</v>
      </c>
    </row>
    <row r="736" spans="1:4" x14ac:dyDescent="0.3">
      <c r="A736" t="s">
        <v>1313</v>
      </c>
      <c r="B736" t="s">
        <v>979</v>
      </c>
      <c r="C736">
        <v>0</v>
      </c>
      <c r="D736" s="34">
        <v>0.49855966739454721</v>
      </c>
    </row>
    <row r="737" spans="1:4" x14ac:dyDescent="0.3">
      <c r="A737" t="s">
        <v>1643</v>
      </c>
      <c r="B737" t="s">
        <v>1327</v>
      </c>
      <c r="C737">
        <v>0</v>
      </c>
      <c r="D737" s="34">
        <v>0.49855966739454721</v>
      </c>
    </row>
    <row r="738" spans="1:4" x14ac:dyDescent="0.3">
      <c r="A738" t="s">
        <v>1394</v>
      </c>
      <c r="B738" t="s">
        <v>1327</v>
      </c>
      <c r="C738">
        <v>0</v>
      </c>
      <c r="D738" s="34">
        <v>0.49855966739454721</v>
      </c>
    </row>
    <row r="739" spans="1:4" x14ac:dyDescent="0.3">
      <c r="A739" t="s">
        <v>1181</v>
      </c>
      <c r="B739" t="s">
        <v>979</v>
      </c>
      <c r="C739">
        <v>0</v>
      </c>
      <c r="D739" s="34">
        <v>0.49855966739454721</v>
      </c>
    </row>
    <row r="740" spans="1:4" x14ac:dyDescent="0.3">
      <c r="A740" t="s">
        <v>1105</v>
      </c>
      <c r="B740" t="s">
        <v>979</v>
      </c>
      <c r="C740">
        <v>1</v>
      </c>
      <c r="D740" s="34">
        <v>0.53447676871371375</v>
      </c>
    </row>
    <row r="741" spans="1:4" x14ac:dyDescent="0.3">
      <c r="A741" t="s">
        <v>1297</v>
      </c>
      <c r="B741" t="s">
        <v>979</v>
      </c>
      <c r="C741">
        <v>1</v>
      </c>
      <c r="D741" s="34">
        <v>0.5095699146955267</v>
      </c>
    </row>
    <row r="742" spans="1:4" x14ac:dyDescent="0.3">
      <c r="A742" t="s">
        <v>1135</v>
      </c>
      <c r="B742" t="s">
        <v>979</v>
      </c>
      <c r="C742">
        <v>1</v>
      </c>
      <c r="D742" s="34">
        <v>0.54633691611459334</v>
      </c>
    </row>
    <row r="743" spans="1:4" x14ac:dyDescent="0.3">
      <c r="A743" t="s">
        <v>1768</v>
      </c>
      <c r="B743" t="s">
        <v>1327</v>
      </c>
      <c r="C743">
        <v>0</v>
      </c>
      <c r="D743" s="34">
        <v>0.46537476472822847</v>
      </c>
    </row>
    <row r="744" spans="1:4" x14ac:dyDescent="0.3">
      <c r="A744" t="s">
        <v>1702</v>
      </c>
      <c r="B744" t="s">
        <v>1327</v>
      </c>
      <c r="C744">
        <v>0</v>
      </c>
      <c r="D744" s="34">
        <v>0.49420581579017753</v>
      </c>
    </row>
    <row r="745" spans="1:4" x14ac:dyDescent="0.3">
      <c r="A745" t="s">
        <v>1136</v>
      </c>
      <c r="B745" t="s">
        <v>979</v>
      </c>
      <c r="C745">
        <v>0</v>
      </c>
      <c r="D745" s="34">
        <v>0.49420581579017753</v>
      </c>
    </row>
    <row r="746" spans="1:4" x14ac:dyDescent="0.3">
      <c r="A746" t="s">
        <v>1681</v>
      </c>
      <c r="B746" t="s">
        <v>1327</v>
      </c>
      <c r="C746">
        <v>0</v>
      </c>
      <c r="D746" s="34">
        <v>0.49827919455870778</v>
      </c>
    </row>
    <row r="747" spans="1:4" x14ac:dyDescent="0.3">
      <c r="A747" t="s">
        <v>1720</v>
      </c>
      <c r="B747" t="s">
        <v>1327</v>
      </c>
      <c r="C747">
        <v>0</v>
      </c>
      <c r="D747" s="34">
        <v>0.49420581579017753</v>
      </c>
    </row>
    <row r="748" spans="1:4" x14ac:dyDescent="0.3">
      <c r="A748" t="s">
        <v>1389</v>
      </c>
      <c r="B748" t="s">
        <v>1327</v>
      </c>
      <c r="C748">
        <v>0</v>
      </c>
      <c r="D748" s="34">
        <v>0.49742665030213878</v>
      </c>
    </row>
    <row r="749" spans="1:4" x14ac:dyDescent="0.3">
      <c r="A749" t="s">
        <v>1721</v>
      </c>
      <c r="B749" t="s">
        <v>1327</v>
      </c>
      <c r="C749">
        <v>0</v>
      </c>
      <c r="D749" s="34">
        <v>0.49335327153360847</v>
      </c>
    </row>
    <row r="750" spans="1:4" x14ac:dyDescent="0.3">
      <c r="A750" t="s">
        <v>1123</v>
      </c>
      <c r="B750" t="s">
        <v>979</v>
      </c>
      <c r="C750">
        <v>0</v>
      </c>
      <c r="D750" s="34">
        <v>0.49827919455870778</v>
      </c>
    </row>
    <row r="751" spans="1:4" x14ac:dyDescent="0.3">
      <c r="A751" t="s">
        <v>1282</v>
      </c>
      <c r="B751" t="s">
        <v>979</v>
      </c>
      <c r="C751">
        <v>1</v>
      </c>
      <c r="D751" s="34">
        <v>0.52453737954024215</v>
      </c>
    </row>
    <row r="752" spans="1:4" x14ac:dyDescent="0.3">
      <c r="A752" t="s">
        <v>1769</v>
      </c>
      <c r="B752" t="s">
        <v>1327</v>
      </c>
      <c r="C752">
        <v>0</v>
      </c>
      <c r="D752" s="34">
        <v>0.41694082711533242</v>
      </c>
    </row>
    <row r="753" spans="1:4" x14ac:dyDescent="0.3">
      <c r="A753" t="s">
        <v>1342</v>
      </c>
      <c r="B753" t="s">
        <v>1327</v>
      </c>
      <c r="C753">
        <v>0</v>
      </c>
      <c r="D753" s="34">
        <v>0.49420581579017753</v>
      </c>
    </row>
    <row r="754" spans="1:4" x14ac:dyDescent="0.3">
      <c r="A754" t="s">
        <v>1586</v>
      </c>
      <c r="B754" t="s">
        <v>1327</v>
      </c>
      <c r="C754">
        <v>1</v>
      </c>
      <c r="D754" s="34">
        <v>0.54241347639918036</v>
      </c>
    </row>
    <row r="755" spans="1:4" x14ac:dyDescent="0.3">
      <c r="A755" t="s">
        <v>1211</v>
      </c>
      <c r="B755" t="s">
        <v>979</v>
      </c>
      <c r="C755">
        <v>1</v>
      </c>
      <c r="D755" s="34">
        <v>0.52861075830877258</v>
      </c>
    </row>
    <row r="756" spans="1:4" x14ac:dyDescent="0.3">
      <c r="A756" t="s">
        <v>1722</v>
      </c>
      <c r="B756" t="s">
        <v>1327</v>
      </c>
      <c r="C756">
        <v>1</v>
      </c>
      <c r="D756" s="34">
        <v>0.52453737954024215</v>
      </c>
    </row>
    <row r="757" spans="1:4" x14ac:dyDescent="0.3">
      <c r="A757" t="s">
        <v>1334</v>
      </c>
      <c r="B757" t="s">
        <v>1327</v>
      </c>
      <c r="C757">
        <v>1</v>
      </c>
      <c r="D757" s="34">
        <v>0.51491023212910847</v>
      </c>
    </row>
    <row r="758" spans="1:4" x14ac:dyDescent="0.3">
      <c r="A758" t="s">
        <v>1587</v>
      </c>
      <c r="B758" t="s">
        <v>1327</v>
      </c>
      <c r="C758">
        <v>1</v>
      </c>
      <c r="D758" s="34">
        <v>0.51083685336057816</v>
      </c>
    </row>
    <row r="759" spans="1:4" x14ac:dyDescent="0.3">
      <c r="A759" t="s">
        <v>1226</v>
      </c>
      <c r="B759" t="s">
        <v>979</v>
      </c>
      <c r="C759">
        <v>1</v>
      </c>
      <c r="D759" s="34">
        <v>0.54648685516771078</v>
      </c>
    </row>
    <row r="760" spans="1:4" x14ac:dyDescent="0.3">
      <c r="A760" t="s">
        <v>1588</v>
      </c>
      <c r="B760" t="s">
        <v>1327</v>
      </c>
      <c r="C760">
        <v>1</v>
      </c>
      <c r="D760" s="34">
        <v>0.52861075830877258</v>
      </c>
    </row>
  </sheetData>
  <autoFilter ref="A1:D760" xr:uid="{BF56C5FB-17A3-42F4-B6D1-CEC660F10B5A}">
    <sortState ref="A2:D760">
      <sortCondition ref="A1:A7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model_ready_data</vt:lpstr>
      <vt:lpstr>model_comparison</vt:lpstr>
      <vt:lpstr>feature_importance</vt:lpstr>
      <vt:lpstr>performance_stability_index</vt:lpstr>
      <vt:lpstr>prediction_unseen_data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91788</dc:creator>
  <cp:lastModifiedBy>91788</cp:lastModifiedBy>
  <dcterms:created xsi:type="dcterms:W3CDTF">2026-09-14T10:27:47Z</dcterms:created>
  <dcterms:modified xsi:type="dcterms:W3CDTF">2026-09-28T19:30:06Z</dcterms:modified>
</cp:coreProperties>
</file>